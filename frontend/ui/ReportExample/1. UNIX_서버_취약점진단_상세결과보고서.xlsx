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현재_통합_문서"/>
  <mc:AlternateContent xmlns:mc="http://schemas.openxmlformats.org/markup-compatibility/2006">
    <mc:Choice Requires="x15">
      <x15ac:absPath xmlns:x15ac="http://schemas.microsoft.com/office/spreadsheetml/2010/11/ac" url="C:\Users\khkim\source\repos\SoftCrab26\auto-vulnerabilites-assessment-tool-ISMS\frontend\ui\ReportExample\"/>
    </mc:Choice>
  </mc:AlternateContent>
  <xr:revisionPtr revIDLastSave="0" documentId="13_ncr:1_{2A957692-6ADC-4E0F-A77E-A0821DDC17A6}" xr6:coauthVersionLast="47" xr6:coauthVersionMax="47" xr10:uidLastSave="{00000000-0000-0000-0000-000000000000}"/>
  <bookViews>
    <workbookView xWindow="3630" yWindow="3435" windowWidth="21600" windowHeight="11295" tabRatio="864" activeTab="6" xr2:uid="{00000000-000D-0000-FFFF-FFFF00000000}"/>
  </bookViews>
  <sheets>
    <sheet name="표지" sheetId="169" r:id="rId1"/>
    <sheet name="개정이력" sheetId="81" r:id="rId2"/>
    <sheet name="개요" sheetId="80" r:id="rId3"/>
    <sheet name="점검대상" sheetId="66" r:id="rId4"/>
    <sheet name="요약 통계" sheetId="67" r:id="rId5"/>
    <sheet name="보안수준 통계" sheetId="69" r:id="rId6"/>
    <sheet name="sample" sheetId="196" r:id="rId7"/>
    <sheet name="기준 DB" sheetId="126" state="hidden"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6" hidden="1">sample!$A$27:$Q$94</definedName>
    <definedName name="_xlnm._FilterDatabase" localSheetId="2" hidden="1">개요!$B$27:$Q$29</definedName>
    <definedName name="_xlnm._FilterDatabase" localSheetId="4" hidden="1">'요약 통계'!$B$26:$L$73</definedName>
    <definedName name="_xlnm._FilterDatabase" localSheetId="3" hidden="1">점검대상!#REF!</definedName>
    <definedName name="aa">#REF!</definedName>
    <definedName name="CASE">[1]코드!$K$35:$K$41</definedName>
    <definedName name="d">#REF!</definedName>
    <definedName name="DBMS">[1]코드!$G$35:$G$49</definedName>
    <definedName name="dd">#REF!</definedName>
    <definedName name="ddd">#REF!</definedName>
    <definedName name="dddd">#REF!</definedName>
    <definedName name="ddddd">#REF!</definedName>
    <definedName name="ddddddd">#REF!</definedName>
    <definedName name="dddfghsfthfsdh">#REF!</definedName>
    <definedName name="dddsadwed">#REF!</definedName>
    <definedName name="dfsdfsaf">#REF!</definedName>
    <definedName name="ds">#REF!</definedName>
    <definedName name="dsf">#REF!</definedName>
    <definedName name="dsfa">#REF!</definedName>
    <definedName name="dsfsf">#REF!</definedName>
    <definedName name="dssd">#REF!</definedName>
    <definedName name="d너뭔데">#REF!</definedName>
    <definedName name="ee">#REF!</definedName>
    <definedName name="EndUser">[1]코드!$D$35:$D$39</definedName>
    <definedName name="Evaluation">#REF!</definedName>
    <definedName name="fsafasdf">#REF!</definedName>
    <definedName name="HA상태">[2]코드표!$C$15:$C$16</definedName>
    <definedName name="HW">[1]코드!$I$35:$I$59</definedName>
    <definedName name="iii">#REF!</definedName>
    <definedName name="Language">[1]코드!$J$35:$J$61</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"&amp;REPT(LOCAL_HOUR_FORMAT,2)&amp;LOCAL_TIME_SEPARATOR&amp;REPT(LOCAL_MINUTE_FORMAT,2)&amp;LOCAL_TIME_SEPARATOR&amp;REPT([0]!LOCAL_SECOND_FORMAT,2)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SECOND_FORMAT" hidden="1">" "</definedName>
    <definedName name="LType">[1]코드!$M$35:$M$37</definedName>
    <definedName name="MW">[1]코드!$H$35:$H$49</definedName>
    <definedName name="NMS관제가능여부">[2]코드표!$C$52:$C$53</definedName>
    <definedName name="no">#REF!</definedName>
    <definedName name="OS">[1]코드!$F$35:$F$42</definedName>
    <definedName name="Platform">[1]코드!$L$35:$L$37</definedName>
    <definedName name="_xlnm.Print_Area" localSheetId="6">sample!$A$1:$R$94</definedName>
    <definedName name="_xlnm.Print_Area" localSheetId="2">개요!$A$1:$S$30</definedName>
    <definedName name="_xlnm.Print_Area" localSheetId="1">개정이력!$A$1:$E$8</definedName>
    <definedName name="_xlnm.Print_Area" localSheetId="7">'기준 DB'!$A$1:$F$68</definedName>
    <definedName name="_xlnm.Print_Area" localSheetId="5">'보안수준 통계'!$A$1:$L$38</definedName>
    <definedName name="_xlnm.Print_Area" localSheetId="4">'요약 통계'!$A$1:$N$73</definedName>
    <definedName name="_xlnm.Print_Area" localSheetId="3">점검대상!$A$1:$K$8</definedName>
    <definedName name="_xlnm.Print_Area" localSheetId="0">표지!$A$1:$Q$24</definedName>
    <definedName name="rr">#REF!</definedName>
    <definedName name="rrrr">#REF!</definedName>
    <definedName name="sasa">#REF!</definedName>
    <definedName name="SASDFSDF">#REF!</definedName>
    <definedName name="sddsd">#REF!</definedName>
    <definedName name="SDF">#REF!</definedName>
    <definedName name="sdkjfa">#REF!</definedName>
    <definedName name="sds">#REF!</definedName>
    <definedName name="sdsds">#REF!</definedName>
    <definedName name="sdsdsds">#REF!</definedName>
    <definedName name="sdsfa">#REF!</definedName>
    <definedName name="sf">#REF!</definedName>
    <definedName name="sfa">#REF!</definedName>
    <definedName name="sfasdfa">#REF!</definedName>
    <definedName name="sfddd">#REF!</definedName>
    <definedName name="sosos">#REF!</definedName>
    <definedName name="ss">#REF!</definedName>
    <definedName name="ssjsjks">#REF!</definedName>
    <definedName name="sss">#REF!</definedName>
    <definedName name="SW용도">[2]코드표!$B$88:$B$90</definedName>
    <definedName name="ui">#REF!</definedName>
    <definedName name="yes">#REF!</definedName>
    <definedName name="YN">'[3]점검표(재분류)'!#REF!</definedName>
    <definedName name="yy">#REF!</definedName>
    <definedName name="ㄱㄱ">#REF!</definedName>
    <definedName name="가">#REF!</definedName>
    <definedName name="가자">#REF!</definedName>
    <definedName name="개발형태">[1]코드!$C$2:$C$7</definedName>
    <definedName name="계약방식">[1]코드!$A$2:$A$10</definedName>
    <definedName name="계약형태">[1]코드!$H$2:$H$4</definedName>
    <definedName name="광전송장치제조사">[4]공통코드!$Y$2:$Y$4</definedName>
    <definedName name="국산여부">[2]코드표!$C$2:$C$3</definedName>
    <definedName name="금칙어">#REF!</definedName>
    <definedName name="기밀성">#REF!</definedName>
    <definedName name="기준반영">#REF!</definedName>
    <definedName name="기타장비타입">[2]코드표!$C$141:$C$143</definedName>
    <definedName name="기ㅣ">#REF!</definedName>
    <definedName name="ㄴㄴ">#REF!</definedName>
    <definedName name="ㄴㄴㄴ">#REF!</definedName>
    <definedName name="ㄴㅇ">#REF!</definedName>
    <definedName name="ㄴㅇㄹㄴ">#REF!</definedName>
    <definedName name="나">#REF!</definedName>
    <definedName name="낙찰구분">[1]코드!$B$2:$B$5</definedName>
    <definedName name="네트워크장비구분">[2]코드표!$C$47:$C$51</definedName>
    <definedName name="ㄷㄷㄱ">#REF!</definedName>
    <definedName name="ㄷㄷㄷ">#REF!</definedName>
    <definedName name="다">#REF!</definedName>
    <definedName name="단">#REF!</definedName>
    <definedName name="답변자">'[3]점검표(재분류)'!#REF!</definedName>
    <definedName name="더">#REF!</definedName>
    <definedName name="도덕">#REF!</definedName>
    <definedName name="도덕성">#REF!</definedName>
    <definedName name="도입형태">[2]코드표!$C$41:$C$44</definedName>
    <definedName name="동의여부">#REF!</definedName>
    <definedName name="등급">'[3]점검표(재분류)'!#REF!</definedName>
    <definedName name="라">#REF!</definedName>
    <definedName name="라우터프로토콜">[4]공통코드!$Y$15:$Y$16</definedName>
    <definedName name="라이선스유형">[2]코드표!$C$137:$C$140</definedName>
    <definedName name="레이드타입">[2]코드표!$C$71:$C$75</definedName>
    <definedName name="ㅁㄹㄴㅇㅇㅇㅇㅇㅇㅇㅇㅇㅇㅇ">#REF!</definedName>
    <definedName name="ㅁㅁㅁㅁ">#REF!</definedName>
    <definedName name="무결성">#REF!</definedName>
    <definedName name="무상유지보수">[4]공통코드!$AC$15:$AC$16</definedName>
    <definedName name="바">#REF!</definedName>
    <definedName name="방법론">[1]코드!$E$35:$E$51</definedName>
    <definedName name="백업매체종류">[2]코드표!$C$76:$C$82</definedName>
    <definedName name="백업장비구분">[2]코드표!$C$83:$C$84</definedName>
    <definedName name="보안장비구분">[2]코드표!$C$60:$C$64</definedName>
    <definedName name="사업부">[1]코드!$J$2:$J$7</definedName>
    <definedName name="사용용도">[2]코드표!$C$4:$C$6</definedName>
    <definedName name="서버구분">[2]코드표!$C$29:$C$31</definedName>
    <definedName name="서버용도">[2]코드표!$C$19:$C$28</definedName>
    <definedName name="서버크기">[2]코드표!$C$34:$C$36</definedName>
    <definedName name="서버타입">[2]코드표!$C$17:$C$18</definedName>
    <definedName name="서비스영역">[1]코드!$K$2:$K$13</definedName>
    <definedName name="선택">[5]분류!$B$27:$B$28</definedName>
    <definedName name="설명">#REF!</definedName>
    <definedName name="설명2">#REF!</definedName>
    <definedName name="소프트웨어소분류">[2]코드표!$C$97:$C$136</definedName>
    <definedName name="소프트웨어중분류">[2]코드표!$C$91:$C$96</definedName>
    <definedName name="손익">#REF!</definedName>
    <definedName name="손익현황">#REF!</definedName>
    <definedName name="스토리지구분">[2]코드표!$C$69:$C$70</definedName>
    <definedName name="ㅇ">'[3]점검표(재분류)'!#REF!</definedName>
    <definedName name="ㅇㄴㄹ">#REF!</definedName>
    <definedName name="ㅇㄴㅁㄹ">#REF!</definedName>
    <definedName name="ㅇㄴㅇ">#REF!</definedName>
    <definedName name="ㅇㅇ">#REF!</definedName>
    <definedName name="ㅇㅇㅇ">#REF!</definedName>
    <definedName name="ㅇㅇㅇㅇㅇ">#REF!</definedName>
    <definedName name="안">#REF!</definedName>
    <definedName name="안녕">#REF!</definedName>
    <definedName name="안녕하세요">#REF!</definedName>
    <definedName name="업종">[1]코드!$D$2:$D$9</definedName>
    <definedName name="업종상세">[1]코드!$E$2:$E$32</definedName>
    <definedName name="영문">#REF!</definedName>
    <definedName name="영문명">#REF!</definedName>
    <definedName name="외장디스크여부">[2]코드표!$C$32:$C$33</definedName>
    <definedName name="원격접속가능여부">[2]코드표!$C$54:$C$55</definedName>
    <definedName name="원천">#REF!</definedName>
    <definedName name="위험조치_적용시기">'[6]위험조치계획 기준'!$B$17:$B$20</definedName>
    <definedName name="유지보수계약구분">[2]코드표!$C$85:$C$87</definedName>
    <definedName name="유지보수구분">[2]코드표!$C$45:$C$46</definedName>
    <definedName name="이력관리팀">" "</definedName>
    <definedName name="이중화여부">[2]코드표!$C$13:$C$14</definedName>
    <definedName name="인락">#REF!</definedName>
    <definedName name="인터페이스타입">[2]코드표!$C$65:$C$68</definedName>
    <definedName name="자산상태">[2]코드표!$C$7:$C$9</definedName>
    <definedName name="작업">#REF!</definedName>
    <definedName name="장착아이오">[2]코드표!$C$37:$C$40</definedName>
    <definedName name="적용사이트">[1]코드!$C$35:$C$38</definedName>
    <definedName name="적정성">#REF!</definedName>
    <definedName name="전략프로젝트">[1]코드!$G$2:$G$3</definedName>
    <definedName name="전원타입">[2]코드표!$C$56:$C$57</definedName>
    <definedName name="조치계획기준점수">'[6]위험조치계획 기준'!$B$7:$B$11</definedName>
    <definedName name="찾기">#REF!</definedName>
    <definedName name="쵀닌">#REF!</definedName>
    <definedName name="쵀성춘">#REF!</definedName>
    <definedName name="침입관리보안등급">[4]공통코드!$AI$2:$AI$6</definedName>
    <definedName name="콘솔타입">[2]코드표!$C$58:$C$59</definedName>
    <definedName name="ㅌㅌㅌ">#REF!</definedName>
    <definedName name="태세">#REF!</definedName>
    <definedName name="팀">[7]코드!$B$2:$B$5</definedName>
    <definedName name="파티션서버여부">[2]코드표!$C$10:$C$12</definedName>
    <definedName name="프로덕트유형">[1]코드!$B$35:$B$39</definedName>
    <definedName name="프로덕트타입">[1]코드!$A$35:$A$49</definedName>
    <definedName name="프로젝트단계">[1]코드!$F$2:$F$7</definedName>
    <definedName name="ㅏㅇ">#REF!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0" i="67" l="1"/>
  <c r="E71" i="67"/>
  <c r="E72" i="67"/>
  <c r="E60" i="67"/>
  <c r="E61" i="67"/>
  <c r="E62" i="67"/>
  <c r="E63" i="67"/>
  <c r="E64" i="67"/>
  <c r="E65" i="67"/>
  <c r="E66" i="67"/>
  <c r="E67" i="67"/>
  <c r="E68" i="67"/>
  <c r="E69" i="67"/>
  <c r="E40" i="67"/>
  <c r="E41" i="67"/>
  <c r="E42" i="67"/>
  <c r="E43" i="67"/>
  <c r="E44" i="67"/>
  <c r="E45" i="67"/>
  <c r="E46" i="67"/>
  <c r="E47" i="67"/>
  <c r="E48" i="67"/>
  <c r="E49" i="67"/>
  <c r="E50" i="67"/>
  <c r="E51" i="67"/>
  <c r="E52" i="67"/>
  <c r="E53" i="67"/>
  <c r="E54" i="67"/>
  <c r="E55" i="67"/>
  <c r="E56" i="67"/>
  <c r="E57" i="67"/>
  <c r="E58" i="67"/>
  <c r="E59" i="67"/>
  <c r="E39" i="67"/>
  <c r="E38" i="67"/>
  <c r="E35" i="67"/>
  <c r="E36" i="67"/>
  <c r="E37" i="67"/>
  <c r="E20" i="67"/>
  <c r="E21" i="67"/>
  <c r="E22" i="67"/>
  <c r="E23" i="67"/>
  <c r="E24" i="67"/>
  <c r="E25" i="67"/>
  <c r="E26" i="67"/>
  <c r="E27" i="67"/>
  <c r="E28" i="67"/>
  <c r="E29" i="67"/>
  <c r="E30" i="67"/>
  <c r="E31" i="67"/>
  <c r="E32" i="67"/>
  <c r="E33" i="67"/>
  <c r="E34" i="67"/>
  <c r="E19" i="67"/>
  <c r="E7" i="67"/>
  <c r="E8" i="67"/>
  <c r="E9" i="67"/>
  <c r="E10" i="67"/>
  <c r="E11" i="67"/>
  <c r="E12" i="67"/>
  <c r="E13" i="67"/>
  <c r="E14" i="67"/>
  <c r="E15" i="67"/>
  <c r="E16" i="67"/>
  <c r="E17" i="67"/>
  <c r="E18" i="67"/>
  <c r="E6" i="67"/>
  <c r="P29" i="196" l="1"/>
  <c r="P30" i="196"/>
  <c r="P31" i="196"/>
  <c r="P32" i="196"/>
  <c r="P33" i="196"/>
  <c r="P34" i="196"/>
  <c r="P35" i="196"/>
  <c r="P36" i="196"/>
  <c r="P37" i="196"/>
  <c r="P38" i="196"/>
  <c r="P39" i="196"/>
  <c r="P40" i="196"/>
  <c r="P41" i="196"/>
  <c r="P42" i="196"/>
  <c r="P43" i="196"/>
  <c r="P44" i="196"/>
  <c r="P45" i="196"/>
  <c r="P46" i="196"/>
  <c r="P47" i="196"/>
  <c r="P48" i="196"/>
  <c r="P49" i="196"/>
  <c r="P50" i="196"/>
  <c r="P51" i="196"/>
  <c r="P52" i="196"/>
  <c r="P53" i="196"/>
  <c r="P54" i="196"/>
  <c r="P55" i="196"/>
  <c r="P56" i="196"/>
  <c r="P57" i="196"/>
  <c r="P58" i="196"/>
  <c r="P59" i="196"/>
  <c r="P60" i="196"/>
  <c r="P61" i="196"/>
  <c r="P62" i="196"/>
  <c r="P63" i="196"/>
  <c r="P64" i="196"/>
  <c r="P65" i="196"/>
  <c r="P66" i="196"/>
  <c r="P67" i="196"/>
  <c r="P68" i="196"/>
  <c r="P69" i="196"/>
  <c r="P70" i="196"/>
  <c r="P71" i="196"/>
  <c r="P72" i="196"/>
  <c r="P73" i="196"/>
  <c r="P74" i="196"/>
  <c r="P75" i="196"/>
  <c r="P76" i="196"/>
  <c r="P77" i="196"/>
  <c r="P78" i="196"/>
  <c r="P79" i="196"/>
  <c r="P80" i="196"/>
  <c r="P81" i="196"/>
  <c r="P82" i="196"/>
  <c r="P83" i="196"/>
  <c r="P84" i="196"/>
  <c r="P85" i="196"/>
  <c r="P86" i="196"/>
  <c r="P87" i="196"/>
  <c r="P88" i="196"/>
  <c r="P89" i="196"/>
  <c r="P90" i="196"/>
  <c r="P91" i="196"/>
  <c r="P92" i="196"/>
  <c r="P93" i="196"/>
  <c r="P94" i="196"/>
  <c r="P28" i="196"/>
  <c r="N30" i="196" l="1"/>
  <c r="N31" i="196"/>
  <c r="N32" i="196"/>
  <c r="N33" i="196"/>
  <c r="N34" i="196"/>
  <c r="N35" i="196"/>
  <c r="N36" i="196"/>
  <c r="N37" i="196"/>
  <c r="N38" i="196"/>
  <c r="N39" i="196"/>
  <c r="N40" i="196"/>
  <c r="N41" i="196"/>
  <c r="N42" i="196"/>
  <c r="N43" i="196"/>
  <c r="N44" i="196"/>
  <c r="N45" i="196"/>
  <c r="N46" i="196"/>
  <c r="N47" i="196"/>
  <c r="N48" i="196"/>
  <c r="N49" i="196"/>
  <c r="N50" i="196"/>
  <c r="N51" i="196"/>
  <c r="N52" i="196"/>
  <c r="N53" i="196"/>
  <c r="N54" i="196"/>
  <c r="N55" i="196"/>
  <c r="N56" i="196"/>
  <c r="N57" i="196"/>
  <c r="N58" i="196"/>
  <c r="N59" i="196"/>
  <c r="N60" i="196"/>
  <c r="N62" i="196"/>
  <c r="N63" i="196"/>
  <c r="N64" i="196"/>
  <c r="N65" i="196"/>
  <c r="N66" i="196"/>
  <c r="N67" i="196"/>
  <c r="N68" i="196"/>
  <c r="N69" i="196"/>
  <c r="N70" i="196"/>
  <c r="N71" i="196"/>
  <c r="N72" i="196"/>
  <c r="N73" i="196"/>
  <c r="N74" i="196"/>
  <c r="N75" i="196"/>
  <c r="N76" i="196"/>
  <c r="N77" i="196"/>
  <c r="N78" i="196"/>
  <c r="N79" i="196"/>
  <c r="N80" i="196"/>
  <c r="N81" i="196"/>
  <c r="N82" i="196"/>
  <c r="N83" i="196"/>
  <c r="N84" i="196"/>
  <c r="N85" i="196"/>
  <c r="N86" i="196"/>
  <c r="N87" i="196"/>
  <c r="N88" i="196"/>
  <c r="N89" i="196"/>
  <c r="N90" i="196"/>
  <c r="N91" i="196"/>
  <c r="N93" i="196"/>
  <c r="N94" i="196"/>
  <c r="M29" i="196"/>
  <c r="M30" i="196"/>
  <c r="M31" i="196"/>
  <c r="M32" i="196"/>
  <c r="M33" i="196"/>
  <c r="M34" i="196"/>
  <c r="M35" i="196"/>
  <c r="M36" i="196"/>
  <c r="M37" i="196"/>
  <c r="M38" i="196"/>
  <c r="M39" i="196"/>
  <c r="M40" i="196"/>
  <c r="M41" i="196"/>
  <c r="M42" i="196"/>
  <c r="M43" i="196"/>
  <c r="M44" i="196"/>
  <c r="M45" i="196"/>
  <c r="M46" i="196"/>
  <c r="M47" i="196"/>
  <c r="M48" i="196"/>
  <c r="M49" i="196"/>
  <c r="M50" i="196"/>
  <c r="M51" i="196"/>
  <c r="M52" i="196"/>
  <c r="M53" i="196"/>
  <c r="M54" i="196"/>
  <c r="M55" i="196"/>
  <c r="M56" i="196"/>
  <c r="M57" i="196"/>
  <c r="M58" i="196"/>
  <c r="M59" i="196"/>
  <c r="M60" i="196"/>
  <c r="M61" i="196"/>
  <c r="M62" i="196"/>
  <c r="M63" i="196"/>
  <c r="M64" i="196"/>
  <c r="M65" i="196"/>
  <c r="M66" i="196"/>
  <c r="M67" i="196"/>
  <c r="M68" i="196"/>
  <c r="M69" i="196"/>
  <c r="M70" i="196"/>
  <c r="M71" i="196"/>
  <c r="M72" i="196"/>
  <c r="M73" i="196"/>
  <c r="M74" i="196"/>
  <c r="M75" i="196"/>
  <c r="M76" i="196"/>
  <c r="M77" i="196"/>
  <c r="M78" i="196"/>
  <c r="M79" i="196"/>
  <c r="M80" i="196"/>
  <c r="M81" i="196"/>
  <c r="M82" i="196"/>
  <c r="M83" i="196"/>
  <c r="M84" i="196"/>
  <c r="M85" i="196"/>
  <c r="M86" i="196"/>
  <c r="M87" i="196"/>
  <c r="M88" i="196"/>
  <c r="M89" i="196"/>
  <c r="M90" i="196"/>
  <c r="M91" i="196"/>
  <c r="M92" i="196"/>
  <c r="M93" i="196"/>
  <c r="M94" i="196"/>
  <c r="M28" i="196"/>
  <c r="N61" i="196" l="1"/>
  <c r="N92" i="196"/>
  <c r="N28" i="196"/>
  <c r="C6" i="196"/>
  <c r="B36" i="69"/>
  <c r="I7" i="66" l="1"/>
  <c r="C7" i="69"/>
  <c r="G7" i="69"/>
  <c r="C8" i="69"/>
  <c r="G8" i="69"/>
  <c r="C9" i="69"/>
  <c r="G9" i="69"/>
  <c r="C10" i="69"/>
  <c r="G10" i="69"/>
  <c r="G6" i="69"/>
  <c r="C6" i="69"/>
  <c r="J22" i="196" l="1"/>
  <c r="K21" i="196"/>
  <c r="J21" i="196"/>
  <c r="I9" i="69" s="1"/>
  <c r="H23" i="196"/>
  <c r="I22" i="196"/>
  <c r="E22" i="196" s="1"/>
  <c r="D10" i="69" s="1"/>
  <c r="F22" i="196"/>
  <c r="E10" i="69" s="1"/>
  <c r="I21" i="196"/>
  <c r="H9" i="69" s="1"/>
  <c r="F21" i="196"/>
  <c r="E9" i="69" s="1"/>
  <c r="I20" i="196"/>
  <c r="F20" i="196"/>
  <c r="E8" i="69" s="1"/>
  <c r="I19" i="196"/>
  <c r="H7" i="69" s="1"/>
  <c r="F19" i="196"/>
  <c r="I18" i="196"/>
  <c r="F18" i="196"/>
  <c r="J12" i="196"/>
  <c r="I6" i="196"/>
  <c r="E2" i="196"/>
  <c r="K22" i="196" l="1"/>
  <c r="J10" i="69" s="1"/>
  <c r="C12" i="196"/>
  <c r="J19" i="196"/>
  <c r="I7" i="69" s="1"/>
  <c r="J20" i="196"/>
  <c r="I8" i="69" s="1"/>
  <c r="E21" i="196"/>
  <c r="D9" i="69" s="1"/>
  <c r="L21" i="196"/>
  <c r="J9" i="69"/>
  <c r="G21" i="196"/>
  <c r="F9" i="69" s="1"/>
  <c r="I10" i="69"/>
  <c r="G22" i="196"/>
  <c r="F10" i="69" s="1"/>
  <c r="H10" i="69"/>
  <c r="K20" i="196"/>
  <c r="J8" i="69" s="1"/>
  <c r="G20" i="196"/>
  <c r="F8" i="69" s="1"/>
  <c r="H8" i="69"/>
  <c r="K19" i="196"/>
  <c r="J7" i="69" s="1"/>
  <c r="G19" i="196"/>
  <c r="F7" i="69" s="1"/>
  <c r="E7" i="69"/>
  <c r="E19" i="196"/>
  <c r="D7" i="69" s="1"/>
  <c r="G18" i="196"/>
  <c r="H6" i="69"/>
  <c r="F23" i="196"/>
  <c r="E6" i="69"/>
  <c r="J18" i="196"/>
  <c r="I6" i="69" s="1"/>
  <c r="E12" i="196"/>
  <c r="D12" i="196"/>
  <c r="K18" i="196"/>
  <c r="E20" i="196"/>
  <c r="D8" i="69" s="1"/>
  <c r="I23" i="196"/>
  <c r="C7" i="196"/>
  <c r="E18" i="196"/>
  <c r="D6" i="69" s="1"/>
  <c r="I7" i="196"/>
  <c r="L22" i="196" l="1"/>
  <c r="L20" i="196"/>
  <c r="L19" i="196"/>
  <c r="J23" i="196"/>
  <c r="I36" i="69" s="1"/>
  <c r="K23" i="196"/>
  <c r="J6" i="69"/>
  <c r="G23" i="196"/>
  <c r="F6" i="69"/>
  <c r="L18" i="196"/>
  <c r="F12" i="196"/>
  <c r="H12" i="196" s="1"/>
  <c r="E23" i="196"/>
  <c r="L23" i="196" l="1"/>
  <c r="A7" i="66" l="1"/>
  <c r="E73" i="67" l="1"/>
  <c r="L4" i="67"/>
  <c r="E11" i="69" l="1"/>
  <c r="K9" i="69"/>
  <c r="K7" i="69"/>
  <c r="K10" i="69"/>
  <c r="F11" i="69"/>
  <c r="C11" i="69"/>
  <c r="D11" i="69"/>
  <c r="G11" i="69"/>
  <c r="K8" i="69"/>
  <c r="J11" i="69"/>
  <c r="H11" i="69"/>
  <c r="I11" i="69"/>
  <c r="K6" i="69"/>
  <c r="L36" i="67"/>
  <c r="L45" i="67"/>
  <c r="L24" i="67"/>
  <c r="L28" i="67"/>
  <c r="L67" i="67"/>
  <c r="L21" i="67"/>
  <c r="L37" i="67"/>
  <c r="L6" i="67"/>
  <c r="L18" i="67"/>
  <c r="L62" i="67"/>
  <c r="L41" i="67"/>
  <c r="L68" i="67"/>
  <c r="L61" i="67"/>
  <c r="L52" i="67"/>
  <c r="L53" i="67"/>
  <c r="L63" i="67"/>
  <c r="L11" i="67"/>
  <c r="L38" i="67"/>
  <c r="L64" i="67"/>
  <c r="L60" i="67"/>
  <c r="L48" i="67"/>
  <c r="L32" i="67"/>
  <c r="L14" i="67"/>
  <c r="L42" i="67"/>
  <c r="L72" i="67"/>
  <c r="L20" i="67"/>
  <c r="L59" i="67"/>
  <c r="L26" i="67"/>
  <c r="L65" i="67"/>
  <c r="L56" i="67"/>
  <c r="L44" i="67"/>
  <c r="L19" i="67"/>
  <c r="L8" i="67"/>
  <c r="L29" i="67"/>
  <c r="L35" i="67"/>
  <c r="L54" i="67"/>
  <c r="L50" i="67"/>
  <c r="L9" i="67"/>
  <c r="L39" i="67"/>
  <c r="L55" i="67"/>
  <c r="L16" i="67"/>
  <c r="L30" i="67"/>
  <c r="L33" i="67"/>
  <c r="L12" i="67"/>
  <c r="L71" i="67"/>
  <c r="L46" i="67"/>
  <c r="L31" i="67"/>
  <c r="L43" i="67"/>
  <c r="L22" i="67"/>
  <c r="L25" i="67"/>
  <c r="L47" i="67"/>
  <c r="L7" i="67"/>
  <c r="L58" i="67"/>
  <c r="L40" i="67"/>
  <c r="L70" i="67"/>
  <c r="L13" i="67"/>
  <c r="L23" i="67"/>
  <c r="L10" i="67"/>
  <c r="L17" i="67"/>
  <c r="L69" i="67"/>
  <c r="L51" i="67"/>
  <c r="L15" i="67"/>
  <c r="L34" i="67"/>
  <c r="L27" i="67"/>
  <c r="L49" i="67"/>
  <c r="L66" i="67"/>
  <c r="L57" i="67"/>
  <c r="L86" i="67" l="1"/>
  <c r="K86" i="67" s="1"/>
  <c r="L87" i="67"/>
  <c r="K87" i="67" s="1"/>
  <c r="L84" i="67"/>
  <c r="K84" i="67" s="1"/>
  <c r="L85" i="67"/>
  <c r="K85" i="67" s="1"/>
  <c r="E36" i="69"/>
  <c r="G36" i="69"/>
  <c r="H36" i="69"/>
  <c r="D36" i="69"/>
  <c r="F36" i="69"/>
  <c r="J36" i="69"/>
  <c r="C36" i="69"/>
  <c r="D37" i="69" l="1"/>
  <c r="J37" i="69"/>
  <c r="G37" i="69"/>
  <c r="H37" i="69"/>
  <c r="E37" i="69"/>
  <c r="I37" i="69"/>
  <c r="F37" i="69"/>
  <c r="C37" i="69"/>
  <c r="K36" i="69"/>
  <c r="K37" i="69" s="1"/>
  <c r="K11" i="69" s="1"/>
  <c r="L81" i="67" l="1"/>
  <c r="K81" i="67" s="1"/>
  <c r="L80" i="67"/>
  <c r="K80" i="67" s="1"/>
  <c r="L82" i="67"/>
  <c r="K82" i="67" s="1"/>
  <c r="L83" i="67"/>
  <c r="K83" i="67" s="1"/>
  <c r="L76" i="67"/>
  <c r="K76" i="67" s="1"/>
  <c r="L78" i="67"/>
  <c r="K78" i="67" s="1"/>
  <c r="L77" i="67"/>
  <c r="K77" i="67" s="1"/>
  <c r="L75" i="67"/>
  <c r="K75" i="67" s="1"/>
  <c r="L90" i="67"/>
  <c r="K90" i="67" s="1"/>
  <c r="L89" i="67"/>
  <c r="K89" i="67" s="1"/>
  <c r="L91" i="67"/>
  <c r="K91" i="67" s="1"/>
  <c r="L73" i="67"/>
  <c r="L88" i="67"/>
  <c r="K88" i="67" s="1"/>
  <c r="F72" i="67"/>
  <c r="J72" i="67"/>
  <c r="F11" i="67"/>
  <c r="J11" i="67"/>
  <c r="F18" i="67"/>
  <c r="F56" i="67"/>
  <c r="K11" i="67"/>
  <c r="K72" i="67"/>
  <c r="F64" i="67"/>
  <c r="F40" i="67"/>
  <c r="I72" i="67"/>
  <c r="F54" i="67"/>
  <c r="J40" i="67"/>
  <c r="H40" i="67"/>
  <c r="K54" i="67"/>
  <c r="J18" i="67"/>
  <c r="H56" i="67"/>
  <c r="J54" i="67"/>
  <c r="F71" i="67"/>
  <c r="K40" i="67"/>
  <c r="F61" i="67"/>
  <c r="F70" i="67"/>
  <c r="H70" i="67"/>
  <c r="I70" i="67"/>
  <c r="J70" i="67"/>
  <c r="F13" i="67"/>
  <c r="K13" i="67"/>
  <c r="I13" i="67"/>
  <c r="F10" i="67"/>
  <c r="K10" i="67"/>
  <c r="J10" i="67"/>
  <c r="H10" i="67"/>
  <c r="I10" i="67"/>
  <c r="F51" i="67"/>
  <c r="K64" i="67"/>
  <c r="K51" i="67"/>
  <c r="J51" i="67"/>
  <c r="H51" i="67"/>
  <c r="F15" i="67"/>
  <c r="I15" i="67"/>
  <c r="F57" i="67"/>
  <c r="H64" i="67"/>
  <c r="I56" i="67"/>
  <c r="I11" i="67"/>
  <c r="I64" i="67"/>
  <c r="H18" i="67"/>
  <c r="I61" i="67"/>
  <c r="H11" i="67"/>
  <c r="I54" i="67"/>
  <c r="J56" i="67"/>
  <c r="J64" i="67"/>
  <c r="K71" i="67"/>
  <c r="I40" i="67"/>
  <c r="J13" i="67"/>
  <c r="K57" i="67"/>
  <c r="I57" i="67"/>
  <c r="I71" i="67"/>
  <c r="J71" i="67"/>
  <c r="K70" i="67"/>
  <c r="H15" i="67"/>
  <c r="J57" i="67"/>
  <c r="F58" i="67"/>
  <c r="F59" i="67"/>
  <c r="H72" i="67"/>
  <c r="H57" i="67"/>
  <c r="K61" i="67"/>
  <c r="J15" i="67"/>
  <c r="H13" i="67"/>
  <c r="F22" i="67"/>
  <c r="K18" i="67"/>
  <c r="F53" i="67"/>
  <c r="J22" i="67"/>
  <c r="H61" i="67"/>
  <c r="K56" i="67"/>
  <c r="J61" i="67"/>
  <c r="J59" i="67"/>
  <c r="F66" i="67"/>
  <c r="K15" i="67"/>
  <c r="H54" i="67"/>
  <c r="F6" i="67"/>
  <c r="I51" i="67"/>
  <c r="J58" i="67"/>
  <c r="I18" i="67"/>
  <c r="H71" i="67"/>
  <c r="H59" i="67"/>
  <c r="K53" i="67"/>
  <c r="H53" i="67"/>
  <c r="I59" i="67"/>
  <c r="I58" i="67"/>
  <c r="I53" i="67"/>
  <c r="J53" i="67"/>
  <c r="I22" i="67"/>
  <c r="H22" i="67"/>
  <c r="K22" i="67"/>
  <c r="K58" i="67"/>
  <c r="H58" i="67"/>
  <c r="K59" i="67"/>
  <c r="J66" i="67"/>
  <c r="I66" i="67"/>
  <c r="H66" i="67"/>
  <c r="K66" i="67"/>
  <c r="F69" i="67"/>
  <c r="J69" i="67"/>
  <c r="K69" i="67"/>
  <c r="I69" i="67"/>
  <c r="K6" i="67"/>
  <c r="I6" i="67"/>
  <c r="J6" i="67"/>
  <c r="H69" i="67"/>
  <c r="H6" i="67"/>
  <c r="F33" i="67"/>
  <c r="F7" i="67"/>
  <c r="F34" i="67"/>
  <c r="I33" i="67"/>
  <c r="K33" i="67"/>
  <c r="F67" i="67"/>
  <c r="F21" i="67"/>
  <c r="H34" i="67"/>
  <c r="H7" i="67"/>
  <c r="F14" i="67"/>
  <c r="F19" i="67"/>
  <c r="J34" i="67"/>
  <c r="H33" i="67"/>
  <c r="K34" i="67"/>
  <c r="F42" i="67"/>
  <c r="I21" i="67"/>
  <c r="I42" i="67"/>
  <c r="I34" i="67"/>
  <c r="F9" i="67"/>
  <c r="K7" i="67"/>
  <c r="K67" i="67"/>
  <c r="K21" i="67"/>
  <c r="I67" i="67"/>
  <c r="F52" i="67"/>
  <c r="I52" i="67"/>
  <c r="I7" i="67"/>
  <c r="K14" i="67"/>
  <c r="H9" i="67"/>
  <c r="F46" i="67"/>
  <c r="H52" i="67"/>
  <c r="J42" i="67"/>
  <c r="J46" i="67"/>
  <c r="F29" i="67"/>
  <c r="J33" i="67"/>
  <c r="J21" i="67"/>
  <c r="J7" i="67"/>
  <c r="K42" i="67"/>
  <c r="K52" i="67"/>
  <c r="I9" i="67"/>
  <c r="K46" i="67"/>
  <c r="J19" i="67"/>
  <c r="H46" i="67"/>
  <c r="H19" i="67"/>
  <c r="J9" i="67"/>
  <c r="K19" i="67"/>
  <c r="H21" i="67"/>
  <c r="I14" i="67"/>
  <c r="J29" i="67"/>
  <c r="J67" i="67"/>
  <c r="J52" i="67"/>
  <c r="H67" i="67"/>
  <c r="J14" i="67"/>
  <c r="I29" i="67"/>
  <c r="H14" i="67"/>
  <c r="I19" i="67"/>
  <c r="H42" i="67"/>
  <c r="K29" i="67"/>
  <c r="H29" i="67"/>
  <c r="I46" i="67"/>
  <c r="K9" i="67"/>
  <c r="F28" i="67"/>
  <c r="F24" i="67"/>
  <c r="H28" i="67"/>
  <c r="F25" i="67"/>
  <c r="F43" i="67"/>
  <c r="H43" i="67"/>
  <c r="F49" i="67"/>
  <c r="J24" i="67"/>
  <c r="H25" i="67"/>
  <c r="F65" i="67"/>
  <c r="I24" i="67"/>
  <c r="F30" i="67"/>
  <c r="K24" i="67"/>
  <c r="I43" i="67"/>
  <c r="H65" i="67"/>
  <c r="F39" i="67"/>
  <c r="I39" i="67"/>
  <c r="F47" i="67"/>
  <c r="I28" i="67"/>
  <c r="I47" i="67"/>
  <c r="I25" i="67"/>
  <c r="J43" i="67"/>
  <c r="J49" i="67"/>
  <c r="J30" i="67"/>
  <c r="J25" i="67"/>
  <c r="H24" i="67"/>
  <c r="J47" i="67"/>
  <c r="J28" i="67"/>
  <c r="F44" i="67"/>
  <c r="K28" i="67"/>
  <c r="F8" i="67"/>
  <c r="F12" i="67"/>
  <c r="H49" i="67"/>
  <c r="K39" i="67"/>
  <c r="I49" i="67"/>
  <c r="K43" i="67"/>
  <c r="I8" i="67"/>
  <c r="K30" i="67"/>
  <c r="K25" i="67"/>
  <c r="I30" i="67"/>
  <c r="J39" i="67"/>
  <c r="I65" i="67"/>
  <c r="K49" i="67"/>
  <c r="K47" i="67"/>
  <c r="K44" i="67"/>
  <c r="H39" i="67"/>
  <c r="K65" i="67"/>
  <c r="J65" i="67"/>
  <c r="H30" i="67"/>
  <c r="H12" i="67"/>
  <c r="I44" i="67"/>
  <c r="H47" i="67"/>
  <c r="I12" i="67"/>
  <c r="K8" i="67"/>
  <c r="H8" i="67"/>
  <c r="J8" i="67"/>
  <c r="H44" i="67"/>
  <c r="J44" i="67"/>
  <c r="K12" i="67"/>
  <c r="J12" i="67"/>
  <c r="F41" i="67"/>
  <c r="J41" i="67"/>
  <c r="H41" i="67"/>
  <c r="K41" i="67"/>
  <c r="F16" i="67"/>
  <c r="K16" i="67"/>
  <c r="F68" i="67"/>
  <c r="J16" i="67"/>
  <c r="I41" i="67"/>
  <c r="H16" i="67"/>
  <c r="K68" i="67"/>
  <c r="F32" i="67"/>
  <c r="J68" i="67"/>
  <c r="F35" i="67"/>
  <c r="K32" i="67"/>
  <c r="I16" i="67"/>
  <c r="I68" i="67"/>
  <c r="I32" i="67"/>
  <c r="H35" i="67"/>
  <c r="H68" i="67"/>
  <c r="K35" i="67"/>
  <c r="J32" i="67"/>
  <c r="J35" i="67"/>
  <c r="I35" i="67"/>
  <c r="H32" i="67"/>
  <c r="F63" i="67"/>
  <c r="H63" i="67"/>
  <c r="F55" i="67"/>
  <c r="J55" i="67"/>
  <c r="F37" i="67"/>
  <c r="J63" i="67"/>
  <c r="F45" i="67"/>
  <c r="K63" i="67"/>
  <c r="F60" i="67"/>
  <c r="F23" i="67"/>
  <c r="F62" i="67"/>
  <c r="F27" i="67"/>
  <c r="H23" i="67"/>
  <c r="F31" i="67"/>
  <c r="H55" i="67"/>
  <c r="I62" i="67"/>
  <c r="I60" i="67"/>
  <c r="I63" i="67"/>
  <c r="H60" i="67"/>
  <c r="K23" i="67"/>
  <c r="H45" i="67"/>
  <c r="I55" i="67"/>
  <c r="J60" i="67"/>
  <c r="K37" i="67"/>
  <c r="H37" i="67"/>
  <c r="J45" i="67"/>
  <c r="H62" i="67"/>
  <c r="J27" i="67"/>
  <c r="I45" i="67"/>
  <c r="K45" i="67"/>
  <c r="K55" i="67"/>
  <c r="I23" i="67"/>
  <c r="K60" i="67"/>
  <c r="I37" i="67"/>
  <c r="I31" i="67"/>
  <c r="H27" i="67"/>
  <c r="K62" i="67"/>
  <c r="J31" i="67"/>
  <c r="J23" i="67"/>
  <c r="J62" i="67"/>
  <c r="K27" i="67"/>
  <c r="J37" i="67"/>
  <c r="K31" i="67"/>
  <c r="H31" i="67"/>
  <c r="I27" i="67"/>
  <c r="F36" i="67"/>
  <c r="F48" i="67"/>
  <c r="J36" i="67"/>
  <c r="H48" i="67"/>
  <c r="H36" i="67"/>
  <c r="I36" i="67"/>
  <c r="J48" i="67"/>
  <c r="K48" i="67"/>
  <c r="K36" i="67"/>
  <c r="I48" i="67"/>
  <c r="F17" i="67"/>
  <c r="I17" i="67"/>
  <c r="K17" i="67"/>
  <c r="H17" i="67"/>
  <c r="J17" i="67"/>
  <c r="F50" i="67"/>
  <c r="I50" i="67"/>
  <c r="H50" i="67"/>
  <c r="K50" i="67"/>
  <c r="J50" i="67"/>
  <c r="F20" i="67"/>
  <c r="H20" i="67"/>
  <c r="I20" i="67"/>
  <c r="K20" i="67"/>
  <c r="J20" i="67"/>
  <c r="F38" i="67"/>
  <c r="J38" i="67"/>
  <c r="K38" i="67"/>
  <c r="I38" i="67"/>
  <c r="H38" i="67"/>
  <c r="F26" i="67"/>
  <c r="K26" i="67"/>
  <c r="H26" i="67"/>
  <c r="I26" i="67"/>
  <c r="J26" i="67"/>
  <c r="G54" i="67" l="1"/>
  <c r="G70" i="67"/>
  <c r="G71" i="67"/>
  <c r="G72" i="67"/>
  <c r="G57" i="67"/>
  <c r="G51" i="67"/>
  <c r="G40" i="67"/>
  <c r="G11" i="67"/>
  <c r="G10" i="67"/>
  <c r="G64" i="67"/>
  <c r="G13" i="67"/>
  <c r="G22" i="67"/>
  <c r="G18" i="67"/>
  <c r="G59" i="67"/>
  <c r="G15" i="67"/>
  <c r="G56" i="67"/>
  <c r="G58" i="67"/>
  <c r="G53" i="67"/>
  <c r="G66" i="67"/>
  <c r="G61" i="67"/>
  <c r="G9" i="67"/>
  <c r="G14" i="67"/>
  <c r="G46" i="67"/>
  <c r="G52" i="67"/>
  <c r="G33" i="67"/>
  <c r="G21" i="67"/>
  <c r="G7" i="67"/>
  <c r="G69" i="67"/>
  <c r="G42" i="67"/>
  <c r="G19" i="67"/>
  <c r="G34" i="67"/>
  <c r="G29" i="67"/>
  <c r="G67" i="67"/>
  <c r="G47" i="67"/>
  <c r="G30" i="67"/>
  <c r="G49" i="67"/>
  <c r="G24" i="67"/>
  <c r="G39" i="67"/>
  <c r="G28" i="67"/>
  <c r="G44" i="67"/>
  <c r="G25" i="67"/>
  <c r="G12" i="67"/>
  <c r="G65" i="67"/>
  <c r="G43" i="67"/>
  <c r="G8" i="67"/>
  <c r="G68" i="67"/>
  <c r="G16" i="67"/>
  <c r="G35" i="67"/>
  <c r="G32" i="67"/>
  <c r="G41" i="67"/>
  <c r="G31" i="67"/>
  <c r="G55" i="67"/>
  <c r="G63" i="67"/>
  <c r="G23" i="67"/>
  <c r="G37" i="67"/>
  <c r="G27" i="67"/>
  <c r="G45" i="67"/>
  <c r="G60" i="67"/>
  <c r="G62" i="67"/>
  <c r="G36" i="67"/>
  <c r="G48" i="67"/>
  <c r="G50" i="67"/>
  <c r="G17" i="67"/>
  <c r="G20" i="67"/>
  <c r="G6" i="67"/>
  <c r="G38" i="67"/>
  <c r="G26" i="67"/>
  <c r="F73" i="67"/>
  <c r="H73" i="67"/>
  <c r="K73" i="67"/>
  <c r="I73" i="67"/>
  <c r="J73" i="67"/>
  <c r="G73" i="67" l="1"/>
</calcChain>
</file>

<file path=xl/sharedStrings.xml><?xml version="1.0" encoding="utf-8"?>
<sst xmlns="http://schemas.openxmlformats.org/spreadsheetml/2006/main" count="1073" uniqueCount="555">
  <si>
    <r>
      <rPr>
        <b/>
        <sz val="12"/>
        <color indexed="60"/>
        <rFont val="맑은 고딕"/>
        <family val="3"/>
        <charset val="129"/>
      </rPr>
      <t>▣</t>
    </r>
    <r>
      <rPr>
        <b/>
        <sz val="12"/>
        <rFont val="맑은 고딕"/>
        <family val="3"/>
        <charset val="129"/>
      </rPr>
      <t xml:space="preserve"> </t>
    </r>
    <r>
      <rPr>
        <b/>
        <u/>
        <sz val="12"/>
        <rFont val="맑은 고딕"/>
        <family val="3"/>
        <charset val="129"/>
      </rPr>
      <t>개정이력</t>
    </r>
    <phoneticPr fontId="5" type="noConversion"/>
  </si>
  <si>
    <t>개정번호</t>
    <phoneticPr fontId="5" type="noConversion"/>
  </si>
  <si>
    <t>개정일자</t>
    <phoneticPr fontId="5" type="noConversion"/>
  </si>
  <si>
    <t>개정내용</t>
    <phoneticPr fontId="5" type="noConversion"/>
  </si>
  <si>
    <t>작성자</t>
    <phoneticPr fontId="5" type="noConversion"/>
  </si>
  <si>
    <t>비고</t>
    <phoneticPr fontId="5" type="noConversion"/>
  </si>
  <si>
    <t>최초 작성</t>
  </si>
  <si>
    <t>1. 목적</t>
    <phoneticPr fontId="5" type="noConversion"/>
  </si>
  <si>
    <t>2. 평가 정의</t>
    <phoneticPr fontId="5" type="noConversion"/>
  </si>
  <si>
    <t>2.1. 취약성 평가</t>
    <phoneticPr fontId="5" type="noConversion"/>
  </si>
  <si>
    <t>2.1.1. 점검항목의 중요도 및 점수 지정</t>
    <phoneticPr fontId="5" type="noConversion"/>
  </si>
  <si>
    <t>점검 결과</t>
    <phoneticPr fontId="5" type="noConversion"/>
  </si>
  <si>
    <t>평가항목의 중요도</t>
    <phoneticPr fontId="5" type="noConversion"/>
  </si>
  <si>
    <t>상</t>
    <phoneticPr fontId="5" type="noConversion"/>
  </si>
  <si>
    <t>중</t>
    <phoneticPr fontId="5" type="noConversion"/>
  </si>
  <si>
    <t>하</t>
    <phoneticPr fontId="5" type="noConversion"/>
  </si>
  <si>
    <t>취약
(취약점 발견)</t>
    <phoneticPr fontId="5" type="noConversion"/>
  </si>
  <si>
    <t>10점</t>
    <phoneticPr fontId="5" type="noConversion"/>
  </si>
  <si>
    <t>8점</t>
    <phoneticPr fontId="5" type="noConversion"/>
  </si>
  <si>
    <t>6점</t>
    <phoneticPr fontId="5" type="noConversion"/>
  </si>
  <si>
    <t>양호
(취약점 제거)</t>
    <phoneticPr fontId="5" type="noConversion"/>
  </si>
  <si>
    <t>0점</t>
    <phoneticPr fontId="5" type="noConversion"/>
  </si>
  <si>
    <t>부분만족
(일부취약점만 제거)</t>
    <phoneticPr fontId="5" type="noConversion"/>
  </si>
  <si>
    <t>5점</t>
    <phoneticPr fontId="5" type="noConversion"/>
  </si>
  <si>
    <t>4점</t>
    <phoneticPr fontId="5" type="noConversion"/>
  </si>
  <si>
    <t>3점</t>
    <phoneticPr fontId="5" type="noConversion"/>
  </si>
  <si>
    <t>2.1.2. 기술적 취약점 점수 계산</t>
    <phoneticPr fontId="5" type="noConversion"/>
  </si>
  <si>
    <t>• 모든 취약점이 식별 되었을 경우의 점수 합(전체점수) : A</t>
    <phoneticPr fontId="1" type="noConversion"/>
  </si>
  <si>
    <t>• 식별된 취약점들의 점수의 점수 합(취약점수) : B</t>
    <phoneticPr fontId="1" type="noConversion"/>
  </si>
  <si>
    <t xml:space="preserve">• 계산식 : </t>
  </si>
  <si>
    <t>• 자산의 수 : N</t>
  </si>
  <si>
    <t>• 자산별 점수 : S1, S2, …, SN</t>
  </si>
  <si>
    <t>3. 취약점 제거 방안</t>
    <phoneticPr fontId="5" type="noConversion"/>
  </si>
  <si>
    <t>3.1 긴급 조치 항목 우선 제거</t>
    <phoneticPr fontId="5" type="noConversion"/>
  </si>
  <si>
    <r>
      <rPr>
        <b/>
        <sz val="10"/>
        <color indexed="10"/>
        <rFont val="맑은 고딕"/>
        <family val="3"/>
        <charset val="129"/>
      </rPr>
      <t>• 긴급히 조치해야할 항목</t>
    </r>
    <r>
      <rPr>
        <sz val="10"/>
        <rFont val="맑은 고딕"/>
        <family val="3"/>
        <charset val="129"/>
      </rPr>
      <t>으로써 우선적으로 취약점을 제거하여 주십시오.</t>
    </r>
    <phoneticPr fontId="5" type="noConversion"/>
  </si>
  <si>
    <t>3.2 "보안 가이드"를 참고하여 취약점 제거</t>
    <phoneticPr fontId="5" type="noConversion"/>
  </si>
  <si>
    <t>• 취약한 항목의 코드와 동일한 항목을 "보안가이드"에서 해당 항목에서 찾습니다.</t>
    <phoneticPr fontId="5" type="noConversion"/>
  </si>
  <si>
    <t>• "보안가이드"에서 해당 항목의 &lt;조치방안&gt;을 참고하여 시스템 환경과 서비스에 맞도록 삭제 또는 수정 등으로 취약점을 제거하여 주십시오.</t>
    <phoneticPr fontId="5" type="noConversion"/>
  </si>
  <si>
    <t>• &lt;조치방안&gt;은 해당 자산 정보에 맞춰서 참고하시기 바랍니다.</t>
    <phoneticPr fontId="5" type="noConversion"/>
  </si>
  <si>
    <r>
      <rPr>
        <b/>
        <sz val="12"/>
        <color indexed="60"/>
        <rFont val="맑은 고딕"/>
        <family val="3"/>
        <charset val="129"/>
      </rPr>
      <t>▣</t>
    </r>
    <r>
      <rPr>
        <b/>
        <sz val="12"/>
        <color indexed="56"/>
        <rFont val="맑은 고딕"/>
        <family val="3"/>
        <charset val="129"/>
      </rPr>
      <t xml:space="preserve"> </t>
    </r>
    <r>
      <rPr>
        <b/>
        <u/>
        <sz val="12"/>
        <color indexed="8"/>
        <rFont val="맑은 고딕"/>
        <family val="3"/>
        <charset val="129"/>
      </rPr>
      <t>점검 영역별 보안수준</t>
    </r>
  </si>
  <si>
    <t>구분</t>
  </si>
  <si>
    <t>점검 결과</t>
  </si>
  <si>
    <t>점검 점수</t>
    <phoneticPr fontId="1" type="noConversion"/>
  </si>
  <si>
    <t>전체항목</t>
  </si>
  <si>
    <t>점검항목</t>
  </si>
  <si>
    <t>양호</t>
  </si>
  <si>
    <t>취약</t>
  </si>
  <si>
    <t>부분만족</t>
  </si>
  <si>
    <t>해당없음</t>
  </si>
  <si>
    <t>전체점수</t>
  </si>
  <si>
    <t>취약점수</t>
    <phoneticPr fontId="1" type="noConversion"/>
  </si>
  <si>
    <t>보안수준</t>
  </si>
  <si>
    <t>계정 관리</t>
    <phoneticPr fontId="5" type="noConversion"/>
  </si>
  <si>
    <t>파일 및 디렉터리 관리</t>
    <phoneticPr fontId="5" type="noConversion"/>
  </si>
  <si>
    <t>서비스 관리</t>
    <phoneticPr fontId="5" type="noConversion"/>
  </si>
  <si>
    <t>패치 관리</t>
    <phoneticPr fontId="5" type="noConversion"/>
  </si>
  <si>
    <t>로그 관리</t>
    <phoneticPr fontId="5" type="noConversion"/>
  </si>
  <si>
    <t>계</t>
  </si>
  <si>
    <r>
      <t xml:space="preserve">▣ </t>
    </r>
    <r>
      <rPr>
        <b/>
        <u/>
        <sz val="10"/>
        <color indexed="9"/>
        <rFont val="맑은 고딕"/>
        <family val="3"/>
        <charset val="129"/>
      </rPr>
      <t>점검 영역별 보안수준 그래프</t>
    </r>
    <phoneticPr fontId="5" type="noConversion"/>
  </si>
  <si>
    <t>Host 명</t>
  </si>
  <si>
    <t>DoA</t>
    <phoneticPr fontId="5" type="noConversion"/>
  </si>
  <si>
    <t>No</t>
    <phoneticPr fontId="5" type="noConversion"/>
  </si>
  <si>
    <t>자산정보</t>
    <phoneticPr fontId="5" type="noConversion"/>
  </si>
  <si>
    <t>자산평가</t>
    <phoneticPr fontId="5" type="noConversion"/>
  </si>
  <si>
    <t>HostName</t>
    <phoneticPr fontId="5" type="noConversion"/>
  </si>
  <si>
    <t>O/S</t>
    <phoneticPr fontId="5" type="noConversion"/>
  </si>
  <si>
    <t xml:space="preserve"> IP</t>
    <phoneticPr fontId="5" type="noConversion"/>
  </si>
  <si>
    <t>용도</t>
    <phoneticPr fontId="5" type="noConversion"/>
  </si>
  <si>
    <t>C</t>
    <phoneticPr fontId="5" type="noConversion"/>
  </si>
  <si>
    <t>I</t>
    <phoneticPr fontId="5" type="noConversion"/>
  </si>
  <si>
    <t>A</t>
    <phoneticPr fontId="5" type="noConversion"/>
  </si>
  <si>
    <t>등급</t>
  </si>
  <si>
    <t>구분</t>
    <phoneticPr fontId="5" type="noConversion"/>
  </si>
  <si>
    <t>중요도</t>
    <phoneticPr fontId="5" type="noConversion"/>
  </si>
  <si>
    <t>점수</t>
    <phoneticPr fontId="5" type="noConversion"/>
  </si>
  <si>
    <t>점검통계</t>
  </si>
  <si>
    <t>분류</t>
    <phoneticPr fontId="5" type="noConversion"/>
  </si>
  <si>
    <t>항목코드</t>
    <phoneticPr fontId="5" type="noConversion"/>
  </si>
  <si>
    <t>점검 항목</t>
  </si>
  <si>
    <t>전체항목</t>
    <phoneticPr fontId="5" type="noConversion"/>
  </si>
  <si>
    <t>양호</t>
    <phoneticPr fontId="5" type="noConversion"/>
  </si>
  <si>
    <t>취약</t>
    <phoneticPr fontId="5" type="noConversion"/>
  </si>
  <si>
    <t>해당없음</t>
    <phoneticPr fontId="5" type="noConversion"/>
  </si>
  <si>
    <t>U-01</t>
  </si>
  <si>
    <t>root 계정 원격 접속 제한</t>
  </si>
  <si>
    <t>상</t>
  </si>
  <si>
    <t>U-02</t>
  </si>
  <si>
    <t>U-03</t>
  </si>
  <si>
    <t>U-04</t>
  </si>
  <si>
    <t>U-05</t>
  </si>
  <si>
    <t>root 이외의 UID가 '0' 금지</t>
  </si>
  <si>
    <t>중</t>
  </si>
  <si>
    <t>U-06</t>
  </si>
  <si>
    <t>하</t>
  </si>
  <si>
    <t>U-07</t>
  </si>
  <si>
    <t>U-08</t>
  </si>
  <si>
    <t>U-09</t>
  </si>
  <si>
    <t>U-10</t>
  </si>
  <si>
    <t>불필요한 계정 제거</t>
    <phoneticPr fontId="1" type="noConversion"/>
  </si>
  <si>
    <t>U-11</t>
  </si>
  <si>
    <t>관리자 그룹에 최소한의 계정 포함</t>
  </si>
  <si>
    <t>U-12</t>
  </si>
  <si>
    <t>계정이 존재하지 않는 GID 금지</t>
  </si>
  <si>
    <t>U-13</t>
  </si>
  <si>
    <t>동일한 UID 금지</t>
  </si>
  <si>
    <t>U-14</t>
  </si>
  <si>
    <t>사용자 shell 점검</t>
  </si>
  <si>
    <t>U-15</t>
  </si>
  <si>
    <t>U-16</t>
  </si>
  <si>
    <t>root 홈, 패스 디렉터리 권한 및 패스 설정</t>
  </si>
  <si>
    <t>U-17</t>
  </si>
  <si>
    <t>파일 및 디렉터리 소유자 설정</t>
  </si>
  <si>
    <t>U-18</t>
  </si>
  <si>
    <t>/etc/passwd 파일 소유자 및 권한 설정</t>
  </si>
  <si>
    <t>U-19</t>
  </si>
  <si>
    <t>/etc/shadow 파일 소유자 및 권한 설정</t>
  </si>
  <si>
    <t>U-20</t>
  </si>
  <si>
    <t>/etc/hosts 파일 소유자 및 권한 설정</t>
  </si>
  <si>
    <t>U-21</t>
  </si>
  <si>
    <t>/etc/(x)inetd.conf 파일 소유자 및 권한 설정</t>
  </si>
  <si>
    <t>U-22</t>
  </si>
  <si>
    <t>U-23</t>
  </si>
  <si>
    <t>/etc/services 파일 소유자 및 권한 설정</t>
  </si>
  <si>
    <t>U-24</t>
  </si>
  <si>
    <t>SUID, SGID, Sticky bit 설정 파일 점검</t>
  </si>
  <si>
    <t>U-25</t>
  </si>
  <si>
    <t>U-26</t>
  </si>
  <si>
    <t>world writable 파일 점검</t>
    <phoneticPr fontId="1" type="noConversion"/>
  </si>
  <si>
    <t>U-27</t>
  </si>
  <si>
    <t>/dev에 존재하지 않는 device 파일 점검</t>
  </si>
  <si>
    <t>U-28</t>
  </si>
  <si>
    <t>$HOME/.rhosts, hosts.equiv 사용 금지</t>
  </si>
  <si>
    <t>U-29</t>
  </si>
  <si>
    <t>접속 IP 및 포트 제한</t>
  </si>
  <si>
    <t>U-30</t>
  </si>
  <si>
    <t>hosts.lpd 파일 소유자 및 권한 설정</t>
  </si>
  <si>
    <t>U-31</t>
  </si>
  <si>
    <t>UMASK 설정 관리</t>
  </si>
  <si>
    <t>U-32</t>
  </si>
  <si>
    <t>홈 디렉터리 소유자 및 권한 설정</t>
  </si>
  <si>
    <t>U-33</t>
  </si>
  <si>
    <t>홈 디렉터리로 지정한 디렉터리의 존재 관리</t>
  </si>
  <si>
    <t>U-34</t>
  </si>
  <si>
    <t>숨겨진 파일 및 디렉터리 검색 및 제거</t>
  </si>
  <si>
    <t>U-35</t>
  </si>
  <si>
    <t>Finger 서비스 비활성화</t>
  </si>
  <si>
    <t>U-36</t>
  </si>
  <si>
    <t>U-37</t>
  </si>
  <si>
    <t>r 계열 서비스 비활성화</t>
  </si>
  <si>
    <t>U-38</t>
  </si>
  <si>
    <t>U-39</t>
  </si>
  <si>
    <t>DoS 공격에 취약한 서비스 비활성화</t>
  </si>
  <si>
    <t>U-40</t>
  </si>
  <si>
    <t>U-41</t>
  </si>
  <si>
    <t>NFS 접근통제</t>
  </si>
  <si>
    <t>U-42</t>
  </si>
  <si>
    <t>U-43</t>
  </si>
  <si>
    <t>U-44</t>
  </si>
  <si>
    <t>NIS, NIS+ 점검</t>
  </si>
  <si>
    <t>U-45</t>
  </si>
  <si>
    <t>tftp, talk 서비스 비활성화</t>
  </si>
  <si>
    <t>U-46</t>
  </si>
  <si>
    <t>U-47</t>
  </si>
  <si>
    <t>스팸 메일 릴레이 제한</t>
  </si>
  <si>
    <t>U-48</t>
  </si>
  <si>
    <t>U-49</t>
  </si>
  <si>
    <t>DNS 보안 버전 패치</t>
  </si>
  <si>
    <t>U-50</t>
  </si>
  <si>
    <t>DNS Zone Transfer 설정</t>
  </si>
  <si>
    <t>U-51</t>
  </si>
  <si>
    <t>U-52</t>
  </si>
  <si>
    <t>U-53</t>
  </si>
  <si>
    <t>U-54</t>
  </si>
  <si>
    <t>U-55</t>
  </si>
  <si>
    <t>U-56</t>
  </si>
  <si>
    <t>U-57</t>
  </si>
  <si>
    <t>U-58</t>
  </si>
  <si>
    <t>U-59</t>
  </si>
  <si>
    <t>U-60</t>
  </si>
  <si>
    <t>U-61</t>
  </si>
  <si>
    <t>U-62</t>
  </si>
  <si>
    <t>Ftpusers 파일 설정</t>
  </si>
  <si>
    <t>U-63</t>
  </si>
  <si>
    <t>U-64</t>
  </si>
  <si>
    <t>U-65</t>
  </si>
  <si>
    <t>U-66</t>
  </si>
  <si>
    <t>U-67</t>
  </si>
  <si>
    <t>expn, vrfy 명령어 제한</t>
  </si>
  <si>
    <t>정책에 따른 시스템 로깅 설정</t>
  </si>
  <si>
    <t>전체항목 합계</t>
    <phoneticPr fontId="5" type="noConversion"/>
  </si>
  <si>
    <t>취약점제거</t>
    <phoneticPr fontId="5" type="noConversion"/>
  </si>
  <si>
    <t>취약점발견</t>
    <phoneticPr fontId="5" type="noConversion"/>
  </si>
  <si>
    <t>일부 취약점만 제거</t>
    <phoneticPr fontId="5" type="noConversion"/>
  </si>
  <si>
    <t>부분만족</t>
    <phoneticPr fontId="5" type="noConversion"/>
  </si>
  <si>
    <t>N/A</t>
    <phoneticPr fontId="5" type="noConversion"/>
  </si>
  <si>
    <r>
      <rPr>
        <b/>
        <sz val="12"/>
        <color indexed="60"/>
        <rFont val="맑은 고딕"/>
        <family val="3"/>
        <charset val="129"/>
      </rPr>
      <t>▣</t>
    </r>
    <r>
      <rPr>
        <b/>
        <sz val="12"/>
        <color indexed="8"/>
        <rFont val="맑은 고딕"/>
        <family val="3"/>
        <charset val="129"/>
      </rPr>
      <t xml:space="preserve"> </t>
    </r>
    <r>
      <rPr>
        <b/>
        <u/>
        <sz val="12"/>
        <color indexed="8"/>
        <rFont val="맑은 고딕"/>
        <family val="3"/>
        <charset val="129"/>
      </rPr>
      <t>장비별 점검 상세 결과</t>
    </r>
    <phoneticPr fontId="37" type="noConversion"/>
  </si>
  <si>
    <r>
      <rPr>
        <b/>
        <sz val="12"/>
        <color indexed="60"/>
        <rFont val="맑은 고딕"/>
        <family val="3"/>
        <charset val="129"/>
      </rPr>
      <t>▣</t>
    </r>
    <r>
      <rPr>
        <b/>
        <sz val="12"/>
        <color indexed="56"/>
        <rFont val="맑은 고딕"/>
        <family val="3"/>
        <charset val="129"/>
      </rPr>
      <t xml:space="preserve"> </t>
    </r>
    <r>
      <rPr>
        <b/>
        <u/>
        <sz val="12"/>
        <color indexed="8"/>
        <rFont val="맑은 고딕"/>
        <family val="3"/>
        <charset val="129"/>
      </rPr>
      <t>시스템 현황</t>
    </r>
    <phoneticPr fontId="37" type="noConversion"/>
  </si>
  <si>
    <t>Host Name</t>
    <phoneticPr fontId="37" type="noConversion"/>
  </si>
  <si>
    <t>O/S</t>
    <phoneticPr fontId="37" type="noConversion"/>
  </si>
  <si>
    <r>
      <t xml:space="preserve">▣ </t>
    </r>
    <r>
      <rPr>
        <b/>
        <u/>
        <sz val="12"/>
        <color indexed="9"/>
        <rFont val="맑은 고딕"/>
        <family val="3"/>
        <charset val="129"/>
      </rPr>
      <t>장비별 보안수준 그래프</t>
    </r>
    <phoneticPr fontId="37" type="noConversion"/>
  </si>
  <si>
    <t>IP Address</t>
    <phoneticPr fontId="37" type="noConversion"/>
  </si>
  <si>
    <t>용도</t>
    <phoneticPr fontId="37" type="noConversion"/>
  </si>
  <si>
    <r>
      <rPr>
        <b/>
        <sz val="12"/>
        <color indexed="60"/>
        <rFont val="맑은 고딕"/>
        <family val="3"/>
        <charset val="129"/>
      </rPr>
      <t>▣</t>
    </r>
    <r>
      <rPr>
        <b/>
        <sz val="12"/>
        <color indexed="56"/>
        <rFont val="맑은 고딕"/>
        <family val="3"/>
        <charset val="129"/>
      </rPr>
      <t xml:space="preserve"> </t>
    </r>
    <r>
      <rPr>
        <b/>
        <u/>
        <sz val="12"/>
        <rFont val="맑은 고딕"/>
        <family val="3"/>
        <charset val="129"/>
      </rPr>
      <t>자산평가</t>
    </r>
    <phoneticPr fontId="37" type="noConversion"/>
  </si>
  <si>
    <t>자산가치</t>
    <phoneticPr fontId="37" type="noConversion"/>
  </si>
  <si>
    <t>C</t>
    <phoneticPr fontId="37" type="noConversion"/>
  </si>
  <si>
    <t>I</t>
    <phoneticPr fontId="37" type="noConversion"/>
  </si>
  <si>
    <t>A</t>
    <phoneticPr fontId="37" type="noConversion"/>
  </si>
  <si>
    <t>중요도</t>
    <phoneticPr fontId="37" type="noConversion"/>
  </si>
  <si>
    <t>등급</t>
    <phoneticPr fontId="37" type="noConversion"/>
  </si>
  <si>
    <t>DoA</t>
    <phoneticPr fontId="37" type="noConversion"/>
  </si>
  <si>
    <r>
      <rPr>
        <b/>
        <sz val="12"/>
        <color indexed="60"/>
        <rFont val="맑은 고딕"/>
        <family val="3"/>
        <charset val="129"/>
      </rPr>
      <t>▣</t>
    </r>
    <r>
      <rPr>
        <b/>
        <sz val="12"/>
        <color indexed="8"/>
        <rFont val="맑은 고딕"/>
        <family val="3"/>
        <charset val="129"/>
      </rPr>
      <t xml:space="preserve"> </t>
    </r>
    <r>
      <rPr>
        <b/>
        <u/>
        <sz val="12"/>
        <color indexed="8"/>
        <rFont val="맑은 고딕"/>
        <family val="3"/>
        <charset val="129"/>
      </rPr>
      <t>영역별 점검 결과</t>
    </r>
    <phoneticPr fontId="37" type="noConversion"/>
  </si>
  <si>
    <t>분류</t>
    <phoneticPr fontId="37" type="noConversion"/>
  </si>
  <si>
    <t>항목 통계</t>
    <phoneticPr fontId="37" type="noConversion"/>
  </si>
  <si>
    <t>점검 점수</t>
  </si>
  <si>
    <t>전체</t>
    <phoneticPr fontId="37" type="noConversion"/>
  </si>
  <si>
    <t>점검</t>
  </si>
  <si>
    <t>양호</t>
    <phoneticPr fontId="37" type="noConversion"/>
  </si>
  <si>
    <t>취약</t>
    <phoneticPr fontId="37" type="noConversion"/>
  </si>
  <si>
    <t>해당없음</t>
    <phoneticPr fontId="37" type="noConversion"/>
  </si>
  <si>
    <t>전체점수</t>
    <phoneticPr fontId="37" type="noConversion"/>
  </si>
  <si>
    <t>취약점수</t>
    <phoneticPr fontId="37" type="noConversion"/>
  </si>
  <si>
    <t>보안수준</t>
    <phoneticPr fontId="37" type="noConversion"/>
  </si>
  <si>
    <t>계정 관리</t>
  </si>
  <si>
    <t>파일 및 디렉터리 관리</t>
  </si>
  <si>
    <t>서비스 관리</t>
  </si>
  <si>
    <t>패치 관리</t>
  </si>
  <si>
    <t>로그 관리</t>
  </si>
  <si>
    <t>전체 보안 수준</t>
    <phoneticPr fontId="5" type="noConversion"/>
  </si>
  <si>
    <r>
      <rPr>
        <b/>
        <sz val="12"/>
        <color indexed="60"/>
        <rFont val="맑은 고딕"/>
        <family val="3"/>
        <charset val="129"/>
      </rPr>
      <t>▣</t>
    </r>
    <r>
      <rPr>
        <b/>
        <sz val="12"/>
        <color indexed="8"/>
        <rFont val="맑은 고딕"/>
        <family val="3"/>
        <charset val="129"/>
      </rPr>
      <t xml:space="preserve"> </t>
    </r>
    <r>
      <rPr>
        <b/>
        <u/>
        <sz val="12"/>
        <color indexed="8"/>
        <rFont val="맑은 고딕"/>
        <family val="3"/>
        <charset val="129"/>
      </rPr>
      <t>상세 점검 현황</t>
    </r>
    <phoneticPr fontId="37" type="noConversion"/>
  </si>
  <si>
    <t>(취약점제거: '양호', 취약점발견: '취약', 일부 취약점만 제거: '부분만족', 해당사항없음: 'N/A')</t>
    <phoneticPr fontId="5" type="noConversion"/>
  </si>
  <si>
    <t>중요도 값</t>
    <phoneticPr fontId="1" type="noConversion"/>
  </si>
  <si>
    <t>점검
결과 값</t>
    <phoneticPr fontId="1" type="noConversion"/>
  </si>
  <si>
    <t>점검결과</t>
    <phoneticPr fontId="1" type="noConversion"/>
  </si>
  <si>
    <t>점검현황</t>
    <phoneticPr fontId="37" type="noConversion"/>
  </si>
  <si>
    <t>운영현황</t>
    <phoneticPr fontId="37" type="noConversion"/>
  </si>
  <si>
    <t>점검 현황 
사항 입력 란</t>
    <phoneticPr fontId="37" type="noConversion"/>
  </si>
  <si>
    <t>불필요한 계정 제거</t>
  </si>
  <si>
    <t>world writable 파일 점검</t>
  </si>
  <si>
    <t xml:space="preserve">■ 기준 : 원격 서비스를 사용하지 않거나, 사용 시 root 직접 접속을 차단한 경우 "양호"
■ 현황 : </t>
  </si>
  <si>
    <t xml:space="preserve">■ 기준 : root 직접 접속을 허용하고 원격 서비스를 사용하는 경우 "취약"
■ 현황 : </t>
  </si>
  <si>
    <t xml:space="preserve">■ 기준 : 
원격 서비스를 사용하지 않거나, 사용 시 root 직접 접속을 차단한 경우 "양호"
root 직접 접속을 허용하고 원격 서비스를 사용하는 경우 "취약"
■ 현황 : </t>
  </si>
  <si>
    <t>계정 잠금 임계값 설정</t>
    <phoneticPr fontId="5" type="noConversion"/>
  </si>
  <si>
    <t xml:space="preserve">■ 기준 : root 계정과 동일한 UID를 갖는 계정이 존재하지 않는 경우 "양호"
■ 현황 : </t>
  </si>
  <si>
    <t xml:space="preserve">■ 기준 : root 계정과 동일한 UID를 갖는 계정이 존재하는 경우 "취약"
■ 현황 : </t>
  </si>
  <si>
    <t xml:space="preserve">■ 기준 : 
root 계정과 동일한 UID를 갖는 계정이 존재하지 않는 경우 "양호"
root 계정과 동일한 UID를 갖는 계정이 존재하는 경우 "취약"
■ 현황 : </t>
  </si>
  <si>
    <t xml:space="preserve">■ 기준 : 불필요한 계정이 존재하지 않는 경우 "양호"
■ 현황 : </t>
  </si>
  <si>
    <t xml:space="preserve">■ 기준 : 불필요한 계정이 존재하지 경우 "취약"
■ 현황 : </t>
  </si>
  <si>
    <t xml:space="preserve">■ 기준 : 
불필요한 계정이 존재하지 않는 경우 "양호"
불필요한 계정이 존재하지 경우 "취약"
■ 현황 : </t>
  </si>
  <si>
    <t xml:space="preserve">■ 기준 : 관리자 그룹에 불필요한 계정이 등록되어 있지 않은 경우 "양호"
■ 현황 : </t>
  </si>
  <si>
    <t xml:space="preserve">■ 기준 : 관리자 그룹에 불필요한 계정이 등록되어 있는 경우 "취약"
■ 현황 : </t>
  </si>
  <si>
    <t xml:space="preserve">■ 기준 : 
관리자 그룹에 불필요한 계정이 등록되어 있지 않은 경우 "양호"
관리자 그룹에 불필요한 계정이 등록되어 있는 경우 "취약"
■ 현황 : </t>
  </si>
  <si>
    <t xml:space="preserve">■ 기준 : 동일한 UID로 설정된 사용자 계정이 존재하지 않는 경우 "양호"
■ 현황 : </t>
  </si>
  <si>
    <t xml:space="preserve">■ 기준 : 동일한 UID로 설정된 사용자 계정이 존재하는 경우 "취약"
■ 현황 : </t>
  </si>
  <si>
    <t xml:space="preserve">■ 기준 : 
동일한 UID로 설정된 사용자 계정이 존재하지 않는 경우 "양호"
동일한 UID로 설정된 사용자 계정이 존재하는 경우 "취약"
■ 현황 : </t>
  </si>
  <si>
    <t xml:space="preserve">■ 기준 : 로그인이 필요하지 않은 계정에 /bin/false(nologin) 쉘이 부여되어 있는 경우 "양호"
■ 현황 : </t>
  </si>
  <si>
    <t xml:space="preserve">■ 기준 : 로그인이 필요하지 않은 계정에 /bin/false(nologin) 쉘이 부여되지 않은 경우 "취약"
■ 현황 : </t>
  </si>
  <si>
    <t xml:space="preserve">■ 기준 : 
로그인이 필요하지 않은 계정에 /bin/false(nologin) 쉘이 부여되어 있는 경우 "양호"
로그인이 필요하지 않은 계정에 /bin/false(nologin) 쉘이 부여되지 않은 경우 "취약"
■ 현황 : </t>
  </si>
  <si>
    <t xml:space="preserve">■ 기준 : Session Timeout이 600초(10분) 이하로 설정되어 있는 경우 "양호"
■ 현황 : </t>
  </si>
  <si>
    <t xml:space="preserve">■ 기준 : Session Timeout이 600초(10분) 이하로 설정되지 않은 경우 "취약"
■ 현황 : </t>
  </si>
  <si>
    <t xml:space="preserve">■ 기준 : 
Session Timeout이 600초(10분) 이하로 설정되어 있는 경우 "양호"
Session Timeout이 600초(10분) 이하로 설정되지 않은 경우 "취약"
■ 현황 : </t>
  </si>
  <si>
    <t xml:space="preserve">■ 기준 : PATH 환경변수에 “.” 이 맨 앞이나 중간에 포함되지 않은 경우 "양호"
■ 현황 : </t>
  </si>
  <si>
    <t xml:space="preserve">■ 기준 : PATH 환경변수에 “.” 이 맨 앞이나 중간에 포함되어 있는 경우 "취약"
■ 현황 : </t>
  </si>
  <si>
    <t xml:space="preserve">■ 기준 : 
PATH 환경변수에 “.” 이 맨 앞이나 중간에 포함되지 않은 경우 "양호"
PATH 환경변수에 “.” 이 맨 앞이나 중간에 포함되어 있는 경우 "취약"
■ 현황 : </t>
  </si>
  <si>
    <t xml:space="preserve">■ 기준 : 소유자가 존재하지 않은 파일 및 디렉터리가 존재하지 않는 경우"양호"
■ 현황 : </t>
  </si>
  <si>
    <t xml:space="preserve">■ 기준 : 소유자가 존재하지 않은 파일 및 디렉터리가 존재하는 경우 "취약"
■ 현황 : </t>
  </si>
  <si>
    <t xml:space="preserve">■ 기준 : 
소유자가 존재하지 않은 파일 및 디렉터리가 존재하지 않는 경우"양호"
소유자가 존재하지 않은 파일 및 디렉터리가 존재하는 경우 "취약"
■ 현황 : </t>
  </si>
  <si>
    <t xml:space="preserve">■ 기준 : /etc/passwd 파일의 소유자가 root이고, 권한이 644 이하인 경우 "양호"
■ 현황 : </t>
  </si>
  <si>
    <t xml:space="preserve">■ 기준 : /etc/passwd 파일의 소유자가 root가 아니거나, 권한이 644 이하가 아닌 경우 "취약"
■ 현황 : </t>
  </si>
  <si>
    <t xml:space="preserve">■ 기준 : 
/etc/passwd 파일의 소유자가 root이고, 권한이 644 이하인 경우 "양호"
/etc/passwd 파일의 소유자가 root가 아니거나, 권한이 644 이하가 아닌 경우 "취약"
■ 현황 : </t>
  </si>
  <si>
    <t xml:space="preserve">■ 기준 : /etc/shadow 파일의 소유자가 root이고, 권한이 400인 경우 "양호"
■ 현황 : </t>
  </si>
  <si>
    <t xml:space="preserve">■ 기준 : /etc/shadow 파일의 소유자가 root가 아니거나, 권한이 400이 아닌 경우 "취약"
■ 현황 : </t>
  </si>
  <si>
    <t xml:space="preserve">■ 기준 : 
/etc/shadow 파일의 소유자가 root이고, 권한이 400인 경우 "양호"
/etc/shadow 파일의 소유자가 root가 아니거나, 권한이 400이 아닌 경우 "취약"
■ 현황 : </t>
  </si>
  <si>
    <t xml:space="preserve">■ 기준 : /etc/hosts 파일의 소유자가 root이고, 권한이 600인 경우 "양호"
■ 현황 : </t>
  </si>
  <si>
    <t xml:space="preserve">■ 기준 : /etc/hosts 파일의 소유자가 root가 아니거나, 권한이 600이 아닌 경우 "취약"
■ 현황 : </t>
  </si>
  <si>
    <t xml:space="preserve">■ 기준 : 
/etc/hosts 파일의 소유자가 root이고, 권한이 600인 경우 "양호"
/etc/hosts 파일의 소유자가 root가 아니거나, 권한이 600이 아닌 경우 "취약"
■ 현황 : </t>
  </si>
  <si>
    <t xml:space="preserve">■ 기준 : /etc/services 파일의 소유자가 root이고, 권한이 644인 경우 "양호"
■ 현황 : </t>
  </si>
  <si>
    <t xml:space="preserve">■ 기준 : /etc/services 파일의 소유자가 root가 아니거나, 권한이 644가 아닌 경우 "취약"
■ 현황 : </t>
  </si>
  <si>
    <t xml:space="preserve">■ 기준 : 
/etc/services 파일의 소유자가 root이고, 권한이 644인 경우 "양호"
/etc/services 파일의 소유자가 root가 아니거나, 권한이 644가 아닌 경우 "취약"
■ 현황 : </t>
  </si>
  <si>
    <t xml:space="preserve">■ 기준 : UMASK 값이 022 이상으로 설정된 경우 "양호"
■ 현황 : </t>
  </si>
  <si>
    <t xml:space="preserve">■ 기준 : UMASK 값이 022 이하로 설정된 경우 "취약"
■ 현황 : </t>
  </si>
  <si>
    <t xml:space="preserve">■ 기준 : 
UMASK 값이 022 이상으로 설정된 경우 "양호"
UMASK 값이 022 이상으로 설정되지 않은 경우 "취약"
■ 현황 : </t>
  </si>
  <si>
    <t xml:space="preserve">■ 기준 : 홈 디렉터리가 존재하지 않는 계정이 발견되지 않는 경우 "양호"
■ 현황 : </t>
  </si>
  <si>
    <t xml:space="preserve">■ 기준 : 홈 디렉터리가 존재하지 않는 계정이 발견된 경우 "취약"
■ 현황 : </t>
  </si>
  <si>
    <t xml:space="preserve">■ 기준 : 
홈 디렉터리가 존재하지 않는 계정이 발견되지 않는 경우 "양호"
홈 디렉터리가 존재하지 않는 계정이 발견된 경우 "취약"
■ 현황 : </t>
  </si>
  <si>
    <t xml:space="preserve">■ 기준 : Finger 서비스가 비활성화 되어 있는 경우 "양호"
■ 현황 : </t>
  </si>
  <si>
    <t xml:space="preserve">■ 기준 : Finger 서비스가 활성화 되어 있는 경우 "취약"
■ 현황 : </t>
  </si>
  <si>
    <t xml:space="preserve">■ 기준 : 
Finger 서비스가 비활성화 되어 있는 경우 "양호"
Finger 서비스가 활성화 되어 있는 경우 "취약"
■ 현황 : </t>
  </si>
  <si>
    <t xml:space="preserve">■ 기준 : automountd 서비스가 비활성화 되어 있는 경우 "양호"
■ 현황 : </t>
  </si>
  <si>
    <t xml:space="preserve">■ 기준 : automountd 서비스가 활성화 되어 있는 경우 "취약"
■ 현황 : </t>
  </si>
  <si>
    <t xml:space="preserve">■ 기준 : 
automountd 서비스가 비활성화 되어 있는 경우 "양호"
automountd 서비스가 활성화 되어 있는 경우 "취약"
■ 현황 : </t>
  </si>
  <si>
    <t xml:space="preserve">■ 기준 : 불필요한 RPC 서비스가 비활성화 되어 있는 경우 "양호"
■ 현황 : </t>
  </si>
  <si>
    <t xml:space="preserve">■ 기준 : 불필요한 RPC 서비스가 활성화 되어 있는 경우 "취약"
■ 현황 : </t>
  </si>
  <si>
    <t xml:space="preserve">■ 기준 : 
불필요한 RPC 서비스가 비활성화 되어 있는 경우 "양호"
불필요한 RPC 서비스가 활성화 되어 있는 경우 "취약"
■ 현황 : </t>
  </si>
  <si>
    <t xml:space="preserve">■ 기준 : NIS 서비스가 활성화 되어 있는 경우 "취약"
■ 현황 : </t>
  </si>
  <si>
    <t xml:space="preserve">■ 기준 : SNMP 서비스를 사용하지 않는 경우 "양호"
■ 현황 : </t>
  </si>
  <si>
    <t xml:space="preserve">■ 기준 : SNMP 서비스를 사용하는 경우 "취약"
■ 현황 : </t>
  </si>
  <si>
    <t xml:space="preserve">■ 기준 : 
SNMP 서비스를 사용하지 않는 경우 "양호"
SNMP 서비스를 사용하는 경우 "취약"
■ 현황 : </t>
  </si>
  <si>
    <t>구     분</t>
  </si>
  <si>
    <t>관리</t>
  </si>
  <si>
    <t>본 문서는 임의로 복사
되거나 배포될 수 없음</t>
  </si>
  <si>
    <t>대외비</t>
  </si>
  <si>
    <t>문서번호</t>
  </si>
  <si>
    <t>v0.1</t>
    <phoneticPr fontId="5" type="noConversion"/>
  </si>
  <si>
    <t>U-01</t>
    <phoneticPr fontId="5" type="noConversion"/>
  </si>
  <si>
    <t>U-02</t>
    <phoneticPr fontId="5" type="noConversion"/>
  </si>
  <si>
    <t>U-03</t>
    <phoneticPr fontId="5" type="noConversion"/>
  </si>
  <si>
    <t>U-04</t>
    <phoneticPr fontId="5" type="noConversion"/>
  </si>
  <si>
    <t>root 계정 원격 접속 제한</t>
    <phoneticPr fontId="1" type="noConversion"/>
  </si>
  <si>
    <t>계정 잠금 임계값 설정</t>
    <phoneticPr fontId="1" type="noConversion"/>
  </si>
  <si>
    <t>PATH 설정에 '.'이 맨 앞이나 중간에 포함되어 있지 않으므로 양호함</t>
    <phoneticPr fontId="1" type="noConversion"/>
  </si>
  <si>
    <t>/etc/passwd 파일의 접근권한이 적절하게 설정되어 있어 양호함</t>
    <phoneticPr fontId="1" type="noConversion"/>
  </si>
  <si>
    <t>/etc/inetd.conf or /etc/xinetd.conf 파일이 존재하지 않으므로 양호함</t>
    <phoneticPr fontId="1" type="noConversion"/>
  </si>
  <si>
    <t>/etc/services 파일의 접근권한이 적절하게 설정되어 있으므로 양호함</t>
    <phoneticPr fontId="1" type="noConversion"/>
  </si>
  <si>
    <t>SUID, SGID, Sticky bit 설정 파일 점검</t>
    <phoneticPr fontId="1" type="noConversion"/>
  </si>
  <si>
    <t xml:space="preserve">주요 파일이 존재하지 않음으로 양호함 </t>
    <phoneticPr fontId="1" type="noConversion"/>
  </si>
  <si>
    <t>/etc/profile 파일의 접근권한이 적절하게 설정되어 있으므로 양호함</t>
    <phoneticPr fontId="1" type="noConversion"/>
  </si>
  <si>
    <t>출력 내용 없어 양호함</t>
    <phoneticPr fontId="1" type="noConversion"/>
  </si>
  <si>
    <t>R (rlogin|rsh|rexec) 서비스가 비실행중이므로 양호함</t>
    <phoneticPr fontId="1" type="noConversion"/>
  </si>
  <si>
    <t>/etc/hosts.lpd 파일이 없어 양호함</t>
    <phoneticPr fontId="1" type="noConversion"/>
  </si>
  <si>
    <t>umask 값이 022로 설정되어 있어 양호함</t>
    <phoneticPr fontId="1" type="noConversion"/>
  </si>
  <si>
    <t>홈디렉토리 사용자 및 소유자가 일치하며, 해당 디렉토리 및 파일의 접근권한이 적절하게 부여되어 있어 양호함</t>
    <phoneticPr fontId="1" type="noConversion"/>
  </si>
  <si>
    <t>finger 파일이 존재하지 않으므로 양호함</t>
    <phoneticPr fontId="1" type="noConversion"/>
  </si>
  <si>
    <t>현재 rsh, rlogin, rexec 서비스가 비실행 중이므로 양호함</t>
    <phoneticPr fontId="1" type="noConversion"/>
  </si>
  <si>
    <t>echo, discard, daytime, chargen 서비스가 비실행 중이므로 양호함</t>
    <phoneticPr fontId="1" type="noConversion"/>
  </si>
  <si>
    <t>automount 데몬이 없어 양호함</t>
    <phoneticPr fontId="1" type="noConversion"/>
  </si>
  <si>
    <t>현재 NIS , NIS+ 서비스가 비실행중이므로 양호함</t>
    <phoneticPr fontId="1" type="noConversion"/>
  </si>
  <si>
    <t>현재 tftp, talk, ntalk 서비스가 비실행중이므로 양호함</t>
    <phoneticPr fontId="1" type="noConversion"/>
  </si>
  <si>
    <t>Sendmail 서비스가 비실행중이므로 양호함</t>
    <phoneticPr fontId="1" type="noConversion"/>
  </si>
  <si>
    <t>Name server를 사용하지 않으므로 양호함</t>
    <phoneticPr fontId="1" type="noConversion"/>
  </si>
  <si>
    <t>telnet 을 사용하지 않고, ssh를 사용하고 있으므로 양호함</t>
    <phoneticPr fontId="1" type="noConversion"/>
  </si>
  <si>
    <t>at 접근제어 파일이 존재하지 않으므로 양호함</t>
  </si>
  <si>
    <r>
      <rPr>
        <b/>
        <sz val="12"/>
        <color indexed="60"/>
        <rFont val="맑은 고딕"/>
        <family val="3"/>
        <charset val="129"/>
      </rPr>
      <t>▣</t>
    </r>
    <r>
      <rPr>
        <b/>
        <sz val="12"/>
        <color indexed="56"/>
        <rFont val="맑은 고딕"/>
        <family val="3"/>
        <charset val="129"/>
      </rPr>
      <t xml:space="preserve"> </t>
    </r>
    <r>
      <rPr>
        <b/>
        <u/>
        <sz val="12"/>
        <color indexed="8"/>
        <rFont val="맑은 고딕"/>
        <family val="3"/>
        <charset val="129"/>
      </rPr>
      <t>장비별 보안수준</t>
    </r>
    <r>
      <rPr>
        <b/>
        <u/>
        <sz val="12"/>
        <color theme="1"/>
        <rFont val="맑은 고딕"/>
        <family val="3"/>
        <charset val="129"/>
        <scheme val="major"/>
      </rPr>
      <t xml:space="preserve"> </t>
    </r>
    <phoneticPr fontId="5" type="noConversion"/>
  </si>
  <si>
    <t>/bin/su 파일의 접근권한이 과도하게 설정되어 있으므로 취약함</t>
    <phoneticPr fontId="1" type="noConversion"/>
  </si>
  <si>
    <t>패스워드 최대 사용기간이 90일(12주) 이하로 설정되어 있지 않으므로 취약함</t>
    <phoneticPr fontId="1" type="noConversion"/>
  </si>
  <si>
    <t>패스워드 최소 사용기간이 1일(1주)로 설정되어 있지 않으므로 취약함</t>
    <phoneticPr fontId="1" type="noConversion"/>
  </si>
  <si>
    <t>구성원이 없는 그룹(그룹에 계정이 설정되어 있으나 실제로 계정이 없음)이 없으므로 양호함</t>
    <phoneticPr fontId="1" type="noConversion"/>
  </si>
  <si>
    <t>동일한 UID로 설정된 사용자 계정이 존재하지 않으므로 양호함</t>
    <phoneticPr fontId="1" type="noConversion"/>
  </si>
  <si>
    <t>소유자가 존재하지 않은 파일 및 디렉터리가 존재하지 않음</t>
    <phoneticPr fontId="1" type="noConversion"/>
  </si>
  <si>
    <t>현재 RPC 서비스가 비실행중이므로 양호함</t>
    <phoneticPr fontId="1" type="noConversion"/>
  </si>
  <si>
    <t>Apache 사용하지 않으므로 양호함</t>
    <phoneticPr fontId="1" type="noConversion"/>
  </si>
  <si>
    <t>숨겨진 파일 및 디렉터리 중 불필요하거나 의심스러운 파일이 존재하지 않아 양호함</t>
    <phoneticPr fontId="1" type="noConversion"/>
  </si>
  <si>
    <t>내부 정책에 맞게 시스템 로깅 설정 하고 있어 양호함</t>
    <phoneticPr fontId="1" type="noConversion"/>
  </si>
  <si>
    <t>주기적으로 최신 보안패치 하고 있어 양호함</t>
    <phoneticPr fontId="1" type="noConversion"/>
  </si>
  <si>
    <t>홈 디렉토리로 지정한 디렉토리 중 존재하지 않는 디렉터리가 없으므로 양호함</t>
    <phoneticPr fontId="1" type="noConversion"/>
  </si>
  <si>
    <t>nfs 서비스가 사용중이지 않으므로 양호함</t>
    <phoneticPr fontId="1" type="noConversion"/>
  </si>
  <si>
    <t>불필요한 계정이 없어 양호함</t>
    <phoneticPr fontId="1" type="noConversion"/>
  </si>
  <si>
    <t>/etc/hosts 파일 소유자 및 권한 설정</t>
    <phoneticPr fontId="1" type="noConversion"/>
  </si>
  <si>
    <t>로그온 시 경고 메시지 제공</t>
    <phoneticPr fontId="1" type="noConversion"/>
  </si>
  <si>
    <t>192.168.1.14</t>
    <phoneticPr fontId="37" type="noConversion"/>
  </si>
  <si>
    <t>Ubuntu 20.04.6 LTS</t>
    <phoneticPr fontId="37" type="noConversion"/>
  </si>
  <si>
    <t>학사관리서버</t>
    <phoneticPr fontId="37" type="noConversion"/>
  </si>
  <si>
    <t>TELNET 서비스가 비실행중이고, SSH의 root 원격 접속을 제한하지 않으므로 취약함</t>
    <phoneticPr fontId="1" type="noConversion"/>
  </si>
  <si>
    <t xml:space="preserve">계정 잠금 임계값 설정 파일이 없음으로 취약함 </t>
    <phoneticPr fontId="1" type="noConversion"/>
  </si>
  <si>
    <t>shadow 파일을 사용하고 있으므로 양호함</t>
    <phoneticPr fontId="1" type="noConversion"/>
  </si>
  <si>
    <t>root 이외의 UID가 '0'인 계정이 존재하지 않으므로 양호함</t>
    <phoneticPr fontId="1" type="noConversion"/>
  </si>
  <si>
    <t>패스워드 최소길이가 설정되어 있지 않으므로 취약함</t>
    <phoneticPr fontId="1" type="noConversion"/>
  </si>
  <si>
    <t>"root:x:0:" 으로 root 그룹에 최소한의 계정만 설정되어 있음으로 양호</t>
    <phoneticPr fontId="1" type="noConversion"/>
  </si>
  <si>
    <t>/etc/shadow 파일의 접근권한이 과도하게 설정되어 있으므로 취약함</t>
    <phoneticPr fontId="1" type="noConversion"/>
  </si>
  <si>
    <t>/etc/hosts 파일의 접근권한이 과도하게 설정되어 있으므로 취약함(운영환경에 따른 판단 필요)</t>
    <phoneticPr fontId="1" type="noConversion"/>
  </si>
  <si>
    <t>/etc/syslog.conf 파일의 접근권한이 과도하게 설정되어 있으므로 취약함</t>
    <phoneticPr fontId="1" type="noConversion"/>
  </si>
  <si>
    <t>world writable 파일이 존재하지 않아 시스템에 영향을 미치지 않음으로 양호함</t>
    <phoneticPr fontId="1" type="noConversion"/>
  </si>
  <si>
    <t>허용할 호스트에 대해 방화벽을 통한 접근제어 함으로 양호함</t>
    <phoneticPr fontId="1" type="noConversion"/>
  </si>
  <si>
    <t>Anonymous FTP 접속을 anonymous_enable=NO로 차단함으로 양호함</t>
    <phoneticPr fontId="1" type="noConversion"/>
  </si>
  <si>
    <t>cron 관련 파일의 권한이 640을 초과하였으므로 취약함</t>
    <phoneticPr fontId="1" type="noConversion"/>
  </si>
  <si>
    <t>필요에 의해 ftp 서비스를 실행중이므로 양호함</t>
    <phoneticPr fontId="1" type="noConversion"/>
  </si>
  <si>
    <t>SFTP 서비스에 /bin/bash 쉘을 부여하여 사용하고 있으므로 양호함</t>
    <phoneticPr fontId="1" type="noConversion"/>
  </si>
  <si>
    <t>ftpusers 파일의 소유자가 root 가 아니거나 접근권한이 640보다 크게 설정되어 있으므로 취약함</t>
    <phoneticPr fontId="1" type="noConversion"/>
  </si>
  <si>
    <t>root 계정 ftp 접속 제한 설정이 되어 있으므로 양호함</t>
    <phoneticPr fontId="1" type="noConversion"/>
  </si>
  <si>
    <t>SNMP가 비실행중이므로 양호함</t>
    <phoneticPr fontId="1" type="noConversion"/>
  </si>
  <si>
    <t>패스워드 복잡성 설정이 되어 있지 않으므로 취약함</t>
    <phoneticPr fontId="1" type="noConversion"/>
  </si>
  <si>
    <t>정기적으로 로그를 검토하고 보고하고 있으므로 양호함</t>
    <phoneticPr fontId="1" type="noConversion"/>
  </si>
  <si>
    <t>/etc/shadow 파일 소유자 및 권한 설정</t>
    <phoneticPr fontId="1" type="noConversion"/>
  </si>
  <si>
    <t>시큐와우</t>
    <phoneticPr fontId="1" type="noConversion"/>
  </si>
  <si>
    <t>test_UNIX</t>
  </si>
  <si>
    <t xml:space="preserve">   [00]</t>
  </si>
  <si>
    <t>UNIX 서버 취약점진단 상세결과보고서</t>
  </si>
  <si>
    <t>2026.00.</t>
  </si>
  <si>
    <t>2026. 00. 00.</t>
  </si>
  <si>
    <t>비밀번호 관리정책 설정</t>
  </si>
  <si>
    <t>비밀번호 파일 보호</t>
  </si>
  <si>
    <t>사용자 계정 su 기능 제한</t>
  </si>
  <si>
    <t>세션 종료 시간 설정</t>
  </si>
  <si>
    <t>안전한 비밀번호 암호화 알고리즘 사용</t>
  </si>
  <si>
    <t>시스템 시작 스크립트 권한 설정</t>
  </si>
  <si>
    <t>/etc/(r)syslog.conf 파일 소유자 및 권한 설정</t>
  </si>
  <si>
    <t>사용자, 시스템 환경변수 파일 소유자 및 권한 설정</t>
  </si>
  <si>
    <t>공유 서비스에 대한 익명 접근 제한 설정</t>
  </si>
  <si>
    <t>crontab 설정파일 권한 설정 미흡</t>
  </si>
  <si>
    <t>불필요한 NFS 서비스 비활성화</t>
  </si>
  <si>
    <t>불필요한 automountd 제거</t>
  </si>
  <si>
    <t>불필요한 RPC 서비스 확인</t>
  </si>
  <si>
    <t>메일 서비스 버전 점검</t>
  </si>
  <si>
    <t>일반사용자의 메일 서비스 실행 방지</t>
  </si>
  <si>
    <t>DNS 서비스의 취약한 동적 업데이트 설정 금지</t>
  </si>
  <si>
    <t>Telnet 서비스 비활성화</t>
  </si>
  <si>
    <t>암호화되지 않는 FTP 서비스 비활성화</t>
  </si>
  <si>
    <t>FTP 서비스 정보 노출 제한</t>
  </si>
  <si>
    <t>FTP 계정 shell 제한</t>
  </si>
  <si>
    <t>FTP 서비스 접근 제어 설정</t>
  </si>
  <si>
    <t>불필요한 SNMP 서비스 구동 점검</t>
  </si>
  <si>
    <t>안전한 SNMP 버전 사용</t>
  </si>
  <si>
    <t>SNMP Community String 복잡성 설정</t>
  </si>
  <si>
    <t>SNMP Access Control 설정</t>
  </si>
  <si>
    <t>sudo 명령어 접근 관리</t>
  </si>
  <si>
    <t>주기적 보안 패치 및 벤더 권고사항 적용</t>
  </si>
  <si>
    <t>NTP 및 시각 동기화 설정</t>
  </si>
  <si>
    <t>로그 디렉터리 소유자 및 권한 설정</t>
  </si>
  <si>
    <t xml:space="preserve">■ 기준 : 비밀번호 관리 정책이 설정된 경우 "양호"
■ 현황 : </t>
  </si>
  <si>
    <t xml:space="preserve">■ 기준 : 비밀번호 관리 정책이 설정되지 않은 경우 "취약"
■ 현황 : </t>
  </si>
  <si>
    <t xml:space="preserve">■ 기준 : 
비밀번호 관리 정책이 설정된 경우 "양호"
비밀번호 관리 정책이 설정되지 않은 경우 "취약"
■ 현황 : </t>
  </si>
  <si>
    <t xml:space="preserve">■ 기준 : 계정 잠금 임계값이 10회 이하의 값으로 설정되어 있는 경우 "양호"
■ 현황 : </t>
  </si>
  <si>
    <t xml:space="preserve">■ 기준 : 계정 잠금 임계값이 설정되어 있지 않거나, 10회 이하의 값으로 설정되지 않은 경우 "취약"
■ 현황 : </t>
  </si>
  <si>
    <t xml:space="preserve">■ 기준 : 
계정 잠금 임계값이 10회 이하의 값으로 설정되어 있는 경우 "양호"
계정 잠금 임계값이 설정되어 있지 않거나, 10회 이하의 값으로 설정되지 않은 경우 "취약"
■ 현황 : </t>
  </si>
  <si>
    <t xml:space="preserve">■ 기준 : 쉐도우 비밀번호를 사용하거나, 비밀번호를 암호화하여 저장하는 경우 "양호"
■ 현황 : </t>
  </si>
  <si>
    <t xml:space="preserve">■ 기준 : 쉐도우 비밀번호를 사용하지 않고, 비밀번호를 암호화하여 저장하지 않는 경우 "취약"
■ 현황 : </t>
  </si>
  <si>
    <t xml:space="preserve">■ 기준 : 
쉐도우 비밀번호를 사용하거나, 비밀번호를 암호화하여 저장하는 경우 "양호"
쉐도우 비밀번호를 사용하지 않고, 비밀번호를 암호화하여 저장하지 않는 경우 "취약"
■ 현황 : </t>
  </si>
  <si>
    <t xml:space="preserve">■ 기준 : su 명령어를 특정 그룹에 속한 사용자만 사용하도록 제한된 경우 "양호"
※ 일반 사용자 계정 없이 root 계정만 사용하는 경우 su 명령어 사용 제한 불필요
■ 현황 : </t>
  </si>
  <si>
    <t xml:space="preserve">■ 기준 :  su 명령어를 모든 사용자가 사용하도록 설정된 경우 "취약"
■ 현황 : </t>
  </si>
  <si>
    <t xml:space="preserve">■ 기준 : 
su 명령어를 특정 그룹에 속한 사용자만 사용하도록 제한된 경우 "양호"
su 명령어를 모든 사용자가 사용하도록 설정된 경우 "취약"
※ 일반 사용자 계정 없이 root 계정만 사용하는 경우 su 명령어 사용 제한 불필요
■ 현황 : </t>
  </si>
  <si>
    <t xml:space="preserve">■ 기준 : 시스템 관리나 운용에 불필요한 그룹이 제거된 경우 "양호"
■ 현황 : </t>
  </si>
  <si>
    <t xml:space="preserve">■ 기준 :  시스템 관리나 운용에 불필요한 그룹이 존재하는 경우 "취약"
■ 현황 : </t>
  </si>
  <si>
    <t xml:space="preserve">■ 기준 : 
시스템 관리나 운용에 불필요한 그룹이 제거된 경우 "양호"
시스템 관리나 운용에 불필요한 그룹이 존재하는 경우 "취약"
■ 현황 : </t>
  </si>
  <si>
    <t xml:space="preserve">■ 기준 :  SHA-2 이상의 안전한 비밀번호 암호화 알고리즘을 사용하는 경우 "양호"
■ 현황 : </t>
  </si>
  <si>
    <t xml:space="preserve">■ 기준 : 취약한 비밀번호 암호화 알고리즘을 사용하는 경우 "취약"
■ 현황 : </t>
  </si>
  <si>
    <t xml:space="preserve">■ 기준 : 
SHA-2 이상의 안전한 비밀번호 암호화 알고리즘을 사용하는 경우 "양호"
취약한 비밀번호 암호화 알고리즘을 사용하는 경우 "취약"
■ 현황 : </t>
  </si>
  <si>
    <t xml:space="preserve">■ 기준 : 시스템 시작 스크립트 파일의 소유자가 root이고, 일반 사용자의 쓰기 권한이 제거된 경우 "양호"
■ 현황 : </t>
  </si>
  <si>
    <t xml:space="preserve">■ 기준 : 시스템 시작 스크립트 파일의 소유자가 root가 아니거나, 일반 사용자의 쓰기 권한이 부여된 경우 "취약"
■ 현황 : </t>
  </si>
  <si>
    <t xml:space="preserve">■ 기준 : 
시스템 시작 스크립트 파일의 소유자가 root이고, 일반 사용자의 쓰기 권한이 제거된 경우 "양호"
시스템 시작 스크립트 파일의 소유자가 root가 아니거나, 일반 사용자의 쓰기 권한이 부여된 경우 "취약"
■ 현황 : </t>
  </si>
  <si>
    <t xml:space="preserve">■ 기준 : /etc/(x)inetd.conf 파일의 소유자가 root이고, 권한이 600인 경우 "양호"
■ 현황 : </t>
  </si>
  <si>
    <t xml:space="preserve">■ 기준 : /etc/(x)inetd.conf 파일의 소유자가 root가 아니거나, 권한이 600이 아닌 경우 "취약"
■ 현황 : </t>
  </si>
  <si>
    <t xml:space="preserve">■ 기준 : 
/etc/(x)inetd.conf 파일의 소유자가 root이고, 권한이 600인 경우 "양호"
/etc/(x)inetd.conf 파일의 소유자가 root가 아니거나, 권한이 600이 아닌 경우 "취약"
■ 현황 : </t>
  </si>
  <si>
    <t xml:space="preserve">■ 기준 : /etc/(r)syslog.conf 파일의 소유자가 root이고, 권한이 640인 경우 "양호"
■ 현황 : </t>
  </si>
  <si>
    <t xml:space="preserve">■ 기준 : /etc/(r)syslog.conf 파일의 소유자가 root가 아니거나, 권한이 640가 아닌 경우 "취약"
■ 현황 : </t>
  </si>
  <si>
    <t xml:space="preserve">■ 기준 : 
/etc/(r)syslog.conf 파일의 소유자가 root이고, 권한이 644인 경우 "양호"
/etc/(r)syslog.conf 파일의 소유자가 root가 아니거나, 권한이 644가 아닌 경우 "취약"
■ 현황 : </t>
  </si>
  <si>
    <t xml:space="preserve">■ 기준 : 주요 실행 파일의 권한에 SUID와 SGID에 대한 설정이 부여되어 있지 않은 경우 "양호"
■ 현황 : </t>
  </si>
  <si>
    <t xml:space="preserve">■ 기준 : 주요 실행 파일의 권한에 SUID와 SGID에 대한 설정이 부여되어 있는 경우 "취약"
■ 현황 : </t>
  </si>
  <si>
    <t>■ 기준 : 
주요 실행 파일의 권한에 SUID와 SGID에 대한 설정이 부여되어 있지 않은 경우 "양호"
주요 실행 파일의 권한에 SUID와 SGID에 대한 설정이 부여되어 있는 경우 "취약"
■ 현황 :</t>
  </si>
  <si>
    <t xml:space="preserve">■ 기준 : 홈 디렉터리 환경변수 파일 소유자가 root 또는 해당 계정으로 지정되어 있고, 홈 디렉터리 
환경변수 파일에 root 계정과 소유자만 쓰기 권한이 부여된 경우 "양호"
■ 현황 : </t>
  </si>
  <si>
    <t xml:space="preserve">■ 기준 : 홈 디렉터리 환경변수 파일 소유자가 root 또는 해당 계정으로 지정되지 않거나, 홈 디렉터리 
환경변수 파일에 root 계정과 소유자 외에 쓰기 권한이 부여된 경우 "취약"
■ 현황 : </t>
  </si>
  <si>
    <t>■ 기준 : 
홈 디렉터리 환경변수 파일 소유자가 root 또는 해당 계정으로 지정되어 있고, 홈 디렉터리 환경변수 파일에 root 계정과 소유자만 쓰기 권한이 부여된 경우 "양호"
홈 디렉터리 환경변수 파일 소유자가 root 또는 해당 계정으로 지정되지 않거나, 홈 디렉터리 환경변수 파일에 root 계정과 소유자 외에 쓰기 권한이 부여된 경우 "취약"
■ 현황 :</t>
  </si>
  <si>
    <t xml:space="preserve">■ 기준 : world writable 파일이 존재하지 않거나, 존재 시 설정 이유를 인지하고 있는 경우 "양호"
■ 현황 : </t>
  </si>
  <si>
    <t xml:space="preserve">■ 기준 : world writable 파일이 존재하나 설정 이유를 인지하지 못하고 있는 경우 "취약"
■ 현황 : </t>
  </si>
  <si>
    <t xml:space="preserve">■ 기준 : 
world writable 파일이 존재하지 않거나, 존재 시 설정 이유를 인지하고 있는 경우 "양호"
world writable 파일이 존재하나 설정 이유를 인지하지 못하고 있는 경우 "취약"
■ 현황 : </t>
  </si>
  <si>
    <t xml:space="preserve">■ 기준 : /dev 디렉터리에 대한 파일 점검 후 존재하지 않는 device 파일을 제거한 경우 "양호"
■ 현황 : </t>
  </si>
  <si>
    <t xml:space="preserve">■ 기준 : /dev 디렉터리에 대한 파일 미점검 또는 존재하지 않는 device 파일을 방치한 경우 "취약"
■ 현황 : </t>
  </si>
  <si>
    <t xml:space="preserve">■ 기준 : 
/dev 디렉터리에 대한 파일 점검 후 존재하지 않는 device 파일을 제거한 경우 "양호"
/dev 디렉터리에 대한 파일 미점검 또는 존재하지 않는 device 파일을 방치한 경우 "취약"
■ 현황 : </t>
  </si>
  <si>
    <t xml:space="preserve">■ 기준 :  rlogin, rsh, rexec 서비스를 사용하지 않거나, 사용 시 아래와 같은 설정이 적용된 경우 "양호"
1. /etc/hosts.equiv 및 $HOME/.rhosts 파일 소유자가 root 또는 해당 계정인 경우
2. /etc/hosts.equiv 및 $HOME/.rhosts 파일 권한이 600 이하인 경우
3. /etc/hosts.equiv 및 $HOME/.rhosts 파일 설정에 “+” 설정이 없는 경우
■ 현황 : </t>
  </si>
  <si>
    <t xml:space="preserve">■ 기준 : rlogin, rsh, rexec 서비스를 사용하며 아래와 같은 설정이 적용되지 않은 경우 "취약"
1. /etc/hosts.equiv 및 $HOME/.rhosts 파일 소유자가 root 또는 해당 계정이 아닌 경우
2. /etc/hosts.equiv 및 $HOME/.rhosts 파일 권한이 600을 초과한 경우
3. /etc/hosts.equiv 및 $HOME/.rhosts 파일 설정에 “+” 설정이 존재하는 경우
■ 현황 : </t>
  </si>
  <si>
    <t xml:space="preserve">■ 기준 : 
 rlogin, rsh, rexec 서비스를 사용하지 않거나, 사용 시 아래와 같은 설정이 적용된 경우 "양호"
1. /etc/hosts.equiv 및 $HOME/.rhosts 파일 소유자가 root 또는 해당 계정인 경우
2. /etc/hosts.equiv 및 $HOME/.rhosts 파일 권한이 600 이하인 경우
3. /etc/hosts.equiv 및 $HOME/.rhosts 파일 설정에 “+” 설정이 없는 경우
rlogin, rsh, rexec 서비스를 사용하며 아래와 같은 설정이 적용되지 않은 경우 "취약"
1. /etc/hosts.equiv 및 $HOME/.rhosts 파일 소유자가 root 또는 해당 계정이 아닌 경우
2. /etc/hosts.equiv 및 $HOME/.rhosts 파일 권한이 600을 초과한 경우
3. /etc/hosts.equiv 및 $HOME/.rhosts 파일 설정에 “+” 설정이 존재하는 경우
■ 현황 : </t>
  </si>
  <si>
    <t xml:space="preserve">■ 기준 : 접속을 허용할 특정 호스트에 대한 IP주소 및 포트 제한을 설정한 경우 "양호"
■ 현황 : </t>
  </si>
  <si>
    <t xml:space="preserve">■ 기준 : 접속을 허용할 특정 호스트에 대한 IP주소 및 포트 제한을 설정하지 않은 경우 "취약"
■ 현황 : </t>
  </si>
  <si>
    <t xml:space="preserve">■ 기준 : 
접속을 허용할 특정 호스트에 대한 IP주소 및 포트 제한을 설정한 경우 "양호"
접속을 허용할 특정 호스트에 대한 IP주소 및 포트 제한을 설정하지 않은 경우 "취약"
■ 현황 : </t>
  </si>
  <si>
    <t xml:space="preserve">■ 기준 : /etc/hosts.lpd 파일이 존재하지 않거나, 불가피하게 사용 시 /etc/hosts.lpd 파일의 소유자가 
root이고, 권한이 600 이하인 경우 "양호"
■ 현황 : </t>
  </si>
  <si>
    <t xml:space="preserve">■ 기준 : /etc/hosts.lpd 파일이 존재하며, 파일의 소유자가 root가 아니거나, 권한이 600 이하가 아닌 경우 "취약"
■ 현황 : </t>
  </si>
  <si>
    <t xml:space="preserve">■ 기준 : 
/etc/hosts.lpd 파일이 존재하지 않거나, 불가피하게 사용 시 /etc/hosts.lpd 파일의 소유자가 root이고, 권한이 600 이하인 경우 "양호"
/etc/hosts.lpd 파일이 존재하며, 파일의 소유자가 root가 아니거나, 권한이 600 이하가 아닌 경우 "취약"
■ 현황 : </t>
  </si>
  <si>
    <t xml:space="preserve">■ 기준 : 홈 디렉토리 소유자가 해당 계정이고, 타 사용자 쓰기 권한이 제거된 경우 "양호"
■ 현황 : </t>
  </si>
  <si>
    <t xml:space="preserve">■ 기준 :  홈 디렉토리 소유자가 해당 계정이 아니거나, 타 사용자 쓰기 권한이 부여된 경우 "취약"
■ 현황 : </t>
  </si>
  <si>
    <t xml:space="preserve">■ 기준 : 
홈 디렉토리 소유자가 해당 계정이고, 타 사용자 쓰기 권한이 제거된 경우 "양호"
홈 디렉토리 소유자가 해당 계정이 아니거나, 타 사용자 쓰기 권한이 부여된 경우 "취약"
■ 현황 : </t>
  </si>
  <si>
    <t xml:space="preserve">■ 기준 : 불필요하거나 의심스러운 숨겨진 파일 및 디렉토리를 제거한 경우 "양호"
■ 현황 : </t>
  </si>
  <si>
    <t xml:space="preserve">■ 기준 : 불필요하거나 의심스러운 숨겨진 파일 및 디렉토리를 제거하지 않은 경우 "취약"
■ 현황 : </t>
  </si>
  <si>
    <t xml:space="preserve">■ 기준 : 
불필요하거나 의심스러운 숨겨진 파일 및 디렉토리를 제거한 경우 "양호"
불필요하거나 의심스러운 숨겨진 파일 및 디렉토리를 제거하지 않은 경우 "취약"
■ 현황 : </t>
  </si>
  <si>
    <t xml:space="preserve">■ 기준 : 공유 서비스에 대해 익명 접근을 제한한 경우 "양호"
■ 현황 : </t>
  </si>
  <si>
    <t xml:space="preserve">■ 기준 : 공유 서비스에 대해 익명 접근을 허용한 경우 "취약"
■ 현황 : </t>
  </si>
  <si>
    <t xml:space="preserve">■ 기준 : 
공유 서비스에 대해 익명 접근을 제한한 경우 "양호"
공유 서비스에 대해 익명 접근을 허용한 경우 "취약"
■ 현황 : </t>
  </si>
  <si>
    <t xml:space="preserve">■ 기준 : 불필요한 r 계열 서비스가 비활성화 되어 있는 경우 "양호"
■ 현황 : </t>
  </si>
  <si>
    <t xml:space="preserve">■ 기준 : 불필요한 r 계열 서비스가 활성화 되어 있는 경우 "취약"
■ 현황 : </t>
  </si>
  <si>
    <t xml:space="preserve">■ 기준 : 
불필요한 r 계열 서비스가 비활성화 되어 있는 경우 "양호"
불필요한 r 계열 서비스가 활성화 되어 있는 경우 "취약"
■ 현황 : </t>
  </si>
  <si>
    <t xml:space="preserve">■ 기준 : 
crontab 및 at 명령어에 일반 사용자 실행 권한이 제거되어 있으며, cron 및 at 관련 파일 권한이 640 이하인 경우 "양호"
crontab 및 at 명령어에 일반 사용자 실행 권한이 부여되어 있으며, cron 및 at 관련 파일 권한이 640 이상인 경우 "취약"
■ 현황 : </t>
  </si>
  <si>
    <t xml:space="preserve">■ 기준 : crontab 및 at 명령어에 일반 사용자 실행 권한이 부여되어 있으며, cron 및 at 관련 파일 권한이 640 이상인 경우 "취약"
■ 현황 : </t>
  </si>
  <si>
    <t xml:space="preserve">■ 기준 : crontab 및 at 명령어에 일반 사용자 실행 권한이 제거되어 있으며, cron 및 at 관련 파일 권한이 640 이하인 경우 "양호"
■ 현황 : </t>
  </si>
  <si>
    <t xml:space="preserve">■ 기준 : Dos 공격에 취약한 echo, discard, daytime, chargen, ntp, dns, snmp 등의 서비스가 비활성화 된 경우 "양호"
■ 현황 : </t>
  </si>
  <si>
    <t xml:space="preserve">■ 기준 : Dos 공격에 취약한 echo, discard, daytime, chargen, ntp, dns, snmp 등의 서비스 활성화 된 경우 "취약"
■ 현황 : </t>
  </si>
  <si>
    <t xml:space="preserve">■ 기준 : 
Dos 공격에 취약한 echo, discard, daytime, chargen, ntp, dns, snmp 등의 서비스가 비활성화 된 경우 "양호"
Dos 공격에 취약한 echo, discard, daytime, chargen, ntp, dns, snmp 등의 서비스 활성화 된 경우 "취약"
■ 현황 : </t>
  </si>
  <si>
    <t xml:space="preserve">■ 기준 : 불필요한 NFS 서비스 관련 데몬이 비활성화 되어 있는 경우 "양호"
■ 현황 : </t>
  </si>
  <si>
    <t xml:space="preserve">■ 기준 : 불필요한 NFS 서비스 관련 데몬이 활성화 되어 있는 경우 "취약"
■ 현황 : </t>
  </si>
  <si>
    <t xml:space="preserve">■ 기준 : 
불필요한 NFS 서비스 관련 데몬이 비활성화 되어 있는 경우 "양호"
불필요한 NFS 서비스 관련 데몬이 활성화 되어 있는 경우 "취약"
■ 현황 : </t>
  </si>
  <si>
    <t xml:space="preserve">■ 기준 : 접근 통제가 설정되어 있으며 NFS 설정 파일 접근 권한이 644 이하인 경우 "양호"
■ 현황 : </t>
  </si>
  <si>
    <t xml:space="preserve">■ 기준 : 접근 통제가 설정되어 있지 않고 NFS 설정 파일 접근 권한이 644를 초과하는 경우 "취약"
■ 현황 : </t>
  </si>
  <si>
    <t xml:space="preserve">■ 기준 : 
접근 통제가 설정되어 있으며 NFS 설정 파일 접근 권한이 644 이하인 경우 "양호"
접근 통제가 설정되어 있지 않고 NFS 설정 파일 접근 권한이 644를 초과하는 경우 "취약"
■ 현황 : </t>
  </si>
  <si>
    <t xml:space="preserve">■ 기준 : NIS 서비스가 비활성화 되어 있거나, 불가피하게 사용 시 NIS+를 사용하는 경우 "양호"
■ 현황 : </t>
  </si>
  <si>
    <t xml:space="preserve">■ 기준 : 
NIS 서비스가 비활성화 되어 있거나, 불가피하게 사용 시 NIS+를 사용하는 경우 "양호"
NIS 서비스가 활성화 되어 있는 경우 "취약"
■ 현황 : </t>
  </si>
  <si>
    <t xml:space="preserve">■ 기준 : tftp, talk, ntalk 서비스가 비활성화된 경우 "양호"
■ 현황 : </t>
  </si>
  <si>
    <t xml:space="preserve">■ 기준 : tftp, talk, ntalk 서비스가 활성화된 경우 "취약"
■ 현황 : </t>
  </si>
  <si>
    <t xml:space="preserve">■ 기준 : 
tftp, talk, ntalk 서비스가 비활성화된 경우 "양호"
tftp, talk, ntalk 서비스가 활성화된 경우 "취약"
■ 현황 : </t>
  </si>
  <si>
    <t xml:space="preserve">■ 기준 : 메일 서비스 버전이 최신 버전인 경우 "양호"
■ 현황 : </t>
  </si>
  <si>
    <t xml:space="preserve">■ 기준 : 메일 서비스 버전이 최신 버전이 아닌 경우 "취약"
■ 현황 : </t>
  </si>
  <si>
    <t xml:space="preserve">■ 기준 : 
메일 서비스 버전이 최신 버전인 경우 "양호"
메일 서비스 버전이 최신 버전이 아닌 경우 "취약"
■ 현황 : </t>
  </si>
  <si>
    <t xml:space="preserve">■ 기준 :  일반 사용자의 메일 서비스 실행 방지가 설정된 경우 "양호"
■ 현황 : </t>
  </si>
  <si>
    <t xml:space="preserve">■ 기준 : 일반 사용자의 메일 서비스 실행 방지가 설정되어 있지 않은 경우 "취약"
■ 현황 : </t>
  </si>
  <si>
    <t xml:space="preserve">■ 기준 : 
일반 사용자의 메일 서비스 실행 방지가 설정된 경우 "양호"
일반 사용자의 메일 서비스 실행 방지가 설정되어 있지 않은 경우 "취약"
■ 현황 : </t>
  </si>
  <si>
    <t xml:space="preserve">■ 기준 : 릴레이 제한이 설정된 경우 "양호"
■ 현황 : </t>
  </si>
  <si>
    <t xml:space="preserve">■ 기준 : 릴레이 제한이 설정되어 있지 않은 경우 "취약"
■ 현황 : </t>
  </si>
  <si>
    <t xml:space="preserve">■ 기준 : 
릴레이 제한이 설정된 경우 "양호"
릴레이 제한이 설정되어 있지 않은 경우 "취약"
■ 현황 : </t>
  </si>
  <si>
    <t xml:space="preserve">■ 기준 : noexpn, novrfy 옵션이 설정된 경우 "양호"
■ 현황 : </t>
  </si>
  <si>
    <t xml:space="preserve">■ 기준 : noexpn, novrfy 옵션이 설정되어 있지 않은 경우 "취약"
■ 현황 : </t>
  </si>
  <si>
    <t xml:space="preserve">■ 기준 : 
noexpn, novrfy 옵션이 설정된 경우 "양호"
noexpn, novrfy 옵션이 설정되어 있지 않은 경우 "취약"
■ 현황 : </t>
  </si>
  <si>
    <t xml:space="preserve">■ 기준 : 주기적으로 패치를 관리하고 있는 경우 "양호"
■ 현황 : </t>
  </si>
  <si>
    <t xml:space="preserve">■ 기준 : 주기적으로 패치를 관리하고 있지 않는 경우 "취약"
■ 현황 : </t>
  </si>
  <si>
    <t xml:space="preserve">■ 기준 : 
주기적으로 패치를 관리하고 있는 경우 "양호"
주기적으로 패치를 관리하고 있지 않는 경우 "취약"
■ 현황 : </t>
  </si>
  <si>
    <t xml:space="preserve">■ 기준 : Zone Transfer를 허가된 사용자에게만 허용한 경우 "양호"
■ 현황 : </t>
  </si>
  <si>
    <t xml:space="preserve">■ 기준 : Zone Transfer를 모든 사용자에게 허용한 경우 "취약"
■ 현황 : </t>
  </si>
  <si>
    <t xml:space="preserve">■ 기준 : 
Zone Transfer를 허가된 사용자에게만 허용한 경우 "양호"
Zone Transfer를 모든 사용자에게 허용한 경우 "취약"
■ 현황 : </t>
  </si>
  <si>
    <t xml:space="preserve">■ 기준 : DNS 서비스의 동적 업데이트 기능이 활성화 중이며 적절한 접근통제를 수행하고 있지 않은 경우 "취약"
■ 현황 : </t>
  </si>
  <si>
    <t xml:space="preserve">■ 기준 : 
DNS 서비스의 동적 업데이트 기능이 비활성화되었거나, 활성화 시 적절한 접근통제를 수행하고 있는 경우 "양호"
DNS 서비스의 동적 업데이트 기능이 활성화 중이며 적절한 접근통제를 수행하고 있지 않은 경우 "취약"
■ 현황 : </t>
  </si>
  <si>
    <t xml:space="preserve">■ 기준 : DNS 서비스의 동적 업데이트 기능이 비활성화되었거나, 활성화 시 적절한 접근통제를 수행하고 있는 경우 "양호"
■ 현황 : </t>
  </si>
  <si>
    <t xml:space="preserve">■ 기준 : 원격 접속 시 Telnet 프로토콜을 비활성화하고 있는 경우 "양호"
■ 현황 : </t>
  </si>
  <si>
    <t xml:space="preserve">■ 기준 : 원격 접속 시 Telnet 프로토콜을 사용하는 경우 "취약"
■ 현황 : </t>
  </si>
  <si>
    <t xml:space="preserve">■ 기준 : 
원격 접속 시 Telnet 프로토콜을 비활성화하고 있는 경우 "양호"
원격 접속 시 Telnet 프로토콜을 사용하는 경우 "취약"
■ 현황 : </t>
  </si>
  <si>
    <t xml:space="preserve">■ 기준 : FTP 접속 배너에 노출되는 정보가 없는 경우 "양호"
■ 현황 : </t>
  </si>
  <si>
    <t xml:space="preserve">■ 기준 : FTP 접속 배너에 노출되는 정보가 있는 경우 "취약"
■ 현황 : </t>
  </si>
  <si>
    <t xml:space="preserve">■ 기준 : 
FTP 접속 배너에 노출되는 정보가 없는 경우 "양호"
FTP 접속 배너에 노출되는 정보가 있는 경우 "취약"
■ 현황 : </t>
  </si>
  <si>
    <t xml:space="preserve">■ 기준 : 암호화되지 않은 FTP 서비스가 비활성화된 경우 "양호"
■ 현황 : </t>
  </si>
  <si>
    <t xml:space="preserve">■ 기준 : 암호화되지 않은 FTP 서비스가 활성화된 경우 "취약"
■ 현황 : </t>
  </si>
  <si>
    <t xml:space="preserve">■ 기준 : 
암호화되지 않은 FTP 서비스가 비활성화된 경우 "양호"
암호화되지 않은 FTP 서비스가 활성화된 경우 "취약"
■ 현황 : </t>
  </si>
  <si>
    <t xml:space="preserve">■ 기준 : FTP 계정에 /bin/false 쉘이 부여되어 있는 경우 "양호"
■ 현황 : </t>
  </si>
  <si>
    <t xml:space="preserve">■ 기준 : FTP 계정에 /bin/false 쉘이 부여되어 않는 경우 "취약"
■ 현황 : </t>
  </si>
  <si>
    <t xml:space="preserve">■ 기준 : 
FTP 계정에 /bin/false 쉘이 부여되어 있는 경우 "양호"
FTP 계정에 /bin/false 쉘이 부여되어 않는 경우 "취약"
■ 현황 : </t>
  </si>
  <si>
    <t xml:space="preserve">■ 기준 : 특정 IP주소 또는 호스트에서만 FTP 서버에 접속할 수 있도록 접근 제어 설정을 적용한 경우 "양호"
■ 현황 : </t>
  </si>
  <si>
    <t xml:space="preserve">■ 기준 : FTP 서버에 접근 제어 설정을 적용하지 않은 경우 "취약"
■ 현황 : </t>
  </si>
  <si>
    <t xml:space="preserve">■ 기준 : 
특정 IP주소 또는 호스트에서만 FTP 서버에 접속할 수 있도록 접근 제어 설정을 적용한 경우 "양호"
FTP 서버에 접근 제어 설정을 적용하지 않은 경우 "취약"
■ 현황 : </t>
  </si>
  <si>
    <t xml:space="preserve">■ 기준 : root 계정 접속을 차단한 경우 "양호"
■ 현황 : </t>
  </si>
  <si>
    <t xml:space="preserve">■ 기준 : root 계정 접속을 허용한 경우 "취약"
■ 현황 : </t>
  </si>
  <si>
    <t xml:space="preserve">■ 기준 : 
root 계정 접속을 차단한 경우 "양호"
root 계정 접속을 허용한 경우 "취약"
■ 현황 : </t>
  </si>
  <si>
    <t xml:space="preserve">■ 기준 : SNMP 서비스를 v3 이상으로 사용하는 경우 "양호"
■ 현황 : </t>
  </si>
  <si>
    <t xml:space="preserve">■ 기준 : SNMP 서비스를 v2 이하로 사용하는 경우 "취약"
■ 현황 : </t>
  </si>
  <si>
    <t xml:space="preserve">■ 기준 : 
SNMP 서비스를 v3 이상으로 사용하는 경우 "양호"
SNMP 서비스를 v2 이하로 사용하는 경우 "취약"
■ 현황 : </t>
  </si>
  <si>
    <t xml:space="preserve">■ 기준 : SNMP Community String 기본값인 “public”, “private”이 아닌 영문자, 숫자 포함 10자리 이상 또는 영문자, 숫자, 특수문자 포함 8자리 이상인 경우 "양호"
※SNMP v3의 경우 별도 인증 기능을 사용하고, 해당 비밀번호가 복잡도를 만족하는 경우 양호
■ 현황 : </t>
  </si>
  <si>
    <t xml:space="preserve">■ 기준 :  아래의 내용 중 하나라도 해당되는 경우 "취약"
1. SNMP Community String 기본값인 “public”, “private”일 경우
2. 영문자, 숫자 포함 10자리 미만인 경우
3. 영문자, 숫자, 특수문자 포함 8자리 미만인 경우
■ 현황 : </t>
  </si>
  <si>
    <t xml:space="preserve">■ 기준 : 
SNMP Community String 기본값인 “public”, “private”이 아닌 영문자, 숫자 포함 10자리 이상 또는 영문자, 숫자, 특수문자 포함 8자리 이상인 경우 "양호"
※SNMP v3의 경우 별도 인증 기능을 사용하고, 해당 비밀번호가 복잡도를 만족하는 경우 양호
아래의 내용 중 하나라도 해당되는 경우 "취약"
1. SNMP Community String 기본값인 “public”, “private”일 경우
2. 영문자, 숫자 포함 10자리 미만인 경우
3. 영문자, 숫자, 특수문자 포함 8자리 미만인 경우
■ 현황 : </t>
  </si>
  <si>
    <t xml:space="preserve">■ 기준 : SNMP 서비스에 접근 제어 설정이 되어 있는 경우 "양호"
■ 현황 : </t>
  </si>
  <si>
    <t xml:space="preserve">■ 기준 : SNMP 서비스에 접근 제어 설정이 되어 있지 않은 경우 "취약"
■ 현황 : </t>
  </si>
  <si>
    <t xml:space="preserve">■ 기준 : 
SNMP 서비스에 접근 제어 설정이 되어 있는 경우 "양호"
SNMP 서비스에 접근 제어 설정이 되어 있지 않은 경우 "취약"
■ 현황 : </t>
  </si>
  <si>
    <t xml:space="preserve">■ 기준 : 서버 및 Telnet, FTP, SMTP, DNS 서비스에 로그온 시 경고 메시지가 설정된 경우 "양호"
■ 현황 : </t>
  </si>
  <si>
    <t xml:space="preserve">■ 기준 : 서버 및 Telnet, FTP, SMTP, DNS 서비스에 로그온 시 경고 메시지가 설정되어 있지 않은 경우 "취약"
■ 현황 : </t>
  </si>
  <si>
    <t xml:space="preserve">■ 기준 : 
서버 및 Telnet, FTP, SMTP, DNS 서비스에 로그온 시 경고 메시지가 설정된 경우 "양호"
서버 및 Telnet, FTP, SMTP, DNS 서비스에 로그온 시 경고 메시지가 설정되어 있지 않은 경우 "취약"
■ 현황 : </t>
  </si>
  <si>
    <t xml:space="preserve">■ 기준 : /etc/sudoers 파일 소유자가 root이고, 파일 권한이 640인 경우 "양호"
■ 현황 : </t>
  </si>
  <si>
    <t xml:space="preserve">■ 기준 :  /etc/sudoers 파일 소유자가 root가 아니거나, 파일 권한이 640을 초과하는 경우 "취약"
■ 현황 : </t>
  </si>
  <si>
    <t xml:space="preserve">■ 기준 : 
/etc/sudoers 파일 소유자가 root이고, 파일 권한이 640인 경우 "양호"
/etc/sudoers 파일 소유자가 root가 아니거나, 파일 권한이 640을 초과하는 경우 "취약"
■ 현황 : </t>
  </si>
  <si>
    <t xml:space="preserve">■ 기준 : 패치 적용 정책을 수립하여 주기적으로 패치 관리를 하고 있으며, 패치 관련 내용을 확인하고 적용하였을 경우 "양호"
■ 현황 : </t>
  </si>
  <si>
    <t xml:space="preserve">■ 기준 : 패치 적용 정책을 수립하지 않고 주기적으로 패치 관리를 하지 않거나, 패치 관련 내용을 확인하지 않고 적용하지 않고 있는 경우 "취약"
■ 현황 : </t>
  </si>
  <si>
    <t xml:space="preserve">■ 기준 : 
패치 적용 정책을 수립하여 주기적으로 패치 관리를 하고 있으며, 패치 관련 내용을 확인하고 적용하였을 경우 "양호"
패치 적용 정책을 수립하지 않고 주기적으로 패치 관리를 하지 않거나, 패치 관련 내용을 확인하지 않고 적용하지 않고 있는 경우 "취약"
■ 현황 : </t>
  </si>
  <si>
    <t xml:space="preserve">■ 기준 : NTP 및 시각 동기화 설정이 기준에 따라 적용된 경우 "양호"
■ 현황 : </t>
  </si>
  <si>
    <t xml:space="preserve">■ 기준 : NTP 및 시각 동기화 설정이 기준에 따라 적용되어 있지 않은 경우 "취약"
■ 현황 : </t>
  </si>
  <si>
    <t xml:space="preserve">■ 기준 : 
NTP 및 시각 동기화 설정이 기준에 따라 적용된 경우 "양호"
NTP 및 시각 동기화 설정이 기준에 따라 적용되어 있지 않은 경우 "취약"
■ 현황 : </t>
  </si>
  <si>
    <t xml:space="preserve">■ 기준 : 로그 기록 정책이 보안 정책에 따라 설정되어 수립되어 있으며, 로그를 남기고 있는 경우 "양호"
■ 현황 : </t>
  </si>
  <si>
    <t xml:space="preserve">■ 기준 : 로그 기록 정책 미수립 또는 정책에 따라 설정되어 있지 않거나, 로그를 남기고 있지 않은 경우 "취약"
■ 현황 : </t>
  </si>
  <si>
    <t xml:space="preserve">■ 기준 : 
로그 기록 정책이 보안 정책에 따라 설정되어 수립되어 있으며, 로그를 남기고 있는 경우 "양호"
로그 기록 정책 미수립 또는 정책에 따라 설정되어 있지 않거나, 로그를 남기고 있지 않은 경우 "취약"
■ 현황 : </t>
  </si>
  <si>
    <t xml:space="preserve">■ 기준 : 디렉터리 내 로그 파일의 소유자가 root이고, 권한이 644 이하인 경우 "양호"
■ 현황 : </t>
  </si>
  <si>
    <t xml:space="preserve">■ 기준 : 디렉터리 내 로그 파일의 소유자가 root가 아니거나, 권한이 644를 초과하는 경우 "취약"
■ 현황 : </t>
  </si>
  <si>
    <t xml:space="preserve">■ 기준 : 
디렉터리 내 로그 파일의 소유자가 root이고, 권한이 644 이하인 경우 "양호"
디렉터리 내 로그 파일의 소유자가 root가 아니거나, 권한이 644를 초과하는 경우 "취약"
■ 현황 : </t>
  </si>
  <si>
    <t>N/A</t>
  </si>
  <si>
    <r>
      <rPr>
        <b/>
        <u/>
        <sz val="12"/>
        <color indexed="60"/>
        <rFont val="맑은 고딕"/>
        <family val="3"/>
        <charset val="129"/>
      </rPr>
      <t>▣</t>
    </r>
    <r>
      <rPr>
        <b/>
        <u/>
        <sz val="12"/>
        <rFont val="맑은 고딕"/>
        <family val="3"/>
        <charset val="129"/>
      </rPr>
      <t xml:space="preserve"> UNIX 점검 요약 통계</t>
    </r>
  </si>
  <si>
    <t>본 보고서는 세계사이버대학의 UNIX 서버 취약점 점검 결과에 대한 보고서입니다. 따라서 본 보고서와 "보안 가이드"를 함께 참고하여 취약점이 도출된 항목에 대해 취약점을 제거 함으로써 해당 UNIX 서버의 보안 강화를 목적으로 합니다.</t>
  </si>
  <si>
    <t>▣ UNIX 점검대상</t>
  </si>
  <si>
    <t>UNIX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</si>
</sst>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0"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돋움"/>
      <family val="3"/>
      <charset val="129"/>
    </font>
    <font>
      <sz val="10"/>
      <color theme="1"/>
      <name val="맑은 고딕"/>
      <family val="3"/>
      <charset val="129"/>
      <scheme val="minor"/>
    </font>
    <font>
      <sz val="8"/>
      <name val="돋움"/>
      <family val="3"/>
      <charset val="129"/>
    </font>
    <font>
      <sz val="10"/>
      <color theme="1"/>
      <name val="맑은 고딕"/>
      <family val="3"/>
      <charset val="129"/>
      <scheme val="major"/>
    </font>
    <font>
      <sz val="10"/>
      <name val="맑은 고딕"/>
      <family val="3"/>
      <charset val="129"/>
      <scheme val="major"/>
    </font>
    <font>
      <b/>
      <sz val="12"/>
      <name val="맑은 고딕"/>
      <family val="3"/>
      <charset val="129"/>
      <scheme val="major"/>
    </font>
    <font>
      <sz val="11"/>
      <name val="맑은 고딕"/>
      <family val="3"/>
      <charset val="129"/>
      <scheme val="major"/>
    </font>
    <font>
      <b/>
      <sz val="10"/>
      <name val="맑은 고딕"/>
      <family val="3"/>
      <charset val="129"/>
      <scheme val="major"/>
    </font>
    <font>
      <b/>
      <sz val="10"/>
      <color theme="0"/>
      <name val="맑은 고딕"/>
      <family val="3"/>
      <charset val="129"/>
      <scheme val="major"/>
    </font>
    <font>
      <b/>
      <sz val="12"/>
      <name val="맑은 고딕"/>
      <family val="3"/>
      <charset val="129"/>
      <scheme val="minor"/>
    </font>
    <font>
      <b/>
      <sz val="10"/>
      <name val="맑은 고딕"/>
      <family val="3"/>
      <charset val="129"/>
      <scheme val="minor"/>
    </font>
    <font>
      <b/>
      <sz val="10"/>
      <color indexed="10"/>
      <name val="맑은 고딕"/>
      <family val="3"/>
      <charset val="129"/>
    </font>
    <font>
      <sz val="10"/>
      <name val="맑은 고딕"/>
      <family val="3"/>
      <charset val="129"/>
    </font>
    <font>
      <sz val="10"/>
      <name val="맑은 고딕"/>
      <family val="3"/>
      <charset val="129"/>
      <scheme val="minor"/>
    </font>
    <font>
      <b/>
      <u/>
      <sz val="12"/>
      <name val="맑은 고딕"/>
      <family val="3"/>
      <charset val="129"/>
    </font>
    <font>
      <b/>
      <sz val="12"/>
      <color indexed="60"/>
      <name val="맑은 고딕"/>
      <family val="3"/>
      <charset val="129"/>
    </font>
    <font>
      <b/>
      <sz val="12"/>
      <name val="맑은 고딕"/>
      <family val="3"/>
      <charset val="129"/>
    </font>
    <font>
      <b/>
      <i/>
      <u/>
      <sz val="12"/>
      <name val="맑은 고딕"/>
      <family val="3"/>
      <charset val="129"/>
    </font>
    <font>
      <b/>
      <sz val="10"/>
      <color theme="0"/>
      <name val="맑은 고딕"/>
      <family val="3"/>
      <charset val="129"/>
      <scheme val="minor"/>
    </font>
    <font>
      <b/>
      <i/>
      <u/>
      <sz val="12"/>
      <color theme="1"/>
      <name val="맑은 고딕"/>
      <family val="3"/>
      <charset val="129"/>
    </font>
    <font>
      <b/>
      <i/>
      <u/>
      <sz val="12"/>
      <color theme="1"/>
      <name val="맑은 고딕"/>
      <family val="3"/>
      <charset val="129"/>
      <scheme val="minor"/>
    </font>
    <font>
      <u/>
      <sz val="11"/>
      <color theme="10"/>
      <name val="돋움"/>
      <family val="3"/>
      <charset val="129"/>
    </font>
    <font>
      <sz val="10"/>
      <color rgb="FF000000"/>
      <name val="맑은 고딕"/>
      <family val="3"/>
      <charset val="129"/>
      <scheme val="minor"/>
    </font>
    <font>
      <b/>
      <sz val="10"/>
      <color rgb="FFFF0000"/>
      <name val="맑은 고딕"/>
      <family val="3"/>
      <charset val="129"/>
      <scheme val="major"/>
    </font>
    <font>
      <b/>
      <sz val="10"/>
      <color theme="3" tint="0.39994506668294322"/>
      <name val="맑은 고딕"/>
      <family val="3"/>
      <charset val="129"/>
      <scheme val="major"/>
    </font>
    <font>
      <b/>
      <sz val="12"/>
      <color theme="1"/>
      <name val="맑은 고딕"/>
      <family val="3"/>
      <charset val="129"/>
      <scheme val="major"/>
    </font>
    <font>
      <b/>
      <sz val="12"/>
      <color indexed="56"/>
      <name val="맑은 고딕"/>
      <family val="3"/>
      <charset val="129"/>
    </font>
    <font>
      <b/>
      <u/>
      <sz val="12"/>
      <color indexed="8"/>
      <name val="맑은 고딕"/>
      <family val="3"/>
      <charset val="129"/>
    </font>
    <font>
      <sz val="12"/>
      <color theme="1"/>
      <name val="맑은 고딕"/>
      <family val="3"/>
      <charset val="129"/>
      <scheme val="major"/>
    </font>
    <font>
      <b/>
      <sz val="10"/>
      <color rgb="FF000000"/>
      <name val="맑은 고딕"/>
      <family val="3"/>
      <charset val="129"/>
      <scheme val="major"/>
    </font>
    <font>
      <sz val="10"/>
      <color rgb="FF000000"/>
      <name val="맑은 고딕"/>
      <family val="3"/>
      <charset val="129"/>
      <scheme val="major"/>
    </font>
    <font>
      <b/>
      <sz val="10"/>
      <color theme="1"/>
      <name val="맑은 고딕"/>
      <family val="3"/>
      <charset val="129"/>
      <scheme val="major"/>
    </font>
    <font>
      <b/>
      <u/>
      <sz val="10"/>
      <color indexed="9"/>
      <name val="맑은 고딕"/>
      <family val="3"/>
      <charset val="129"/>
    </font>
    <font>
      <b/>
      <u/>
      <sz val="12"/>
      <color theme="1"/>
      <name val="맑은 고딕"/>
      <family val="3"/>
      <charset val="129"/>
      <scheme val="major"/>
    </font>
    <font>
      <sz val="8"/>
      <name val="맑은 고딕"/>
      <family val="3"/>
      <charset val="129"/>
    </font>
    <font>
      <b/>
      <u/>
      <sz val="10"/>
      <color theme="1"/>
      <name val="맑은 고딕"/>
      <family val="3"/>
      <charset val="129"/>
      <scheme val="major"/>
    </font>
    <font>
      <b/>
      <u/>
      <sz val="10"/>
      <color theme="10"/>
      <name val="돋움"/>
      <family val="3"/>
      <charset val="129"/>
    </font>
    <font>
      <u/>
      <sz val="10"/>
      <color theme="10"/>
      <name val="돋움"/>
      <family val="3"/>
      <charset val="129"/>
    </font>
    <font>
      <b/>
      <i/>
      <u/>
      <sz val="10"/>
      <color theme="1"/>
      <name val="맑은 고딕"/>
      <family val="3"/>
      <charset val="129"/>
      <scheme val="minor"/>
    </font>
    <font>
      <b/>
      <sz val="12"/>
      <color theme="1"/>
      <name val="맑은 고딕"/>
      <family val="3"/>
      <charset val="129"/>
    </font>
    <font>
      <b/>
      <sz val="12"/>
      <color indexed="8"/>
      <name val="맑은 고딕"/>
      <family val="3"/>
      <charset val="129"/>
    </font>
    <font>
      <b/>
      <u/>
      <sz val="12"/>
      <color theme="1"/>
      <name val="맑은 고딕"/>
      <family val="3"/>
      <charset val="129"/>
    </font>
    <font>
      <b/>
      <sz val="12"/>
      <color theme="0"/>
      <name val="맑은 고딕"/>
      <family val="3"/>
      <charset val="129"/>
      <scheme val="minor"/>
    </font>
    <font>
      <b/>
      <u/>
      <sz val="12"/>
      <color indexed="9"/>
      <name val="맑은 고딕"/>
      <family val="3"/>
      <charset val="129"/>
    </font>
    <font>
      <sz val="10"/>
      <name val="돋움"/>
      <family val="3"/>
      <charset val="129"/>
    </font>
    <font>
      <sz val="11"/>
      <color theme="1"/>
      <name val="맑은 고딕"/>
      <family val="2"/>
      <charset val="129"/>
      <scheme val="minor"/>
    </font>
    <font>
      <b/>
      <sz val="20"/>
      <color indexed="9"/>
      <name val="맑은 고딕"/>
      <family val="3"/>
      <charset val="129"/>
    </font>
    <font>
      <b/>
      <sz val="20"/>
      <color indexed="9"/>
      <name val="맑은 고딕"/>
      <family val="3"/>
      <charset val="129"/>
      <scheme val="major"/>
    </font>
    <font>
      <b/>
      <sz val="15"/>
      <color theme="1"/>
      <name val="맑은 고딕"/>
      <family val="3"/>
      <charset val="129"/>
    </font>
    <font>
      <sz val="11"/>
      <name val="맑은 고딕"/>
      <family val="3"/>
      <charset val="129"/>
    </font>
    <font>
      <sz val="10"/>
      <name val="Arial"/>
      <family val="2"/>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b/>
      <sz val="11"/>
      <color theme="1"/>
      <name val="맑은 고딕"/>
      <family val="3"/>
      <charset val="129"/>
      <scheme val="minor"/>
    </font>
    <font>
      <sz val="11"/>
      <color rgb="FF3F3F76"/>
      <name val="맑은 고딕"/>
      <family val="3"/>
      <charset val="129"/>
      <scheme val="min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b/>
      <sz val="18"/>
      <color theme="3"/>
      <name val="맑은 고딕"/>
      <family val="3"/>
      <charset val="129"/>
      <scheme val="major"/>
    </font>
    <font>
      <sz val="11"/>
      <color rgb="FF006100"/>
      <name val="맑은 고딕"/>
      <family val="3"/>
      <charset val="129"/>
      <scheme val="minor"/>
    </font>
    <font>
      <b/>
      <sz val="11"/>
      <color rgb="FF3F3F3F"/>
      <name val="맑은 고딕"/>
      <family val="3"/>
      <charset val="129"/>
      <scheme val="minor"/>
    </font>
    <font>
      <u/>
      <sz val="11"/>
      <color theme="10"/>
      <name val="맑은 고딕"/>
      <family val="3"/>
      <charset val="129"/>
      <scheme val="minor"/>
    </font>
    <font>
      <b/>
      <u/>
      <sz val="12"/>
      <color indexed="60"/>
      <name val="맑은 고딕"/>
      <family val="3"/>
      <charset val="129"/>
    </font>
    <font>
      <u/>
      <sz val="11"/>
      <color theme="10"/>
      <name val="맑은 고딕"/>
      <family val="2"/>
      <charset val="129"/>
      <scheme val="minor"/>
    </font>
    <font>
      <sz val="9"/>
      <color theme="1"/>
      <name val="맑은 고딕"/>
      <family val="2"/>
      <charset val="129"/>
      <scheme val="minor"/>
    </font>
    <font>
      <sz val="9"/>
      <color theme="1"/>
      <name val="맑은 고딕"/>
      <family val="3"/>
      <charset val="129"/>
      <scheme val="minor"/>
    </font>
    <font>
      <b/>
      <sz val="11"/>
      <color rgb="FFFF0000"/>
      <name val="맑은 고딕"/>
      <family val="3"/>
      <charset val="129"/>
      <scheme val="minor"/>
    </font>
    <font>
      <b/>
      <sz val="16"/>
      <color theme="1"/>
      <name val="맑은 고딕"/>
      <family val="3"/>
      <charset val="129"/>
      <scheme val="minor"/>
    </font>
    <font>
      <b/>
      <sz val="24"/>
      <color theme="1"/>
      <name val="맑은 고딕"/>
      <family val="3"/>
      <charset val="129"/>
      <scheme val="minor"/>
    </font>
    <font>
      <sz val="11"/>
      <color indexed="8"/>
      <name val="맑은 고딕"/>
      <family val="3"/>
    </font>
    <font>
      <sz val="10"/>
      <color theme="1"/>
      <name val="맑은 고딕"/>
      <family val="3"/>
      <charset val="129"/>
    </font>
    <font>
      <b/>
      <sz val="10"/>
      <name val="맑은 고딕"/>
      <family val="3"/>
      <charset val="129"/>
    </font>
    <font>
      <sz val="11"/>
      <color theme="1"/>
      <name val="맑은 고딕"/>
      <family val="3"/>
      <charset val="129"/>
    </font>
    <font>
      <b/>
      <sz val="10"/>
      <color theme="0"/>
      <name val="맑은 고딕"/>
      <family val="3"/>
      <charset val="129"/>
    </font>
    <font>
      <b/>
      <sz val="11"/>
      <color theme="0"/>
      <name val="맑은 고딕"/>
      <family val="3"/>
      <charset val="129"/>
    </font>
    <font>
      <sz val="11"/>
      <color rgb="FF000000"/>
      <name val="맑은 고딕"/>
      <family val="3"/>
      <charset val="129"/>
    </font>
    <font>
      <sz val="11"/>
      <color rgb="FF000000"/>
      <name val="맑은 고딕"/>
      <family val="3"/>
      <charset val="129"/>
    </font>
    <font>
      <sz val="11"/>
      <color rgb="FF000000"/>
      <name val="돋움"/>
      <family val="3"/>
      <charset val="129"/>
    </font>
    <font>
      <u/>
      <sz val="11"/>
      <color rgb="FF0563C1"/>
      <name val="돋움"/>
      <family val="3"/>
      <charset val="129"/>
    </font>
    <font>
      <sz val="10"/>
      <color rgb="FF000000"/>
      <name val="맑은 고딕"/>
      <family val="3"/>
      <charset val="129"/>
    </font>
    <font>
      <sz val="11"/>
      <color rgb="FF000000"/>
      <name val="맑은 고딕"/>
      <family val="3"/>
      <charset val="129"/>
    </font>
  </fonts>
  <fills count="42">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6DCE4"/>
        <bgColor indexed="64"/>
      </patternFill>
    </fill>
    <fill>
      <patternFill patternType="solid">
        <fgColor rgb="FFFFFFFF"/>
        <bgColor indexed="64"/>
      </patternFill>
    </fill>
  </fills>
  <borders count="63">
    <border>
      <left/>
      <right/>
      <top/>
      <bottom/>
      <diagonal/>
    </border>
    <border>
      <left/>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double">
        <color indexed="64"/>
      </top>
      <bottom style="thin">
        <color indexed="64"/>
      </bottom>
      <diagonal/>
    </border>
    <border>
      <left/>
      <right/>
      <top style="thin">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ck">
        <color rgb="FFFF0000"/>
      </left>
      <right style="thick">
        <color rgb="FFFF0000"/>
      </right>
      <top style="thick">
        <color rgb="FFFF0000"/>
      </top>
      <bottom style="thick">
        <color rgb="FFFF0000"/>
      </bottom>
      <diagonal/>
    </border>
    <border>
      <left style="thin">
        <color indexed="64"/>
      </left>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s>
  <cellStyleXfs count="177">
    <xf numFmtId="0" fontId="0" fillId="0" borderId="0">
      <alignment vertical="center"/>
    </xf>
    <xf numFmtId="0" fontId="2" fillId="0" borderId="0">
      <alignment vertical="center"/>
    </xf>
    <xf numFmtId="0" fontId="3" fillId="0" borderId="0">
      <alignment vertical="center"/>
    </xf>
    <xf numFmtId="0" fontId="3" fillId="0" borderId="0"/>
    <xf numFmtId="0" fontId="3" fillId="0" borderId="0">
      <alignment vertical="center"/>
    </xf>
    <xf numFmtId="0" fontId="24" fillId="0" borderId="0" applyNumberFormat="0" applyFill="0" applyBorder="0" applyAlignment="0" applyProtection="0">
      <alignment vertical="top"/>
      <protection locked="0"/>
    </xf>
    <xf numFmtId="0" fontId="3" fillId="0" borderId="0">
      <alignment vertical="center"/>
    </xf>
    <xf numFmtId="0" fontId="3" fillId="0" borderId="0"/>
    <xf numFmtId="0" fontId="2" fillId="0" borderId="0"/>
    <xf numFmtId="0" fontId="2" fillId="0" borderId="0">
      <alignment vertical="center"/>
    </xf>
    <xf numFmtId="0" fontId="47" fillId="0" borderId="0">
      <alignment vertical="center"/>
    </xf>
    <xf numFmtId="0" fontId="48" fillId="0" borderId="0">
      <alignment vertical="center"/>
    </xf>
    <xf numFmtId="0" fontId="2" fillId="0" borderId="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2" fillId="33" borderId="0" applyNumberFormat="0" applyBorder="0" applyAlignment="0" applyProtection="0">
      <alignment vertical="center"/>
    </xf>
    <xf numFmtId="0" fontId="2" fillId="33" borderId="0" applyNumberFormat="0" applyBorder="0" applyAlignment="0" applyProtection="0">
      <alignment vertical="center"/>
    </xf>
    <xf numFmtId="0" fontId="2" fillId="33" borderId="0" applyNumberFormat="0" applyBorder="0" applyAlignment="0" applyProtection="0">
      <alignment vertical="center"/>
    </xf>
    <xf numFmtId="0" fontId="2" fillId="37" borderId="0" applyNumberFormat="0" applyBorder="0" applyAlignment="0" applyProtection="0">
      <alignment vertical="center"/>
    </xf>
    <xf numFmtId="0" fontId="2" fillId="37" borderId="0" applyNumberFormat="0" applyBorder="0" applyAlignment="0" applyProtection="0">
      <alignment vertical="center"/>
    </xf>
    <xf numFmtId="0" fontId="2" fillId="37"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8" borderId="0" applyNumberFormat="0" applyBorder="0" applyAlignment="0" applyProtection="0">
      <alignment vertical="center"/>
    </xf>
    <xf numFmtId="0" fontId="2" fillId="38" borderId="0" applyNumberFormat="0" applyBorder="0" applyAlignment="0" applyProtection="0">
      <alignment vertical="center"/>
    </xf>
    <xf numFmtId="0" fontId="2" fillId="38"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5" borderId="0" applyNumberFormat="0" applyBorder="0" applyAlignment="0" applyProtection="0">
      <alignment vertical="center"/>
    </xf>
    <xf numFmtId="0" fontId="54" fillId="39" borderId="0" applyNumberFormat="0" applyBorder="0" applyAlignment="0" applyProtection="0">
      <alignment vertical="center"/>
    </xf>
    <xf numFmtId="0" fontId="54" fillId="39" borderId="0" applyNumberFormat="0" applyBorder="0" applyAlignment="0" applyProtection="0">
      <alignment vertical="center"/>
    </xf>
    <xf numFmtId="0" fontId="54" fillId="39" borderId="0" applyNumberFormat="0" applyBorder="0" applyAlignment="0" applyProtection="0">
      <alignment vertical="center"/>
    </xf>
    <xf numFmtId="0" fontId="54" fillId="16" borderId="0" applyNumberFormat="0" applyBorder="0" applyAlignment="0" applyProtection="0">
      <alignment vertical="center"/>
    </xf>
    <xf numFmtId="0" fontId="54" fillId="16" borderId="0" applyNumberFormat="0" applyBorder="0" applyAlignment="0" applyProtection="0">
      <alignment vertical="center"/>
    </xf>
    <xf numFmtId="0" fontId="54" fillId="16" borderId="0" applyNumberFormat="0" applyBorder="0" applyAlignment="0" applyProtection="0">
      <alignment vertical="center"/>
    </xf>
    <xf numFmtId="0" fontId="54" fillId="20" borderId="0" applyNumberFormat="0" applyBorder="0" applyAlignment="0" applyProtection="0">
      <alignment vertical="center"/>
    </xf>
    <xf numFmtId="0" fontId="54" fillId="20" borderId="0" applyNumberFormat="0" applyBorder="0" applyAlignment="0" applyProtection="0">
      <alignment vertical="center"/>
    </xf>
    <xf numFmtId="0" fontId="54" fillId="20" borderId="0" applyNumberFormat="0" applyBorder="0" applyAlignment="0" applyProtection="0">
      <alignment vertical="center"/>
    </xf>
    <xf numFmtId="0" fontId="54" fillId="24" borderId="0" applyNumberFormat="0" applyBorder="0" applyAlignment="0" applyProtection="0">
      <alignment vertical="center"/>
    </xf>
    <xf numFmtId="0" fontId="54" fillId="24" borderId="0" applyNumberFormat="0" applyBorder="0" applyAlignment="0" applyProtection="0">
      <alignment vertical="center"/>
    </xf>
    <xf numFmtId="0" fontId="54" fillId="24" borderId="0" applyNumberFormat="0" applyBorder="0" applyAlignment="0" applyProtection="0">
      <alignment vertical="center"/>
    </xf>
    <xf numFmtId="0" fontId="54" fillId="28" borderId="0" applyNumberFormat="0" applyBorder="0" applyAlignment="0" applyProtection="0">
      <alignment vertical="center"/>
    </xf>
    <xf numFmtId="0" fontId="54" fillId="28" borderId="0" applyNumberFormat="0" applyBorder="0" applyAlignment="0" applyProtection="0">
      <alignment vertical="center"/>
    </xf>
    <xf numFmtId="0" fontId="54" fillId="28" borderId="0" applyNumberFormat="0" applyBorder="0" applyAlignment="0" applyProtection="0">
      <alignment vertical="center"/>
    </xf>
    <xf numFmtId="0" fontId="54" fillId="32" borderId="0" applyNumberFormat="0" applyBorder="0" applyAlignment="0" applyProtection="0">
      <alignment vertical="center"/>
    </xf>
    <xf numFmtId="0" fontId="54" fillId="32" borderId="0" applyNumberFormat="0" applyBorder="0" applyAlignment="0" applyProtection="0">
      <alignment vertical="center"/>
    </xf>
    <xf numFmtId="0" fontId="54" fillId="32" borderId="0" applyNumberFormat="0" applyBorder="0" applyAlignment="0" applyProtection="0">
      <alignment vertical="center"/>
    </xf>
    <xf numFmtId="0" fontId="54" fillId="36" borderId="0" applyNumberFormat="0" applyBorder="0" applyAlignment="0" applyProtection="0">
      <alignment vertical="center"/>
    </xf>
    <xf numFmtId="0" fontId="54" fillId="36" borderId="0" applyNumberFormat="0" applyBorder="0" applyAlignment="0" applyProtection="0">
      <alignment vertical="center"/>
    </xf>
    <xf numFmtId="0" fontId="54" fillId="36" borderId="0" applyNumberFormat="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13" borderId="47" applyNumberFormat="0" applyAlignment="0" applyProtection="0">
      <alignment vertical="center"/>
    </xf>
    <xf numFmtId="0" fontId="56" fillId="13" borderId="47" applyNumberFormat="0" applyAlignment="0" applyProtection="0">
      <alignment vertical="center"/>
    </xf>
    <xf numFmtId="0" fontId="56" fillId="13" borderId="47" applyNumberFormat="0" applyAlignment="0" applyProtection="0">
      <alignment vertical="center"/>
    </xf>
    <xf numFmtId="0" fontId="16" fillId="10" borderId="0" applyNumberFormat="0" applyBorder="0" applyAlignment="0" applyProtection="0">
      <alignment vertical="center"/>
    </xf>
    <xf numFmtId="0" fontId="57"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57" fillId="10" borderId="0" applyNumberFormat="0" applyBorder="0" applyAlignment="0" applyProtection="0">
      <alignment vertical="center"/>
    </xf>
    <xf numFmtId="0" fontId="57" fillId="10" borderId="0" applyNumberFormat="0" applyBorder="0" applyAlignment="0" applyProtection="0">
      <alignment vertical="center"/>
    </xf>
    <xf numFmtId="0" fontId="2" fillId="15" borderId="51" applyNumberFormat="0" applyFont="0" applyAlignment="0" applyProtection="0">
      <alignment vertical="center"/>
    </xf>
    <xf numFmtId="0" fontId="2" fillId="15" borderId="51" applyNumberFormat="0" applyFont="0" applyAlignment="0" applyProtection="0">
      <alignment vertical="center"/>
    </xf>
    <xf numFmtId="0" fontId="2" fillId="15" borderId="51" applyNumberFormat="0" applyFont="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58" fillId="11" borderId="0" applyNumberFormat="0" applyBorder="0" applyAlignment="0" applyProtection="0">
      <alignment vertical="center"/>
    </xf>
    <xf numFmtId="0" fontId="58" fillId="11" borderId="0" applyNumberFormat="0" applyBorder="0" applyAlignment="0" applyProtection="0">
      <alignment vertical="center"/>
    </xf>
    <xf numFmtId="0" fontId="58" fillId="11" borderId="0" applyNumberFormat="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14" borderId="50" applyNumberFormat="0" applyAlignment="0" applyProtection="0">
      <alignment vertical="center"/>
    </xf>
    <xf numFmtId="0" fontId="60" fillId="14" borderId="50" applyNumberFormat="0" applyAlignment="0" applyProtection="0">
      <alignment vertical="center"/>
    </xf>
    <xf numFmtId="0" fontId="60" fillId="14" borderId="50" applyNumberFormat="0" applyAlignment="0" applyProtection="0">
      <alignment vertical="center"/>
    </xf>
    <xf numFmtId="0" fontId="61" fillId="0" borderId="49" applyNumberFormat="0" applyFill="0" applyAlignment="0" applyProtection="0">
      <alignment vertical="center"/>
    </xf>
    <xf numFmtId="0" fontId="61" fillId="0" borderId="49" applyNumberFormat="0" applyFill="0" applyAlignment="0" applyProtection="0">
      <alignment vertical="center"/>
    </xf>
    <xf numFmtId="0" fontId="61" fillId="0" borderId="49" applyNumberFormat="0" applyFill="0" applyAlignment="0" applyProtection="0">
      <alignment vertical="center"/>
    </xf>
    <xf numFmtId="0" fontId="62" fillId="0" borderId="52" applyNumberFormat="0" applyFill="0" applyAlignment="0" applyProtection="0">
      <alignment vertical="center"/>
    </xf>
    <xf numFmtId="0" fontId="62" fillId="0" borderId="52" applyNumberFormat="0" applyFill="0" applyAlignment="0" applyProtection="0">
      <alignment vertical="center"/>
    </xf>
    <xf numFmtId="0" fontId="62" fillId="0" borderId="52" applyNumberFormat="0" applyFill="0" applyAlignment="0" applyProtection="0">
      <alignment vertical="center"/>
    </xf>
    <xf numFmtId="0" fontId="63" fillId="12" borderId="47" applyNumberFormat="0" applyAlignment="0" applyProtection="0">
      <alignment vertical="center"/>
    </xf>
    <xf numFmtId="0" fontId="63" fillId="12" borderId="47" applyNumberFormat="0" applyAlignment="0" applyProtection="0">
      <alignment vertical="center"/>
    </xf>
    <xf numFmtId="0" fontId="63" fillId="12" borderId="47" applyNumberFormat="0" applyAlignment="0" applyProtection="0">
      <alignment vertical="center"/>
    </xf>
    <xf numFmtId="0" fontId="64" fillId="0" borderId="44" applyNumberFormat="0" applyFill="0" applyAlignment="0" applyProtection="0">
      <alignment vertical="center"/>
    </xf>
    <xf numFmtId="0" fontId="64" fillId="0" borderId="44" applyNumberFormat="0" applyFill="0" applyAlignment="0" applyProtection="0">
      <alignment vertical="center"/>
    </xf>
    <xf numFmtId="0" fontId="64" fillId="0" borderId="44" applyNumberFormat="0" applyFill="0" applyAlignment="0" applyProtection="0">
      <alignment vertical="center"/>
    </xf>
    <xf numFmtId="0" fontId="65" fillId="0" borderId="45" applyNumberFormat="0" applyFill="0" applyAlignment="0" applyProtection="0">
      <alignment vertical="center"/>
    </xf>
    <xf numFmtId="0" fontId="65" fillId="0" borderId="45" applyNumberFormat="0" applyFill="0" applyAlignment="0" applyProtection="0">
      <alignment vertical="center"/>
    </xf>
    <xf numFmtId="0" fontId="65" fillId="0" borderId="45" applyNumberFormat="0" applyFill="0" applyAlignment="0" applyProtection="0">
      <alignment vertical="center"/>
    </xf>
    <xf numFmtId="0" fontId="66" fillId="0" borderId="46" applyNumberFormat="0" applyFill="0" applyAlignment="0" applyProtection="0">
      <alignment vertical="center"/>
    </xf>
    <xf numFmtId="0" fontId="66" fillId="0" borderId="46" applyNumberFormat="0" applyFill="0" applyAlignment="0" applyProtection="0">
      <alignment vertical="center"/>
    </xf>
    <xf numFmtId="0" fontId="66" fillId="0" borderId="46" applyNumberFormat="0" applyFill="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8" fillId="9" borderId="0" applyNumberFormat="0" applyBorder="0" applyAlignment="0" applyProtection="0">
      <alignment vertical="center"/>
    </xf>
    <xf numFmtId="0" fontId="69" fillId="13" borderId="48" applyNumberFormat="0" applyAlignment="0" applyProtection="0">
      <alignment vertical="center"/>
    </xf>
    <xf numFmtId="0" fontId="69" fillId="13" borderId="48" applyNumberFormat="0" applyAlignment="0" applyProtection="0">
      <alignment vertical="center"/>
    </xf>
    <xf numFmtId="0" fontId="69" fillId="13" borderId="48" applyNumberFormat="0" applyAlignment="0" applyProtection="0">
      <alignment vertical="center"/>
    </xf>
    <xf numFmtId="0" fontId="3" fillId="0" borderId="0">
      <alignment vertical="center"/>
    </xf>
    <xf numFmtId="0" fontId="2" fillId="0" borderId="0">
      <alignment vertical="center"/>
    </xf>
    <xf numFmtId="0" fontId="53" fillId="0" borderId="0"/>
    <xf numFmtId="0" fontId="53" fillId="0" borderId="0"/>
    <xf numFmtId="0" fontId="2" fillId="0" borderId="0">
      <alignment vertical="center"/>
    </xf>
    <xf numFmtId="0" fontId="2" fillId="0" borderId="0">
      <alignment vertical="center"/>
    </xf>
    <xf numFmtId="0" fontId="2" fillId="0" borderId="0">
      <alignment vertical="center"/>
    </xf>
    <xf numFmtId="0" fontId="70" fillId="0" borderId="0" applyNumberFormat="0" applyFill="0" applyBorder="0" applyAlignment="0" applyProtection="0">
      <alignment vertical="center"/>
    </xf>
    <xf numFmtId="0" fontId="48" fillId="0" borderId="0">
      <alignment vertical="center"/>
    </xf>
    <xf numFmtId="0" fontId="2" fillId="0" borderId="0"/>
    <xf numFmtId="0" fontId="48" fillId="0" borderId="0">
      <alignment vertical="center"/>
    </xf>
    <xf numFmtId="0" fontId="24"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3" fillId="0" borderId="0">
      <alignment vertical="center"/>
    </xf>
    <xf numFmtId="0" fontId="78" fillId="0" borderId="0">
      <alignment vertical="center"/>
    </xf>
    <xf numFmtId="0" fontId="84" fillId="0" borderId="0">
      <alignment vertical="center"/>
    </xf>
    <xf numFmtId="0" fontId="85" fillId="0" borderId="0">
      <alignment vertical="center"/>
    </xf>
    <xf numFmtId="0" fontId="86" fillId="0" borderId="0">
      <alignment vertical="center"/>
    </xf>
    <xf numFmtId="0" fontId="86" fillId="0" borderId="0"/>
    <xf numFmtId="0" fontId="87" fillId="0" borderId="0">
      <alignment vertical="top"/>
      <protection locked="0"/>
    </xf>
    <xf numFmtId="0" fontId="86" fillId="0" borderId="0"/>
    <xf numFmtId="0" fontId="85" fillId="0" borderId="0"/>
    <xf numFmtId="0" fontId="85" fillId="0" borderId="0">
      <alignment vertical="center"/>
    </xf>
    <xf numFmtId="0" fontId="85" fillId="0" borderId="0">
      <alignment vertical="center"/>
    </xf>
    <xf numFmtId="49" fontId="88" fillId="0" borderId="9">
      <alignment horizontal="center" vertical="center"/>
    </xf>
    <xf numFmtId="0" fontId="48" fillId="0" borderId="0">
      <alignment vertical="center"/>
    </xf>
    <xf numFmtId="0" fontId="48" fillId="0" borderId="0">
      <alignment vertical="center"/>
    </xf>
    <xf numFmtId="0" fontId="2" fillId="0" borderId="0">
      <alignment vertical="center"/>
    </xf>
    <xf numFmtId="0" fontId="3" fillId="0" borderId="0">
      <alignment vertical="center"/>
    </xf>
    <xf numFmtId="0" fontId="3" fillId="0" borderId="0"/>
    <xf numFmtId="0" fontId="89" fillId="0" borderId="0">
      <alignment vertical="center"/>
    </xf>
    <xf numFmtId="0" fontId="84" fillId="0" borderId="0">
      <alignment vertical="center"/>
    </xf>
    <xf numFmtId="0" fontId="84" fillId="0" borderId="0"/>
    <xf numFmtId="0" fontId="84" fillId="0" borderId="0">
      <alignment vertical="center"/>
    </xf>
    <xf numFmtId="0" fontId="84" fillId="0" borderId="0">
      <alignment vertical="center"/>
    </xf>
  </cellStyleXfs>
  <cellXfs count="309">
    <xf numFmtId="0" fontId="0" fillId="0" borderId="0" xfId="0">
      <alignment vertical="center"/>
    </xf>
    <xf numFmtId="0" fontId="2" fillId="2" borderId="0" xfId="1" applyFill="1">
      <alignment vertical="center"/>
    </xf>
    <xf numFmtId="0" fontId="3" fillId="0" borderId="0" xfId="2">
      <alignment vertical="center"/>
    </xf>
    <xf numFmtId="0" fontId="6" fillId="2" borderId="0" xfId="1" applyFont="1" applyFill="1">
      <alignment vertical="center"/>
    </xf>
    <xf numFmtId="0" fontId="7" fillId="2" borderId="0" xfId="2" applyFont="1" applyFill="1">
      <alignment vertical="center"/>
    </xf>
    <xf numFmtId="0" fontId="7" fillId="2" borderId="0" xfId="4" applyFont="1" applyFill="1">
      <alignment vertical="center"/>
    </xf>
    <xf numFmtId="0" fontId="7" fillId="2" borderId="10" xfId="4" applyFont="1" applyFill="1" applyBorder="1" applyAlignment="1">
      <alignment horizontal="left" vertical="center"/>
    </xf>
    <xf numFmtId="0" fontId="13" fillId="2" borderId="0" xfId="4" applyFont="1" applyFill="1">
      <alignment vertical="center"/>
    </xf>
    <xf numFmtId="0" fontId="20" fillId="2" borderId="0" xfId="1" applyFont="1" applyFill="1" applyAlignment="1">
      <alignment horizontal="left" vertical="center"/>
    </xf>
    <xf numFmtId="0" fontId="3" fillId="2" borderId="0" xfId="2" applyFill="1">
      <alignment vertical="center"/>
    </xf>
    <xf numFmtId="0" fontId="21" fillId="3" borderId="14" xfId="1" applyFont="1" applyFill="1" applyBorder="1" applyAlignment="1">
      <alignment horizontal="center" vertical="center"/>
    </xf>
    <xf numFmtId="0" fontId="9" fillId="2" borderId="0" xfId="2" applyFont="1" applyFill="1">
      <alignment vertical="center"/>
    </xf>
    <xf numFmtId="0" fontId="6" fillId="2" borderId="15" xfId="1" applyFont="1" applyFill="1" applyBorder="1" applyAlignment="1">
      <alignment horizontal="center" vertical="center" wrapText="1"/>
    </xf>
    <xf numFmtId="14" fontId="7" fillId="2" borderId="9" xfId="2" applyNumberFormat="1" applyFont="1" applyFill="1" applyBorder="1" applyAlignment="1">
      <alignment horizontal="center" vertical="center"/>
    </xf>
    <xf numFmtId="0" fontId="7" fillId="2" borderId="9" xfId="2" applyFont="1" applyFill="1" applyBorder="1" applyAlignment="1">
      <alignment horizontal="center" vertical="center" wrapText="1"/>
    </xf>
    <xf numFmtId="0" fontId="7" fillId="2" borderId="16" xfId="2" applyFont="1" applyFill="1" applyBorder="1" applyAlignment="1">
      <alignment horizontal="center" vertical="center"/>
    </xf>
    <xf numFmtId="0" fontId="22" fillId="2" borderId="0" xfId="1" applyFont="1" applyFill="1">
      <alignment vertical="center"/>
    </xf>
    <xf numFmtId="0" fontId="23" fillId="2" borderId="0" xfId="1" applyFont="1" applyFill="1">
      <alignment vertical="center"/>
    </xf>
    <xf numFmtId="0" fontId="25" fillId="2" borderId="9" xfId="1" applyFont="1" applyFill="1" applyBorder="1" applyAlignment="1">
      <alignment horizontal="center" vertical="center" wrapText="1"/>
    </xf>
    <xf numFmtId="0" fontId="33" fillId="2" borderId="9" xfId="3" applyFont="1" applyFill="1" applyBorder="1" applyAlignment="1">
      <alignment horizontal="center" vertical="center" wrapText="1"/>
    </xf>
    <xf numFmtId="9" fontId="32" fillId="6" borderId="16" xfId="3" applyNumberFormat="1" applyFont="1" applyFill="1" applyBorder="1" applyAlignment="1">
      <alignment horizontal="center" vertical="center" wrapText="1"/>
    </xf>
    <xf numFmtId="9" fontId="32" fillId="6" borderId="34" xfId="3" applyNumberFormat="1" applyFont="1" applyFill="1" applyBorder="1" applyAlignment="1">
      <alignment horizontal="center" vertical="center" wrapText="1"/>
    </xf>
    <xf numFmtId="0" fontId="34" fillId="2" borderId="1" xfId="1" applyFont="1" applyFill="1" applyBorder="1">
      <alignment vertical="center"/>
    </xf>
    <xf numFmtId="0" fontId="6" fillId="2" borderId="1" xfId="1" applyFont="1" applyFill="1" applyBorder="1">
      <alignment vertical="center"/>
    </xf>
    <xf numFmtId="0" fontId="11" fillId="3" borderId="16" xfId="3" applyFont="1" applyFill="1" applyBorder="1" applyAlignment="1">
      <alignment horizontal="center" vertical="center" wrapText="1"/>
    </xf>
    <xf numFmtId="0" fontId="34" fillId="5" borderId="9" xfId="1" applyFont="1" applyFill="1" applyBorder="1" applyAlignment="1">
      <alignment horizontal="center" vertical="center"/>
    </xf>
    <xf numFmtId="9" fontId="32" fillId="6" borderId="27" xfId="3" applyNumberFormat="1" applyFont="1" applyFill="1" applyBorder="1" applyAlignment="1">
      <alignment horizontal="center" vertical="center" wrapText="1"/>
    </xf>
    <xf numFmtId="0" fontId="17" fillId="2" borderId="0" xfId="1" applyFont="1" applyFill="1" applyAlignment="1">
      <alignment horizontal="left" vertical="center"/>
    </xf>
    <xf numFmtId="0" fontId="21" fillId="3" borderId="9" xfId="1" applyFont="1" applyFill="1" applyBorder="1" applyAlignment="1">
      <alignment horizontal="center" vertical="center"/>
    </xf>
    <xf numFmtId="0" fontId="6" fillId="2" borderId="0" xfId="1" applyFont="1" applyFill="1" applyAlignment="1">
      <alignment horizontal="center" vertical="center"/>
    </xf>
    <xf numFmtId="0" fontId="10" fillId="6" borderId="31" xfId="3" applyFont="1" applyFill="1" applyBorder="1" applyAlignment="1">
      <alignment horizontal="center" vertical="center" wrapText="1"/>
    </xf>
    <xf numFmtId="0" fontId="11" fillId="3" borderId="9" xfId="3" applyFont="1" applyFill="1" applyBorder="1" applyAlignment="1">
      <alignment horizontal="center" vertical="center" wrapText="1"/>
    </xf>
    <xf numFmtId="9" fontId="32" fillId="6" borderId="26" xfId="3" applyNumberFormat="1" applyFont="1" applyFill="1" applyBorder="1" applyAlignment="1">
      <alignment horizontal="center" vertical="center" wrapText="1"/>
    </xf>
    <xf numFmtId="0" fontId="7" fillId="2" borderId="9" xfId="2" applyFont="1" applyFill="1" applyBorder="1" applyAlignment="1">
      <alignment horizontal="center" vertical="center"/>
    </xf>
    <xf numFmtId="0" fontId="16" fillId="2" borderId="9" xfId="8" applyFont="1" applyFill="1" applyBorder="1" applyAlignment="1">
      <alignment horizontal="center" vertical="center"/>
    </xf>
    <xf numFmtId="9" fontId="16" fillId="2" borderId="9" xfId="8" applyNumberFormat="1" applyFont="1" applyFill="1" applyBorder="1" applyAlignment="1">
      <alignment horizontal="center" vertical="center"/>
    </xf>
    <xf numFmtId="9" fontId="13" fillId="6" borderId="42" xfId="8" applyNumberFormat="1" applyFont="1" applyFill="1" applyBorder="1" applyAlignment="1">
      <alignment horizontal="center" vertical="center"/>
    </xf>
    <xf numFmtId="0" fontId="21" fillId="3" borderId="12" xfId="1" applyFont="1" applyFill="1" applyBorder="1" applyAlignment="1">
      <alignment horizontal="center" vertical="center"/>
    </xf>
    <xf numFmtId="0" fontId="21" fillId="3" borderId="13" xfId="1" applyFont="1" applyFill="1" applyBorder="1" applyAlignment="1">
      <alignment horizontal="center" vertical="center"/>
    </xf>
    <xf numFmtId="0" fontId="13" fillId="6" borderId="42" xfId="8" applyFont="1" applyFill="1" applyBorder="1" applyAlignment="1">
      <alignment horizontal="center" vertical="center"/>
    </xf>
    <xf numFmtId="0" fontId="21" fillId="3" borderId="9" xfId="2" applyFont="1" applyFill="1" applyBorder="1" applyAlignment="1">
      <alignment horizontal="center" vertical="center"/>
    </xf>
    <xf numFmtId="0" fontId="16" fillId="2" borderId="9" xfId="7" applyFont="1" applyFill="1" applyBorder="1" applyAlignment="1">
      <alignment horizontal="center" vertical="center"/>
    </xf>
    <xf numFmtId="0" fontId="6" fillId="2" borderId="0" xfId="2" applyFont="1" applyFill="1">
      <alignment vertical="center"/>
    </xf>
    <xf numFmtId="0" fontId="39" fillId="2" borderId="0" xfId="5" applyFont="1" applyFill="1" applyAlignment="1" applyProtection="1">
      <alignment horizontal="center" vertical="center"/>
    </xf>
    <xf numFmtId="0" fontId="40" fillId="2" borderId="0" xfId="5" applyFont="1" applyFill="1" applyAlignment="1" applyProtection="1">
      <alignment vertical="center"/>
    </xf>
    <xf numFmtId="0" fontId="38" fillId="2" borderId="0" xfId="2" applyFont="1" applyFill="1" applyAlignment="1">
      <alignment horizontal="left" vertical="center"/>
    </xf>
    <xf numFmtId="0" fontId="34" fillId="2" borderId="0" xfId="2" applyFont="1" applyFill="1" applyAlignment="1">
      <alignment horizontal="left" vertical="center"/>
    </xf>
    <xf numFmtId="0" fontId="41" fillId="2" borderId="0" xfId="2" applyFont="1" applyFill="1">
      <alignment vertical="center"/>
    </xf>
    <xf numFmtId="0" fontId="21" fillId="2" borderId="0" xfId="1" applyFont="1" applyFill="1">
      <alignment vertical="center"/>
    </xf>
    <xf numFmtId="0" fontId="7" fillId="2" borderId="0" xfId="2" applyFont="1" applyFill="1" applyAlignment="1">
      <alignment horizontal="right" vertical="center"/>
    </xf>
    <xf numFmtId="0" fontId="42" fillId="2" borderId="0" xfId="2" applyFont="1" applyFill="1" applyAlignment="1">
      <alignment horizontal="left" vertical="center"/>
    </xf>
    <xf numFmtId="0" fontId="44" fillId="2" borderId="0" xfId="2" applyFont="1" applyFill="1">
      <alignment vertical="center"/>
    </xf>
    <xf numFmtId="0" fontId="42" fillId="2" borderId="0" xfId="2" applyFont="1" applyFill="1">
      <alignment vertical="center"/>
    </xf>
    <xf numFmtId="0" fontId="21" fillId="3" borderId="31" xfId="3" applyFont="1" applyFill="1" applyBorder="1" applyAlignment="1" applyProtection="1">
      <alignment horizontal="center" vertical="center" wrapText="1"/>
      <protection locked="0"/>
    </xf>
    <xf numFmtId="0" fontId="24" fillId="0" borderId="9" xfId="5" applyFill="1" applyBorder="1" applyAlignment="1" applyProtection="1">
      <alignment horizontal="center" vertical="center"/>
    </xf>
    <xf numFmtId="0" fontId="7" fillId="2" borderId="0" xfId="2" applyFont="1" applyFill="1" applyAlignment="1">
      <alignment horizontal="center" vertical="center"/>
    </xf>
    <xf numFmtId="0" fontId="16" fillId="2" borderId="9" xfId="1" applyFont="1" applyFill="1" applyBorder="1" applyAlignment="1">
      <alignment horizontal="center" vertical="center"/>
    </xf>
    <xf numFmtId="0" fontId="49" fillId="7" borderId="9" xfId="1" applyFont="1" applyFill="1" applyBorder="1" applyAlignment="1">
      <alignment horizontal="center" vertical="center"/>
    </xf>
    <xf numFmtId="0" fontId="50" fillId="7" borderId="9" xfId="1" applyFont="1" applyFill="1" applyBorder="1" applyAlignment="1">
      <alignment horizontal="center" vertical="center"/>
    </xf>
    <xf numFmtId="0" fontId="7" fillId="0" borderId="0" xfId="2" applyFont="1">
      <alignment vertical="center"/>
    </xf>
    <xf numFmtId="0" fontId="51" fillId="7" borderId="9" xfId="3" applyFont="1" applyFill="1" applyBorder="1" applyAlignment="1" applyProtection="1">
      <alignment horizontal="center" vertical="center" wrapText="1"/>
      <protection locked="0"/>
    </xf>
    <xf numFmtId="0" fontId="52" fillId="8" borderId="9" xfId="0" applyFont="1" applyFill="1" applyBorder="1">
      <alignment vertical="center"/>
    </xf>
    <xf numFmtId="0" fontId="52" fillId="8" borderId="9" xfId="0" applyFont="1" applyFill="1" applyBorder="1" applyAlignment="1">
      <alignment vertical="center" wrapText="1"/>
    </xf>
    <xf numFmtId="0" fontId="21" fillId="3" borderId="21" xfId="3" applyFont="1" applyFill="1" applyBorder="1" applyAlignment="1" applyProtection="1">
      <alignment horizontal="center" vertical="center" wrapText="1"/>
      <protection locked="0"/>
    </xf>
    <xf numFmtId="0" fontId="21" fillId="3" borderId="26" xfId="3" applyFont="1" applyFill="1" applyBorder="1" applyAlignment="1" applyProtection="1">
      <alignment horizontal="center" vertical="center" wrapText="1"/>
      <protection locked="0"/>
    </xf>
    <xf numFmtId="0" fontId="7" fillId="2" borderId="0" xfId="2" applyFont="1" applyFill="1" applyAlignment="1">
      <alignment vertical="center" wrapText="1"/>
    </xf>
    <xf numFmtId="0" fontId="48" fillId="2" borderId="0" xfId="11" applyFill="1">
      <alignment vertical="center"/>
    </xf>
    <xf numFmtId="0" fontId="48" fillId="0" borderId="0" xfId="11">
      <alignment vertical="center"/>
    </xf>
    <xf numFmtId="0" fontId="75" fillId="2" borderId="58" xfId="11" applyFont="1" applyFill="1" applyBorder="1" applyAlignment="1">
      <alignment horizontal="center" vertical="center"/>
    </xf>
    <xf numFmtId="0" fontId="76" fillId="2" borderId="0" xfId="11" applyFont="1" applyFill="1" applyAlignment="1">
      <alignment horizontal="center" vertical="center"/>
    </xf>
    <xf numFmtId="0" fontId="6" fillId="2" borderId="0" xfId="1" applyFont="1" applyFill="1" applyAlignment="1">
      <alignment horizontal="center" vertical="center" wrapText="1"/>
    </xf>
    <xf numFmtId="14" fontId="7" fillId="2" borderId="0" xfId="2" applyNumberFormat="1" applyFont="1" applyFill="1" applyAlignment="1">
      <alignment horizontal="center" vertical="center"/>
    </xf>
    <xf numFmtId="0" fontId="7" fillId="2" borderId="0" xfId="2" applyFont="1" applyFill="1" applyAlignment="1">
      <alignment horizontal="center" vertical="center" wrapText="1"/>
    </xf>
    <xf numFmtId="0" fontId="6" fillId="2" borderId="9" xfId="1" applyFont="1" applyFill="1" applyBorder="1" applyAlignment="1">
      <alignment horizontal="center" vertical="center" wrapText="1"/>
    </xf>
    <xf numFmtId="0" fontId="7" fillId="0" borderId="6" xfId="156" applyFont="1" applyBorder="1" applyAlignment="1">
      <alignment horizontal="center" vertical="center"/>
    </xf>
    <xf numFmtId="0" fontId="52" fillId="8" borderId="24" xfId="0" applyFont="1" applyFill="1" applyBorder="1">
      <alignment vertical="center"/>
    </xf>
    <xf numFmtId="0" fontId="7" fillId="2" borderId="6" xfId="156" applyFont="1" applyFill="1" applyBorder="1" applyAlignment="1">
      <alignment horizontal="center" vertical="center"/>
    </xf>
    <xf numFmtId="0" fontId="10" fillId="6" borderId="53" xfId="3" applyFont="1" applyFill="1" applyBorder="1" applyAlignment="1">
      <alignment horizontal="center" vertical="center" wrapText="1"/>
    </xf>
    <xf numFmtId="9" fontId="32" fillId="6" borderId="55" xfId="3" applyNumberFormat="1" applyFont="1" applyFill="1" applyBorder="1" applyAlignment="1">
      <alignment horizontal="center" vertical="center" wrapText="1"/>
    </xf>
    <xf numFmtId="0" fontId="10" fillId="6" borderId="9" xfId="2" applyFont="1" applyFill="1" applyBorder="1" applyAlignment="1">
      <alignment horizontal="center" vertical="center"/>
    </xf>
    <xf numFmtId="0" fontId="26" fillId="6" borderId="9" xfId="2" applyFont="1" applyFill="1" applyBorder="1" applyAlignment="1">
      <alignment horizontal="center" vertical="center"/>
    </xf>
    <xf numFmtId="0" fontId="27" fillId="6" borderId="9" xfId="2" applyFont="1" applyFill="1" applyBorder="1" applyAlignment="1">
      <alignment horizontal="center" vertical="center"/>
    </xf>
    <xf numFmtId="0" fontId="10" fillId="6" borderId="13" xfId="2" applyFont="1" applyFill="1" applyBorder="1" applyAlignment="1">
      <alignment horizontal="center" vertical="center"/>
    </xf>
    <xf numFmtId="0" fontId="10" fillId="6" borderId="18" xfId="2" applyFont="1" applyFill="1" applyBorder="1" applyAlignment="1">
      <alignment horizontal="center" vertical="center"/>
    </xf>
    <xf numFmtId="0" fontId="32" fillId="4" borderId="15" xfId="3" applyFont="1" applyFill="1" applyBorder="1" applyAlignment="1">
      <alignment horizontal="center" vertical="center" wrapText="1"/>
    </xf>
    <xf numFmtId="0" fontId="52" fillId="2" borderId="9" xfId="2" applyFont="1" applyFill="1" applyBorder="1" applyAlignment="1">
      <alignment horizontal="justify" vertical="center" wrapText="1"/>
    </xf>
    <xf numFmtId="0" fontId="15" fillId="2" borderId="9" xfId="2" applyFont="1" applyFill="1" applyBorder="1">
      <alignment vertical="center"/>
    </xf>
    <xf numFmtId="0" fontId="15" fillId="0" borderId="9" xfId="2" applyFont="1" applyBorder="1">
      <alignment vertical="center"/>
    </xf>
    <xf numFmtId="0" fontId="52" fillId="0" borderId="54" xfId="2" applyFont="1" applyBorder="1">
      <alignment vertical="center"/>
    </xf>
    <xf numFmtId="0" fontId="52" fillId="0" borderId="9" xfId="2" applyFont="1" applyBorder="1">
      <alignment vertical="center"/>
    </xf>
    <xf numFmtId="0" fontId="52" fillId="2" borderId="54" xfId="2" applyFont="1" applyFill="1" applyBorder="1" applyAlignment="1">
      <alignment horizontal="justify" vertical="center" wrapText="1"/>
    </xf>
    <xf numFmtId="0" fontId="52" fillId="0" borderId="18" xfId="2" applyFont="1" applyBorder="1">
      <alignment vertical="center"/>
    </xf>
    <xf numFmtId="0" fontId="3" fillId="0" borderId="0" xfId="2" applyAlignment="1">
      <alignment horizontal="center" vertical="center"/>
    </xf>
    <xf numFmtId="0" fontId="52" fillId="2" borderId="9" xfId="2" applyFont="1" applyFill="1" applyBorder="1" applyAlignment="1">
      <alignment horizontal="center" vertical="center" wrapText="1"/>
    </xf>
    <xf numFmtId="0" fontId="52" fillId="8" borderId="9" xfId="2" applyFont="1" applyFill="1" applyBorder="1" applyAlignment="1">
      <alignment vertical="top" wrapText="1"/>
    </xf>
    <xf numFmtId="0" fontId="52" fillId="0" borderId="9" xfId="2" applyFont="1" applyBorder="1" applyAlignment="1">
      <alignment vertical="top" wrapText="1"/>
    </xf>
    <xf numFmtId="0" fontId="3" fillId="0" borderId="0" xfId="2" applyAlignment="1">
      <alignment vertical="top"/>
    </xf>
    <xf numFmtId="0" fontId="7" fillId="0" borderId="0" xfId="2" applyFont="1" applyAlignment="1">
      <alignment vertical="top"/>
    </xf>
    <xf numFmtId="0" fontId="52" fillId="2" borderId="18" xfId="2" applyFont="1" applyFill="1" applyBorder="1" applyAlignment="1">
      <alignment horizontal="center" vertical="center" wrapText="1"/>
    </xf>
    <xf numFmtId="0" fontId="52" fillId="8" borderId="18" xfId="2" applyFont="1" applyFill="1" applyBorder="1" applyAlignment="1">
      <alignment vertical="top" wrapText="1"/>
    </xf>
    <xf numFmtId="0" fontId="79" fillId="40" borderId="9" xfId="0" applyFont="1" applyFill="1" applyBorder="1" applyAlignment="1">
      <alignment horizontal="center" vertical="center"/>
    </xf>
    <xf numFmtId="0" fontId="80" fillId="2" borderId="13" xfId="2" applyFont="1" applyFill="1" applyBorder="1" applyAlignment="1">
      <alignment horizontal="center" vertical="center"/>
    </xf>
    <xf numFmtId="0" fontId="15" fillId="2" borderId="13" xfId="2" applyFont="1" applyFill="1" applyBorder="1" applyAlignment="1">
      <alignment horizontal="center" vertical="center"/>
    </xf>
    <xf numFmtId="0" fontId="15" fillId="2" borderId="9" xfId="7" applyFont="1" applyFill="1" applyBorder="1" applyAlignment="1" applyProtection="1">
      <alignment horizontal="center" vertical="center" wrapText="1"/>
      <protection locked="0"/>
    </xf>
    <xf numFmtId="0" fontId="15" fillId="0" borderId="16" xfId="2" applyFont="1" applyBorder="1" applyAlignment="1">
      <alignment vertical="top" wrapText="1"/>
    </xf>
    <xf numFmtId="0" fontId="80" fillId="2" borderId="9" xfId="2" applyFont="1" applyFill="1" applyBorder="1" applyAlignment="1">
      <alignment horizontal="center" vertical="center"/>
    </xf>
    <xf numFmtId="0" fontId="79" fillId="40" borderId="18" xfId="0" applyFont="1" applyFill="1" applyBorder="1" applyAlignment="1">
      <alignment horizontal="center" vertical="center"/>
    </xf>
    <xf numFmtId="0" fontId="15" fillId="2" borderId="18" xfId="7" applyFont="1" applyFill="1" applyBorder="1" applyAlignment="1" applyProtection="1">
      <alignment horizontal="center" vertical="center" wrapText="1"/>
      <protection locked="0"/>
    </xf>
    <xf numFmtId="0" fontId="15" fillId="0" borderId="19" xfId="2" applyFont="1" applyBorder="1" applyAlignment="1">
      <alignment vertical="top" wrapText="1"/>
    </xf>
    <xf numFmtId="0" fontId="79" fillId="40" borderId="54" xfId="0" applyFont="1" applyFill="1" applyBorder="1" applyAlignment="1">
      <alignment horizontal="center" vertical="center"/>
    </xf>
    <xf numFmtId="0" fontId="15" fillId="2" borderId="54" xfId="7" applyFont="1" applyFill="1" applyBorder="1" applyAlignment="1" applyProtection="1">
      <alignment horizontal="center" vertical="center" wrapText="1"/>
      <protection locked="0"/>
    </xf>
    <xf numFmtId="0" fontId="15" fillId="0" borderId="27" xfId="2" applyFont="1" applyBorder="1" applyAlignment="1">
      <alignment vertical="top" wrapText="1"/>
    </xf>
    <xf numFmtId="0" fontId="80" fillId="2" borderId="18" xfId="2" applyFont="1" applyFill="1" applyBorder="1" applyAlignment="1">
      <alignment horizontal="center" vertical="center"/>
    </xf>
    <xf numFmtId="0" fontId="80" fillId="2" borderId="54" xfId="2" applyFont="1" applyFill="1" applyBorder="1" applyAlignment="1">
      <alignment horizontal="center" vertical="center"/>
    </xf>
    <xf numFmtId="0" fontId="79" fillId="40" borderId="53" xfId="0" applyFont="1" applyFill="1" applyBorder="1" applyAlignment="1">
      <alignment horizontal="center" vertical="center"/>
    </xf>
    <xf numFmtId="0" fontId="80" fillId="2" borderId="53" xfId="7" applyFont="1" applyFill="1" applyBorder="1" applyAlignment="1">
      <alignment horizontal="center" vertical="center"/>
    </xf>
    <xf numFmtId="0" fontId="15" fillId="0" borderId="34" xfId="2" applyFont="1" applyBorder="1" applyAlignment="1">
      <alignment vertical="top" wrapText="1"/>
    </xf>
    <xf numFmtId="0" fontId="80" fillId="2" borderId="54" xfId="7" applyFont="1" applyFill="1" applyBorder="1" applyAlignment="1">
      <alignment horizontal="center" vertical="center"/>
    </xf>
    <xf numFmtId="0" fontId="15" fillId="0" borderId="54" xfId="2" applyFont="1" applyBorder="1" applyAlignment="1">
      <alignment vertical="top" wrapText="1"/>
    </xf>
    <xf numFmtId="0" fontId="80" fillId="2" borderId="9" xfId="7" applyFont="1" applyFill="1" applyBorder="1" applyAlignment="1">
      <alignment horizontal="center" vertical="center"/>
    </xf>
    <xf numFmtId="0" fontId="15" fillId="0" borderId="9" xfId="2" applyFont="1" applyBorder="1" applyAlignment="1">
      <alignment vertical="top" wrapText="1"/>
    </xf>
    <xf numFmtId="0" fontId="15" fillId="0" borderId="55" xfId="2" applyFont="1" applyBorder="1" applyAlignment="1">
      <alignment vertical="top" wrapText="1"/>
    </xf>
    <xf numFmtId="0" fontId="52" fillId="2" borderId="0" xfId="2" applyFont="1" applyFill="1">
      <alignment vertical="center"/>
    </xf>
    <xf numFmtId="0" fontId="81" fillId="2" borderId="0" xfId="1" applyFont="1" applyFill="1">
      <alignment vertical="center"/>
    </xf>
    <xf numFmtId="0" fontId="82" fillId="3" borderId="22" xfId="1" applyFont="1" applyFill="1" applyBorder="1" applyAlignment="1">
      <alignment horizontal="center" vertical="center"/>
    </xf>
    <xf numFmtId="0" fontId="82" fillId="3" borderId="23" xfId="1" applyFont="1" applyFill="1" applyBorder="1" applyAlignment="1">
      <alignment horizontal="center" vertical="center"/>
    </xf>
    <xf numFmtId="0" fontId="82" fillId="3" borderId="2" xfId="1" applyFont="1" applyFill="1" applyBorder="1" applyAlignment="1">
      <alignment horizontal="center" vertical="center"/>
    </xf>
    <xf numFmtId="0" fontId="15" fillId="0" borderId="13" xfId="2" applyFont="1" applyBorder="1">
      <alignment vertical="center"/>
    </xf>
    <xf numFmtId="0" fontId="15" fillId="2" borderId="9" xfId="2" applyFont="1" applyFill="1" applyBorder="1" applyAlignment="1">
      <alignment horizontal="center" vertical="center"/>
    </xf>
    <xf numFmtId="0" fontId="15" fillId="2" borderId="9" xfId="6" applyFont="1" applyFill="1" applyBorder="1" applyAlignment="1">
      <alignment horizontal="center" vertical="center" wrapText="1"/>
    </xf>
    <xf numFmtId="0" fontId="15" fillId="0" borderId="24" xfId="2" applyFont="1" applyBorder="1">
      <alignment vertical="center"/>
    </xf>
    <xf numFmtId="0" fontId="79" fillId="40" borderId="13" xfId="0" applyFont="1" applyFill="1" applyBorder="1" applyAlignment="1">
      <alignment horizontal="center" vertical="center"/>
    </xf>
    <xf numFmtId="0" fontId="15" fillId="2" borderId="20" xfId="2" applyFont="1" applyFill="1" applyBorder="1" applyAlignment="1">
      <alignment horizontal="center" vertical="center"/>
    </xf>
    <xf numFmtId="0" fontId="15" fillId="2" borderId="4" xfId="2" applyFont="1" applyFill="1" applyBorder="1" applyAlignment="1">
      <alignment horizontal="center" vertical="center"/>
    </xf>
    <xf numFmtId="0" fontId="15" fillId="0" borderId="18" xfId="2" applyFont="1" applyBorder="1">
      <alignment vertical="center"/>
    </xf>
    <xf numFmtId="0" fontId="15" fillId="2" borderId="18" xfId="2" applyFont="1" applyFill="1" applyBorder="1" applyAlignment="1">
      <alignment horizontal="center" vertical="center"/>
    </xf>
    <xf numFmtId="0" fontId="15" fillId="2" borderId="59" xfId="2" applyFont="1" applyFill="1" applyBorder="1" applyAlignment="1">
      <alignment horizontal="center" vertical="center"/>
    </xf>
    <xf numFmtId="0" fontId="79" fillId="40" borderId="8" xfId="0" applyFont="1" applyFill="1" applyBorder="1" applyAlignment="1">
      <alignment horizontal="center" vertical="center"/>
    </xf>
    <xf numFmtId="0" fontId="15" fillId="0" borderId="54" xfId="2" applyFont="1" applyBorder="1">
      <alignment vertical="center"/>
    </xf>
    <xf numFmtId="0" fontId="15" fillId="2" borderId="54" xfId="2" applyFont="1" applyFill="1" applyBorder="1" applyAlignment="1">
      <alignment horizontal="center" vertical="center"/>
    </xf>
    <xf numFmtId="0" fontId="79" fillId="40" borderId="6" xfId="0" applyFont="1" applyFill="1" applyBorder="1" applyAlignment="1">
      <alignment horizontal="center" vertical="center"/>
    </xf>
    <xf numFmtId="0" fontId="79" fillId="40" borderId="39" xfId="0" applyFont="1" applyFill="1" applyBorder="1" applyAlignment="1">
      <alignment horizontal="center" vertical="center"/>
    </xf>
    <xf numFmtId="0" fontId="15" fillId="4" borderId="33" xfId="2" applyFont="1" applyFill="1" applyBorder="1" applyAlignment="1">
      <alignment horizontal="center" vertical="center"/>
    </xf>
    <xf numFmtId="0" fontId="79" fillId="40" borderId="31" xfId="0" applyFont="1" applyFill="1" applyBorder="1" applyAlignment="1">
      <alignment horizontal="center" vertical="center"/>
    </xf>
    <xf numFmtId="0" fontId="15" fillId="0" borderId="53" xfId="2" applyFont="1" applyBorder="1">
      <alignment vertical="center"/>
    </xf>
    <xf numFmtId="0" fontId="15" fillId="2" borderId="31" xfId="2" applyFont="1" applyFill="1" applyBorder="1" applyAlignment="1">
      <alignment horizontal="center" vertical="center"/>
    </xf>
    <xf numFmtId="0" fontId="15" fillId="2" borderId="32" xfId="2" applyFont="1" applyFill="1" applyBorder="1" applyAlignment="1">
      <alignment horizontal="center" vertical="center"/>
    </xf>
    <xf numFmtId="0" fontId="15" fillId="2" borderId="7" xfId="2" applyFont="1" applyFill="1" applyBorder="1" applyAlignment="1">
      <alignment horizontal="center" vertical="center"/>
    </xf>
    <xf numFmtId="0" fontId="15" fillId="2" borderId="53" xfId="2" applyFont="1" applyFill="1" applyBorder="1" applyAlignment="1">
      <alignment horizontal="center" vertical="center"/>
    </xf>
    <xf numFmtId="0" fontId="15" fillId="2" borderId="54" xfId="6" applyFont="1" applyFill="1" applyBorder="1" applyAlignment="1">
      <alignment horizontal="center" vertical="center" wrapText="1"/>
    </xf>
    <xf numFmtId="0" fontId="15" fillId="2" borderId="18" xfId="6" applyFont="1" applyFill="1" applyBorder="1" applyAlignment="1">
      <alignment horizontal="center" vertical="center" wrapText="1"/>
    </xf>
    <xf numFmtId="0" fontId="15" fillId="2" borderId="53" xfId="6" applyFont="1" applyFill="1" applyBorder="1" applyAlignment="1">
      <alignment horizontal="center" vertical="center" wrapText="1"/>
    </xf>
    <xf numFmtId="0" fontId="15" fillId="2" borderId="54" xfId="7" applyFont="1" applyFill="1" applyBorder="1" applyAlignment="1">
      <alignment horizontal="center" vertical="center" wrapText="1"/>
    </xf>
    <xf numFmtId="0" fontId="15" fillId="2" borderId="9" xfId="7" applyFont="1" applyFill="1" applyBorder="1" applyAlignment="1">
      <alignment horizontal="center" vertical="center" wrapText="1"/>
    </xf>
    <xf numFmtId="0" fontId="15" fillId="2" borderId="18" xfId="7" applyFont="1" applyFill="1" applyBorder="1" applyAlignment="1">
      <alignment horizontal="center" vertical="center" wrapText="1"/>
    </xf>
    <xf numFmtId="0" fontId="15" fillId="2" borderId="24" xfId="2" applyFont="1" applyFill="1" applyBorder="1" applyAlignment="1">
      <alignment horizontal="center" vertical="center"/>
    </xf>
    <xf numFmtId="0" fontId="15" fillId="2" borderId="24" xfId="7" applyFont="1" applyFill="1" applyBorder="1" applyAlignment="1">
      <alignment horizontal="center" vertical="center" wrapText="1"/>
    </xf>
    <xf numFmtId="0" fontId="15" fillId="2" borderId="31" xfId="7" applyFont="1" applyFill="1" applyBorder="1" applyAlignment="1">
      <alignment horizontal="center" vertical="center" wrapText="1"/>
    </xf>
    <xf numFmtId="0" fontId="15" fillId="2" borderId="31" xfId="7" applyFont="1" applyFill="1" applyBorder="1" applyAlignment="1" applyProtection="1">
      <alignment horizontal="center" vertical="center" wrapText="1"/>
      <protection locked="0"/>
    </xf>
    <xf numFmtId="0" fontId="88" fillId="0" borderId="54" xfId="159" applyFont="1" applyBorder="1" applyAlignment="1">
      <alignment vertical="top" wrapText="1"/>
    </xf>
    <xf numFmtId="0" fontId="11" fillId="3" borderId="41" xfId="3" applyFont="1" applyFill="1" applyBorder="1" applyAlignment="1">
      <alignment horizontal="center" vertical="top" wrapText="1"/>
    </xf>
    <xf numFmtId="0" fontId="11" fillId="3" borderId="9" xfId="3" applyFont="1" applyFill="1" applyBorder="1" applyAlignment="1">
      <alignment horizontal="center" vertical="top" wrapText="1"/>
    </xf>
    <xf numFmtId="0" fontId="11" fillId="3" borderId="23" xfId="3" applyFont="1" applyFill="1" applyBorder="1" applyAlignment="1">
      <alignment horizontal="center" vertical="top" wrapText="1"/>
    </xf>
    <xf numFmtId="0" fontId="88" fillId="41" borderId="18" xfId="159" applyFont="1" applyFill="1" applyBorder="1" applyAlignment="1">
      <alignment horizontal="center" vertical="center" shrinkToFit="1"/>
    </xf>
    <xf numFmtId="0" fontId="88" fillId="41" borderId="31" xfId="159" applyFont="1" applyFill="1" applyBorder="1" applyAlignment="1">
      <alignment horizontal="center" vertical="center" shrinkToFit="1"/>
    </xf>
    <xf numFmtId="0" fontId="88" fillId="41" borderId="9" xfId="159" applyFont="1" applyFill="1" applyBorder="1" applyAlignment="1">
      <alignment horizontal="center" vertical="center" shrinkToFit="1"/>
    </xf>
    <xf numFmtId="0" fontId="88" fillId="41" borderId="54" xfId="159" applyFont="1" applyFill="1" applyBorder="1" applyAlignment="1">
      <alignment horizontal="center" vertical="center" shrinkToFit="1"/>
    </xf>
    <xf numFmtId="0" fontId="77" fillId="2" borderId="0" xfId="11" applyFont="1" applyFill="1" applyAlignment="1">
      <alignment horizontal="center" vertical="center" wrapText="1"/>
    </xf>
    <xf numFmtId="0" fontId="76" fillId="2" borderId="0" xfId="11" applyFont="1" applyFill="1" applyAlignment="1">
      <alignment horizontal="center" vertical="center"/>
    </xf>
    <xf numFmtId="0" fontId="73" fillId="2" borderId="9" xfId="11" applyFont="1" applyFill="1" applyBorder="1" applyAlignment="1">
      <alignment horizontal="center" vertical="center"/>
    </xf>
    <xf numFmtId="0" fontId="74" fillId="2" borderId="9" xfId="11" applyFont="1" applyFill="1" applyBorder="1" applyAlignment="1">
      <alignment horizontal="center" vertical="center"/>
    </xf>
    <xf numFmtId="0" fontId="74" fillId="2" borderId="4" xfId="11" applyFont="1" applyFill="1" applyBorder="1" applyAlignment="1">
      <alignment horizontal="center" vertical="center"/>
    </xf>
    <xf numFmtId="0" fontId="74" fillId="2" borderId="6" xfId="11" applyFont="1" applyFill="1" applyBorder="1" applyAlignment="1">
      <alignment horizontal="center" vertical="center"/>
    </xf>
    <xf numFmtId="0" fontId="74" fillId="2" borderId="2" xfId="11" applyFont="1" applyFill="1" applyBorder="1" applyAlignment="1">
      <alignment horizontal="center" vertical="center" wrapText="1"/>
    </xf>
    <xf numFmtId="0" fontId="74" fillId="2" borderId="43" xfId="11" applyFont="1" applyFill="1" applyBorder="1" applyAlignment="1">
      <alignment horizontal="center" vertical="center" wrapText="1"/>
    </xf>
    <xf numFmtId="0" fontId="74" fillId="2" borderId="3" xfId="11" applyFont="1" applyFill="1" applyBorder="1" applyAlignment="1">
      <alignment horizontal="center" vertical="center" wrapText="1"/>
    </xf>
    <xf numFmtId="0" fontId="74" fillId="2" borderId="7" xfId="11" applyFont="1" applyFill="1" applyBorder="1" applyAlignment="1">
      <alignment horizontal="center" vertical="center" wrapText="1"/>
    </xf>
    <xf numFmtId="0" fontId="74" fillId="2" borderId="11" xfId="11" applyFont="1" applyFill="1" applyBorder="1" applyAlignment="1">
      <alignment horizontal="center" vertical="center" wrapText="1"/>
    </xf>
    <xf numFmtId="0" fontId="74" fillId="2" borderId="8" xfId="11" applyFont="1" applyFill="1" applyBorder="1" applyAlignment="1">
      <alignment horizontal="center" vertical="center" wrapText="1"/>
    </xf>
    <xf numFmtId="0" fontId="76" fillId="2" borderId="0" xfId="11" applyFont="1" applyFill="1" applyAlignment="1">
      <alignment horizontal="left" vertical="center"/>
    </xf>
    <xf numFmtId="0" fontId="11" fillId="3" borderId="2" xfId="3" applyFont="1" applyFill="1" applyBorder="1" applyAlignment="1">
      <alignment horizontal="center" vertical="center" wrapText="1"/>
    </xf>
    <xf numFmtId="0" fontId="11" fillId="3" borderId="3" xfId="3" applyFont="1" applyFill="1" applyBorder="1" applyAlignment="1">
      <alignment horizontal="center" vertical="center" wrapText="1"/>
    </xf>
    <xf numFmtId="0" fontId="11" fillId="3" borderId="7" xfId="3" applyFont="1" applyFill="1" applyBorder="1" applyAlignment="1">
      <alignment horizontal="center" vertical="center" wrapText="1"/>
    </xf>
    <xf numFmtId="0" fontId="11" fillId="3" borderId="8" xfId="3" applyFont="1" applyFill="1" applyBorder="1" applyAlignment="1">
      <alignment horizontal="center" vertical="center" wrapText="1"/>
    </xf>
    <xf numFmtId="0" fontId="11" fillId="3" borderId="9" xfId="3" applyFont="1" applyFill="1" applyBorder="1" applyAlignment="1">
      <alignment horizontal="center" vertical="center" wrapText="1"/>
    </xf>
    <xf numFmtId="0" fontId="8" fillId="2" borderId="0" xfId="2" applyFont="1" applyFill="1" applyAlignment="1">
      <alignment horizontal="left" vertical="center"/>
    </xf>
    <xf numFmtId="0" fontId="7" fillId="2" borderId="0" xfId="2" applyFont="1" applyFill="1" applyAlignment="1">
      <alignment horizontal="left" vertical="center" wrapText="1"/>
    </xf>
    <xf numFmtId="0" fontId="10" fillId="2" borderId="0" xfId="2" applyFont="1" applyFill="1" applyAlignment="1">
      <alignment horizontal="left" vertical="center"/>
    </xf>
    <xf numFmtId="0" fontId="7" fillId="2" borderId="0" xfId="4" applyFont="1" applyFill="1" applyAlignment="1">
      <alignment horizontal="left" vertical="center"/>
    </xf>
    <xf numFmtId="0" fontId="7" fillId="2" borderId="4" xfId="4" applyFont="1" applyFill="1" applyBorder="1" applyAlignment="1">
      <alignment horizontal="center" vertical="center" wrapText="1"/>
    </xf>
    <xf numFmtId="0" fontId="7" fillId="2" borderId="6" xfId="4" applyFont="1" applyFill="1" applyBorder="1" applyAlignment="1">
      <alignment horizontal="center" vertical="center" wrapText="1"/>
    </xf>
    <xf numFmtId="0" fontId="7" fillId="2" borderId="9" xfId="4" applyFont="1" applyFill="1" applyBorder="1" applyAlignment="1">
      <alignment horizontal="center" vertical="center"/>
    </xf>
    <xf numFmtId="0" fontId="10" fillId="2" borderId="0" xfId="4" applyFont="1" applyFill="1" applyAlignment="1">
      <alignment horizontal="left" vertical="center"/>
    </xf>
    <xf numFmtId="0" fontId="16" fillId="2" borderId="0" xfId="4" applyFont="1" applyFill="1" applyAlignment="1">
      <alignment horizontal="left" vertical="center"/>
    </xf>
    <xf numFmtId="0" fontId="12" fillId="0" borderId="0" xfId="4" applyFont="1" applyAlignment="1">
      <alignment horizontal="left" vertical="center"/>
    </xf>
    <xf numFmtId="0" fontId="13" fillId="2" borderId="0" xfId="4" applyFont="1" applyFill="1" applyAlignment="1">
      <alignment horizontal="left" vertical="center"/>
    </xf>
    <xf numFmtId="0" fontId="16" fillId="2" borderId="0" xfId="4" applyFont="1" applyFill="1" applyAlignment="1">
      <alignment horizontal="left" vertical="center" wrapText="1"/>
    </xf>
    <xf numFmtId="0" fontId="17" fillId="2" borderId="0" xfId="1" applyFont="1" applyFill="1" applyAlignment="1">
      <alignment horizontal="left" vertical="center"/>
    </xf>
    <xf numFmtId="0" fontId="21" fillId="3" borderId="9" xfId="1" applyFont="1" applyFill="1" applyBorder="1" applyAlignment="1">
      <alignment horizontal="center" vertical="center"/>
    </xf>
    <xf numFmtId="0" fontId="10" fillId="6" borderId="15" xfId="2" applyFont="1" applyFill="1" applyBorder="1" applyAlignment="1">
      <alignment horizontal="center" vertical="center"/>
    </xf>
    <xf numFmtId="0" fontId="10" fillId="6" borderId="17" xfId="2" applyFont="1" applyFill="1" applyBorder="1" applyAlignment="1">
      <alignment horizontal="center" vertical="center"/>
    </xf>
    <xf numFmtId="0" fontId="10" fillId="6" borderId="12" xfId="2" applyFont="1" applyFill="1" applyBorder="1" applyAlignment="1">
      <alignment horizontal="center" vertical="center"/>
    </xf>
    <xf numFmtId="0" fontId="10" fillId="6" borderId="13" xfId="2" applyFont="1" applyFill="1" applyBorder="1" applyAlignment="1">
      <alignment horizontal="center" vertical="center"/>
    </xf>
    <xf numFmtId="0" fontId="26" fillId="6" borderId="15" xfId="2" applyFont="1" applyFill="1" applyBorder="1" applyAlignment="1">
      <alignment horizontal="center" vertical="center"/>
    </xf>
    <xf numFmtId="0" fontId="26" fillId="6" borderId="9" xfId="2" applyFont="1" applyFill="1" applyBorder="1" applyAlignment="1">
      <alignment horizontal="center" vertical="center"/>
    </xf>
    <xf numFmtId="0" fontId="27" fillId="6" borderId="15" xfId="2" applyFont="1" applyFill="1" applyBorder="1" applyAlignment="1">
      <alignment horizontal="center" vertical="center"/>
    </xf>
    <xf numFmtId="0" fontId="27" fillId="6" borderId="9" xfId="2" applyFont="1" applyFill="1" applyBorder="1" applyAlignment="1">
      <alignment horizontal="center" vertical="center"/>
    </xf>
    <xf numFmtId="0" fontId="10" fillId="6" borderId="18" xfId="2" applyFont="1" applyFill="1" applyBorder="1" applyAlignment="1">
      <alignment horizontal="center" vertical="center"/>
    </xf>
    <xf numFmtId="0" fontId="15" fillId="6" borderId="28" xfId="2" applyFont="1" applyFill="1" applyBorder="1" applyAlignment="1">
      <alignment horizontal="center" vertical="center"/>
    </xf>
    <xf numFmtId="0" fontId="15" fillId="6" borderId="29" xfId="2" applyFont="1" applyFill="1" applyBorder="1" applyAlignment="1">
      <alignment horizontal="center" vertical="center"/>
    </xf>
    <xf numFmtId="0" fontId="15" fillId="6" borderId="60" xfId="2" applyFont="1" applyFill="1" applyBorder="1" applyAlignment="1">
      <alignment horizontal="center" vertical="center"/>
    </xf>
    <xf numFmtId="0" fontId="15" fillId="6" borderId="61" xfId="2" applyFont="1" applyFill="1" applyBorder="1" applyAlignment="1">
      <alignment horizontal="center" vertical="center"/>
    </xf>
    <xf numFmtId="0" fontId="15" fillId="4" borderId="12" xfId="2" applyFont="1" applyFill="1" applyBorder="1" applyAlignment="1">
      <alignment horizontal="center" vertical="center" wrapText="1"/>
    </xf>
    <xf numFmtId="0" fontId="15" fillId="4" borderId="15" xfId="2" applyFont="1" applyFill="1" applyBorder="1" applyAlignment="1">
      <alignment horizontal="center" vertical="center" wrapText="1"/>
    </xf>
    <xf numFmtId="0" fontId="15" fillId="4" borderId="17" xfId="2" applyFont="1" applyFill="1" applyBorder="1" applyAlignment="1">
      <alignment horizontal="center" vertical="center" wrapText="1"/>
    </xf>
    <xf numFmtId="0" fontId="15" fillId="4" borderId="54" xfId="2" applyFont="1" applyFill="1" applyBorder="1" applyAlignment="1">
      <alignment horizontal="center" vertical="center" wrapText="1"/>
    </xf>
    <xf numFmtId="0" fontId="15" fillId="4" borderId="9" xfId="2" applyFont="1" applyFill="1" applyBorder="1" applyAlignment="1">
      <alignment horizontal="center" vertical="center" wrapText="1"/>
    </xf>
    <xf numFmtId="0" fontId="15" fillId="4" borderId="18" xfId="2" applyFont="1" applyFill="1" applyBorder="1" applyAlignment="1">
      <alignment horizontal="center" vertical="center" wrapText="1"/>
    </xf>
    <xf numFmtId="0" fontId="15" fillId="4" borderId="56" xfId="2" applyFont="1" applyFill="1" applyBorder="1" applyAlignment="1">
      <alignment horizontal="center" vertical="center"/>
    </xf>
    <xf numFmtId="0" fontId="15" fillId="4" borderId="40" xfId="2" applyFont="1" applyFill="1" applyBorder="1" applyAlignment="1">
      <alignment horizontal="center" vertical="center"/>
    </xf>
    <xf numFmtId="0" fontId="15" fillId="4" borderId="17" xfId="2" applyFont="1" applyFill="1" applyBorder="1" applyAlignment="1">
      <alignment horizontal="center" vertical="center"/>
    </xf>
    <xf numFmtId="0" fontId="15" fillId="4" borderId="25" xfId="2" applyFont="1" applyFill="1" applyBorder="1" applyAlignment="1">
      <alignment horizontal="center" vertical="center" wrapText="1"/>
    </xf>
    <xf numFmtId="0" fontId="15" fillId="4" borderId="40" xfId="2" applyFont="1" applyFill="1" applyBorder="1" applyAlignment="1">
      <alignment horizontal="center" vertical="center" wrapText="1"/>
    </xf>
    <xf numFmtId="0" fontId="15" fillId="4" borderId="57" xfId="2" applyFont="1" applyFill="1" applyBorder="1" applyAlignment="1">
      <alignment horizontal="center" vertical="center" wrapText="1"/>
    </xf>
    <xf numFmtId="0" fontId="82" fillId="3" borderId="12" xfId="1" applyFont="1" applyFill="1" applyBorder="1" applyAlignment="1">
      <alignment horizontal="center" vertical="center"/>
    </xf>
    <xf numFmtId="0" fontId="82" fillId="3" borderId="13" xfId="1" applyFont="1" applyFill="1" applyBorder="1" applyAlignment="1">
      <alignment horizontal="center" vertical="center"/>
    </xf>
    <xf numFmtId="0" fontId="82" fillId="3" borderId="23" xfId="1" applyFont="1" applyFill="1" applyBorder="1" applyAlignment="1">
      <alignment horizontal="center" vertical="center"/>
    </xf>
    <xf numFmtId="0" fontId="82" fillId="3" borderId="20" xfId="1" applyFont="1" applyFill="1" applyBorder="1" applyAlignment="1">
      <alignment horizontal="center" vertical="center"/>
    </xf>
    <xf numFmtId="0" fontId="83" fillId="3" borderId="13" xfId="5" applyFont="1" applyFill="1" applyBorder="1" applyAlignment="1" applyProtection="1">
      <alignment horizontal="center" vertical="center" wrapText="1"/>
    </xf>
    <xf numFmtId="0" fontId="82" fillId="3" borderId="23" xfId="1" applyFont="1" applyFill="1" applyBorder="1" applyAlignment="1">
      <alignment horizontal="center" vertical="center" wrapText="1"/>
    </xf>
    <xf numFmtId="0" fontId="6" fillId="2" borderId="0" xfId="1" applyFont="1" applyFill="1" applyAlignment="1">
      <alignment horizontal="center" vertical="center"/>
    </xf>
    <xf numFmtId="0" fontId="11" fillId="3" borderId="12" xfId="3" applyFont="1" applyFill="1" applyBorder="1" applyAlignment="1">
      <alignment horizontal="center" vertical="center" wrapText="1"/>
    </xf>
    <xf numFmtId="0" fontId="11" fillId="3" borderId="13" xfId="3" applyFont="1" applyFill="1" applyBorder="1" applyAlignment="1">
      <alignment horizontal="center" vertical="center" wrapText="1"/>
    </xf>
    <xf numFmtId="0" fontId="11" fillId="3" borderId="15" xfId="3" applyFont="1" applyFill="1" applyBorder="1" applyAlignment="1">
      <alignment horizontal="center" vertical="center" wrapText="1"/>
    </xf>
    <xf numFmtId="0" fontId="11" fillId="3" borderId="20" xfId="3" applyFont="1" applyFill="1" applyBorder="1" applyAlignment="1">
      <alignment horizontal="center" vertical="center" wrapText="1"/>
    </xf>
    <xf numFmtId="0" fontId="11" fillId="3" borderId="35" xfId="3" applyFont="1" applyFill="1" applyBorder="1" applyAlignment="1">
      <alignment horizontal="center" vertical="center" wrapText="1"/>
    </xf>
    <xf numFmtId="0" fontId="11" fillId="3" borderId="36" xfId="3" applyFont="1" applyFill="1" applyBorder="1" applyAlignment="1">
      <alignment horizontal="center" vertical="center" wrapText="1"/>
    </xf>
    <xf numFmtId="0" fontId="11" fillId="3" borderId="37" xfId="3" applyFont="1" applyFill="1" applyBorder="1" applyAlignment="1">
      <alignment horizontal="center" vertical="center" wrapText="1"/>
    </xf>
    <xf numFmtId="0" fontId="10" fillId="6" borderId="38" xfId="3" applyFont="1" applyFill="1" applyBorder="1" applyAlignment="1">
      <alignment horizontal="center" vertical="center" wrapText="1"/>
    </xf>
    <xf numFmtId="0" fontId="10" fillId="6" borderId="39" xfId="3" applyFont="1" applyFill="1" applyBorder="1" applyAlignment="1">
      <alignment horizontal="center" vertical="center" wrapText="1"/>
    </xf>
    <xf numFmtId="0" fontId="11" fillId="3" borderId="0" xfId="1" applyFont="1" applyFill="1" applyAlignment="1">
      <alignment horizontal="left" vertical="center"/>
    </xf>
    <xf numFmtId="0" fontId="36" fillId="2" borderId="0" xfId="1" applyFont="1" applyFill="1" applyAlignment="1">
      <alignment horizontal="left" vertical="center"/>
    </xf>
    <xf numFmtId="0" fontId="10" fillId="6" borderId="33" xfId="3" applyFont="1" applyFill="1" applyBorder="1" applyAlignment="1">
      <alignment horizontal="center" vertical="center" wrapText="1"/>
    </xf>
    <xf numFmtId="0" fontId="10" fillId="6" borderId="31" xfId="3" applyFont="1" applyFill="1" applyBorder="1" applyAlignment="1">
      <alignment horizontal="center" vertical="center" wrapText="1"/>
    </xf>
    <xf numFmtId="0" fontId="28" fillId="2" borderId="0" xfId="1" applyFont="1" applyFill="1" applyAlignment="1">
      <alignment horizontal="left" vertical="center"/>
    </xf>
    <xf numFmtId="0" fontId="31" fillId="2" borderId="0" xfId="1" applyFont="1" applyFill="1" applyAlignment="1">
      <alignment horizontal="left" vertical="center"/>
    </xf>
    <xf numFmtId="0" fontId="11" fillId="3" borderId="25" xfId="3" applyFont="1" applyFill="1" applyBorder="1" applyAlignment="1">
      <alignment horizontal="center" vertical="center" wrapText="1"/>
    </xf>
    <xf numFmtId="0" fontId="11" fillId="3" borderId="21" xfId="3" applyFont="1" applyFill="1" applyBorder="1" applyAlignment="1">
      <alignment horizontal="center" vertical="center" wrapText="1"/>
    </xf>
    <xf numFmtId="0" fontId="11" fillId="3" borderId="40" xfId="3" applyFont="1" applyFill="1" applyBorder="1" applyAlignment="1">
      <alignment horizontal="center" vertical="center" wrapText="1"/>
    </xf>
    <xf numFmtId="0" fontId="11" fillId="3" borderId="24" xfId="3" applyFont="1" applyFill="1" applyBorder="1" applyAlignment="1">
      <alignment horizontal="center" vertical="center" wrapText="1"/>
    </xf>
    <xf numFmtId="0" fontId="32" fillId="4" borderId="15" xfId="3" applyFont="1" applyFill="1" applyBorder="1" applyAlignment="1">
      <alignment horizontal="center" vertical="center" wrapText="1"/>
    </xf>
    <xf numFmtId="0" fontId="32" fillId="4" borderId="9" xfId="3" applyFont="1" applyFill="1" applyBorder="1" applyAlignment="1">
      <alignment horizontal="center" vertical="center" wrapText="1"/>
    </xf>
    <xf numFmtId="0" fontId="16" fillId="2" borderId="9" xfId="8" applyFont="1" applyFill="1" applyBorder="1" applyAlignment="1">
      <alignment horizontal="center" vertical="center"/>
    </xf>
    <xf numFmtId="0" fontId="21" fillId="3" borderId="9" xfId="2" applyFont="1" applyFill="1" applyBorder="1" applyAlignment="1">
      <alignment horizontal="center" vertical="center"/>
    </xf>
    <xf numFmtId="0" fontId="21" fillId="3" borderId="4" xfId="2" applyFont="1" applyFill="1" applyBorder="1" applyAlignment="1">
      <alignment horizontal="center" vertical="center"/>
    </xf>
    <xf numFmtId="0" fontId="21" fillId="3" borderId="5" xfId="2" applyFont="1" applyFill="1" applyBorder="1" applyAlignment="1">
      <alignment horizontal="center" vertical="center"/>
    </xf>
    <xf numFmtId="0" fontId="21" fillId="3" borderId="6" xfId="2" applyFont="1" applyFill="1" applyBorder="1" applyAlignment="1">
      <alignment horizontal="center" vertical="center"/>
    </xf>
    <xf numFmtId="0" fontId="16" fillId="2" borderId="9" xfId="7" applyFont="1" applyFill="1" applyBorder="1" applyAlignment="1">
      <alignment horizontal="center" vertical="center"/>
    </xf>
    <xf numFmtId="0" fontId="45" fillId="3" borderId="4" xfId="2" applyFont="1" applyFill="1" applyBorder="1" applyAlignment="1">
      <alignment horizontal="left" vertical="center"/>
    </xf>
    <xf numFmtId="0" fontId="45" fillId="3" borderId="6" xfId="2" applyFont="1" applyFill="1" applyBorder="1" applyAlignment="1">
      <alignment horizontal="left" vertical="center"/>
    </xf>
    <xf numFmtId="0" fontId="7" fillId="2" borderId="9" xfId="2" applyFont="1" applyFill="1" applyBorder="1" applyAlignment="1">
      <alignment horizontal="center" vertical="center"/>
    </xf>
    <xf numFmtId="0" fontId="15" fillId="2" borderId="59" xfId="2" applyFont="1" applyFill="1" applyBorder="1" applyAlignment="1">
      <alignment horizontal="left" vertical="center"/>
    </xf>
    <xf numFmtId="0" fontId="15" fillId="2" borderId="62" xfId="2" applyFont="1" applyFill="1" applyBorder="1" applyAlignment="1">
      <alignment horizontal="left" vertical="center"/>
    </xf>
    <xf numFmtId="0" fontId="15" fillId="2" borderId="39" xfId="2" applyFont="1" applyFill="1" applyBorder="1" applyAlignment="1">
      <alignment horizontal="left" vertical="center"/>
    </xf>
    <xf numFmtId="0" fontId="15" fillId="2" borderId="4" xfId="7" applyFont="1" applyFill="1" applyBorder="1" applyAlignment="1">
      <alignment horizontal="left" vertical="center" wrapText="1"/>
    </xf>
    <xf numFmtId="0" fontId="15" fillId="2" borderId="5" xfId="7" applyFont="1" applyFill="1" applyBorder="1" applyAlignment="1">
      <alignment horizontal="left" vertical="center" wrapText="1"/>
    </xf>
    <xf numFmtId="0" fontId="15" fillId="2" borderId="6" xfId="7" applyFont="1" applyFill="1" applyBorder="1" applyAlignment="1">
      <alignment horizontal="left" vertical="center" wrapText="1"/>
    </xf>
    <xf numFmtId="0" fontId="15" fillId="2" borderId="4" xfId="2" applyFont="1" applyFill="1" applyBorder="1" applyAlignment="1">
      <alignment horizontal="left" vertical="center"/>
    </xf>
    <xf numFmtId="0" fontId="15" fillId="2" borderId="5" xfId="2" applyFont="1" applyFill="1" applyBorder="1" applyAlignment="1">
      <alignment horizontal="left" vertical="center"/>
    </xf>
    <xf numFmtId="0" fontId="15" fillId="2" borderId="6" xfId="2" applyFont="1" applyFill="1" applyBorder="1" applyAlignment="1">
      <alignment horizontal="left" vertical="center"/>
    </xf>
    <xf numFmtId="0" fontId="13" fillId="6" borderId="42" xfId="8" applyFont="1" applyFill="1" applyBorder="1" applyAlignment="1">
      <alignment horizontal="center" vertical="center"/>
    </xf>
    <xf numFmtId="0" fontId="21" fillId="3" borderId="28" xfId="3" applyFont="1" applyFill="1" applyBorder="1" applyAlignment="1" applyProtection="1">
      <alignment horizontal="center" vertical="center" wrapText="1"/>
      <protection locked="0"/>
    </xf>
    <xf numFmtId="0" fontId="21" fillId="3" borderId="30" xfId="3" applyFont="1" applyFill="1" applyBorder="1" applyAlignment="1" applyProtection="1">
      <alignment horizontal="center" vertical="center" wrapText="1"/>
      <protection locked="0"/>
    </xf>
    <xf numFmtId="0" fontId="21" fillId="3" borderId="32" xfId="3" applyFont="1" applyFill="1" applyBorder="1" applyAlignment="1" applyProtection="1">
      <alignment horizontal="center" vertical="center" wrapText="1"/>
      <protection locked="0"/>
    </xf>
    <xf numFmtId="0" fontId="21" fillId="3" borderId="29" xfId="3" applyFont="1" applyFill="1" applyBorder="1" applyAlignment="1" applyProtection="1">
      <alignment horizontal="center" vertical="center" wrapText="1"/>
      <protection locked="0"/>
    </xf>
    <xf numFmtId="0" fontId="7" fillId="4" borderId="12" xfId="2" applyFont="1" applyFill="1" applyBorder="1" applyAlignment="1">
      <alignment horizontal="center" vertical="center" wrapText="1"/>
    </xf>
    <xf numFmtId="0" fontId="7" fillId="4" borderId="13" xfId="2" applyFont="1" applyFill="1" applyBorder="1" applyAlignment="1">
      <alignment horizontal="center" vertical="center" wrapText="1"/>
    </xf>
    <xf numFmtId="0" fontId="7" fillId="4" borderId="15" xfId="2" applyFont="1" applyFill="1" applyBorder="1" applyAlignment="1">
      <alignment horizontal="center" vertical="center" wrapText="1"/>
    </xf>
    <xf numFmtId="0" fontId="7" fillId="4" borderId="9" xfId="2" applyFont="1" applyFill="1" applyBorder="1" applyAlignment="1">
      <alignment horizontal="center" vertical="center" wrapText="1"/>
    </xf>
    <xf numFmtId="0" fontId="15" fillId="2" borderId="20" xfId="7" applyFont="1" applyFill="1" applyBorder="1" applyAlignment="1">
      <alignment horizontal="left" vertical="center" wrapText="1"/>
    </xf>
    <xf numFmtId="0" fontId="15" fillId="2" borderId="35" xfId="7" applyFont="1" applyFill="1" applyBorder="1" applyAlignment="1">
      <alignment horizontal="left" vertical="center" wrapText="1"/>
    </xf>
    <xf numFmtId="0" fontId="15" fillId="2" borderId="36" xfId="7" applyFont="1" applyFill="1" applyBorder="1" applyAlignment="1">
      <alignment horizontal="left" vertical="center" wrapText="1"/>
    </xf>
    <xf numFmtId="0" fontId="15" fillId="0" borderId="4" xfId="2" applyFont="1" applyBorder="1" applyAlignment="1">
      <alignment horizontal="left" vertical="center"/>
    </xf>
    <xf numFmtId="0" fontId="15" fillId="0" borderId="5" xfId="2" applyFont="1" applyBorder="1" applyAlignment="1">
      <alignment horizontal="left" vertical="center"/>
    </xf>
    <xf numFmtId="0" fontId="15" fillId="0" borderId="6" xfId="2" applyFont="1" applyBorder="1" applyAlignment="1">
      <alignment horizontal="left" vertical="center"/>
    </xf>
    <xf numFmtId="0" fontId="7" fillId="4" borderId="22" xfId="2" applyFont="1" applyFill="1" applyBorder="1" applyAlignment="1">
      <alignment horizontal="center" vertical="center" wrapText="1"/>
    </xf>
    <xf numFmtId="0" fontId="7" fillId="4" borderId="23" xfId="2" applyFont="1" applyFill="1" applyBorder="1" applyAlignment="1">
      <alignment horizontal="center" vertical="center" wrapText="1"/>
    </xf>
    <xf numFmtId="0" fontId="7" fillId="4" borderId="17" xfId="2" applyFont="1" applyFill="1" applyBorder="1" applyAlignment="1">
      <alignment horizontal="center" vertical="center" wrapText="1"/>
    </xf>
    <xf numFmtId="0" fontId="7" fillId="4" borderId="18" xfId="2" applyFont="1" applyFill="1" applyBorder="1" applyAlignment="1">
      <alignment horizontal="center" vertical="center" wrapText="1"/>
    </xf>
    <xf numFmtId="0" fontId="15" fillId="2" borderId="20" xfId="2" applyFont="1" applyFill="1" applyBorder="1" applyAlignment="1">
      <alignment horizontal="left" vertical="center"/>
    </xf>
    <xf numFmtId="0" fontId="15" fillId="2" borderId="35" xfId="2" applyFont="1" applyFill="1" applyBorder="1" applyAlignment="1">
      <alignment horizontal="left" vertical="center"/>
    </xf>
    <xf numFmtId="0" fontId="15" fillId="2" borderId="36" xfId="2" applyFont="1" applyFill="1" applyBorder="1" applyAlignment="1">
      <alignment horizontal="left" vertical="center"/>
    </xf>
    <xf numFmtId="0" fontId="7" fillId="4" borderId="12" xfId="2" applyFont="1" applyFill="1" applyBorder="1" applyAlignment="1">
      <alignment horizontal="center" vertical="center"/>
    </xf>
    <xf numFmtId="0" fontId="7" fillId="4" borderId="13" xfId="2" applyFont="1" applyFill="1" applyBorder="1" applyAlignment="1">
      <alignment horizontal="center" vertical="center"/>
    </xf>
    <xf numFmtId="0" fontId="7" fillId="4" borderId="40" xfId="2" applyFont="1" applyFill="1" applyBorder="1" applyAlignment="1">
      <alignment horizontal="center" vertical="center"/>
    </xf>
    <xf numFmtId="0" fontId="7" fillId="4" borderId="24" xfId="2" applyFont="1" applyFill="1" applyBorder="1" applyAlignment="1">
      <alignment horizontal="center" vertical="center"/>
    </xf>
    <xf numFmtId="0" fontId="7" fillId="4" borderId="17" xfId="2" applyFont="1" applyFill="1" applyBorder="1" applyAlignment="1">
      <alignment horizontal="center" vertical="center"/>
    </xf>
    <xf numFmtId="0" fontId="7" fillId="4" borderId="18" xfId="2" applyFont="1" applyFill="1" applyBorder="1" applyAlignment="1">
      <alignment horizontal="center" vertical="center"/>
    </xf>
    <xf numFmtId="0" fontId="15" fillId="0" borderId="20" xfId="2" applyFont="1" applyBorder="1" applyAlignment="1">
      <alignment horizontal="left" vertical="center"/>
    </xf>
    <xf numFmtId="0" fontId="15" fillId="0" borderId="35" xfId="2" applyFont="1" applyBorder="1" applyAlignment="1">
      <alignment horizontal="left" vertical="center"/>
    </xf>
    <xf numFmtId="0" fontId="15" fillId="0" borderId="36" xfId="2" applyFont="1" applyBorder="1" applyAlignment="1">
      <alignment horizontal="left" vertical="center"/>
    </xf>
    <xf numFmtId="0" fontId="15" fillId="0" borderId="59" xfId="2" applyFont="1" applyBorder="1" applyAlignment="1">
      <alignment horizontal="left" vertical="center"/>
    </xf>
    <xf numFmtId="0" fontId="15" fillId="0" borderId="62" xfId="2" applyFont="1" applyBorder="1" applyAlignment="1">
      <alignment horizontal="left" vertical="center"/>
    </xf>
    <xf numFmtId="0" fontId="15" fillId="0" borderId="39" xfId="2" applyFont="1" applyBorder="1" applyAlignment="1">
      <alignment horizontal="left" vertical="center"/>
    </xf>
    <xf numFmtId="0" fontId="7" fillId="4" borderId="33" xfId="2" applyFont="1" applyFill="1" applyBorder="1" applyAlignment="1">
      <alignment horizontal="center" vertical="center"/>
    </xf>
    <xf numFmtId="0" fontId="7" fillId="4" borderId="31" xfId="2" applyFont="1" applyFill="1" applyBorder="1" applyAlignment="1">
      <alignment horizontal="center" vertical="center"/>
    </xf>
    <xf numFmtId="0" fontId="15" fillId="0" borderId="31" xfId="7" applyFont="1" applyBorder="1" applyAlignment="1">
      <alignment horizontal="left" vertical="center" wrapText="1"/>
    </xf>
    <xf numFmtId="0" fontId="7" fillId="4" borderId="15" xfId="2" applyFont="1" applyFill="1" applyBorder="1" applyAlignment="1">
      <alignment horizontal="center" vertical="center"/>
    </xf>
    <xf numFmtId="0" fontId="7" fillId="4" borderId="9" xfId="2" applyFont="1" applyFill="1" applyBorder="1" applyAlignment="1">
      <alignment horizontal="center" vertical="center"/>
    </xf>
  </cellXfs>
  <cellStyles count="177">
    <cellStyle name="20% - 강조색1 2" xfId="13" xr:uid="{00000000-0005-0000-0000-000000000000}"/>
    <cellStyle name="20% - 강조색1 3" xfId="14" xr:uid="{00000000-0005-0000-0000-000001000000}"/>
    <cellStyle name="20% - 강조색1 4" xfId="15" xr:uid="{00000000-0005-0000-0000-000002000000}"/>
    <cellStyle name="20% - 강조색2 2" xfId="16" xr:uid="{00000000-0005-0000-0000-000003000000}"/>
    <cellStyle name="20% - 강조색2 3" xfId="17" xr:uid="{00000000-0005-0000-0000-000004000000}"/>
    <cellStyle name="20% - 강조색2 4" xfId="18" xr:uid="{00000000-0005-0000-0000-000005000000}"/>
    <cellStyle name="20% - 강조색3 2" xfId="19" xr:uid="{00000000-0005-0000-0000-000006000000}"/>
    <cellStyle name="20% - 강조색3 3" xfId="20" xr:uid="{00000000-0005-0000-0000-000007000000}"/>
    <cellStyle name="20% - 강조색3 4" xfId="21" xr:uid="{00000000-0005-0000-0000-000008000000}"/>
    <cellStyle name="20% - 강조색4 2" xfId="22" xr:uid="{00000000-0005-0000-0000-000009000000}"/>
    <cellStyle name="20% - 강조색4 3" xfId="23" xr:uid="{00000000-0005-0000-0000-00000A000000}"/>
    <cellStyle name="20% - 강조색4 4" xfId="24" xr:uid="{00000000-0005-0000-0000-00000B000000}"/>
    <cellStyle name="20% - 강조색5 2" xfId="25" xr:uid="{00000000-0005-0000-0000-00000C000000}"/>
    <cellStyle name="20% - 강조색5 3" xfId="26" xr:uid="{00000000-0005-0000-0000-00000D000000}"/>
    <cellStyle name="20% - 강조색5 4" xfId="27" xr:uid="{00000000-0005-0000-0000-00000E000000}"/>
    <cellStyle name="20% - 강조색6 2" xfId="28" xr:uid="{00000000-0005-0000-0000-00000F000000}"/>
    <cellStyle name="20% - 강조색6 3" xfId="29" xr:uid="{00000000-0005-0000-0000-000010000000}"/>
    <cellStyle name="20% - 강조색6 4" xfId="30" xr:uid="{00000000-0005-0000-0000-000011000000}"/>
    <cellStyle name="40% - 강조색1 2" xfId="31" xr:uid="{00000000-0005-0000-0000-000012000000}"/>
    <cellStyle name="40% - 강조색1 3" xfId="32" xr:uid="{00000000-0005-0000-0000-000013000000}"/>
    <cellStyle name="40% - 강조색1 4" xfId="33" xr:uid="{00000000-0005-0000-0000-000014000000}"/>
    <cellStyle name="40% - 강조색2 2" xfId="34" xr:uid="{00000000-0005-0000-0000-000015000000}"/>
    <cellStyle name="40% - 강조색2 3" xfId="35" xr:uid="{00000000-0005-0000-0000-000016000000}"/>
    <cellStyle name="40% - 강조색2 4" xfId="36" xr:uid="{00000000-0005-0000-0000-000017000000}"/>
    <cellStyle name="40% - 강조색3 2" xfId="37" xr:uid="{00000000-0005-0000-0000-000018000000}"/>
    <cellStyle name="40% - 강조색3 3" xfId="38" xr:uid="{00000000-0005-0000-0000-000019000000}"/>
    <cellStyle name="40% - 강조색3 4" xfId="39" xr:uid="{00000000-0005-0000-0000-00001A000000}"/>
    <cellStyle name="40% - 강조색4 2" xfId="40" xr:uid="{00000000-0005-0000-0000-00001B000000}"/>
    <cellStyle name="40% - 강조색4 3" xfId="41" xr:uid="{00000000-0005-0000-0000-00001C000000}"/>
    <cellStyle name="40% - 강조색4 4" xfId="42" xr:uid="{00000000-0005-0000-0000-00001D000000}"/>
    <cellStyle name="40% - 강조색5 2" xfId="43" xr:uid="{00000000-0005-0000-0000-00001E000000}"/>
    <cellStyle name="40% - 강조색5 3" xfId="44" xr:uid="{00000000-0005-0000-0000-00001F000000}"/>
    <cellStyle name="40% - 강조색5 4" xfId="45" xr:uid="{00000000-0005-0000-0000-000020000000}"/>
    <cellStyle name="40% - 강조색6 2" xfId="46" xr:uid="{00000000-0005-0000-0000-000021000000}"/>
    <cellStyle name="40% - 강조색6 3" xfId="47" xr:uid="{00000000-0005-0000-0000-000022000000}"/>
    <cellStyle name="40% - 강조색6 4" xfId="48" xr:uid="{00000000-0005-0000-0000-000023000000}"/>
    <cellStyle name="60% - 강조색1 2" xfId="49" xr:uid="{00000000-0005-0000-0000-000024000000}"/>
    <cellStyle name="60% - 강조색1 3" xfId="50" xr:uid="{00000000-0005-0000-0000-000025000000}"/>
    <cellStyle name="60% - 강조색1 4" xfId="51" xr:uid="{00000000-0005-0000-0000-000026000000}"/>
    <cellStyle name="60% - 강조색2 2" xfId="52" xr:uid="{00000000-0005-0000-0000-000027000000}"/>
    <cellStyle name="60% - 강조색2 3" xfId="53" xr:uid="{00000000-0005-0000-0000-000028000000}"/>
    <cellStyle name="60% - 강조색2 4" xfId="54" xr:uid="{00000000-0005-0000-0000-000029000000}"/>
    <cellStyle name="60% - 강조색3 2" xfId="55" xr:uid="{00000000-0005-0000-0000-00002A000000}"/>
    <cellStyle name="60% - 강조색3 3" xfId="56" xr:uid="{00000000-0005-0000-0000-00002B000000}"/>
    <cellStyle name="60% - 강조색3 4" xfId="57" xr:uid="{00000000-0005-0000-0000-00002C000000}"/>
    <cellStyle name="60% - 강조색4 2" xfId="58" xr:uid="{00000000-0005-0000-0000-00002D000000}"/>
    <cellStyle name="60% - 강조색4 3" xfId="59" xr:uid="{00000000-0005-0000-0000-00002E000000}"/>
    <cellStyle name="60% - 강조색4 4" xfId="60" xr:uid="{00000000-0005-0000-0000-00002F000000}"/>
    <cellStyle name="60% - 강조색5 2" xfId="61" xr:uid="{00000000-0005-0000-0000-000030000000}"/>
    <cellStyle name="60% - 강조색5 3" xfId="62" xr:uid="{00000000-0005-0000-0000-000031000000}"/>
    <cellStyle name="60% - 강조색5 4" xfId="63" xr:uid="{00000000-0005-0000-0000-000032000000}"/>
    <cellStyle name="60% - 강조색6 2" xfId="64" xr:uid="{00000000-0005-0000-0000-000033000000}"/>
    <cellStyle name="60% - 강조색6 3" xfId="65" xr:uid="{00000000-0005-0000-0000-000034000000}"/>
    <cellStyle name="60% - 강조색6 4" xfId="66" xr:uid="{00000000-0005-0000-0000-000035000000}"/>
    <cellStyle name="Hyperlink" xfId="153" xr:uid="{00000000-0005-0000-0000-000036000000}"/>
    <cellStyle name="강조색1 2" xfId="67" xr:uid="{00000000-0005-0000-0000-000037000000}"/>
    <cellStyle name="강조색1 3" xfId="68" xr:uid="{00000000-0005-0000-0000-000038000000}"/>
    <cellStyle name="강조색1 4" xfId="69" xr:uid="{00000000-0005-0000-0000-000039000000}"/>
    <cellStyle name="강조색2 2" xfId="70" xr:uid="{00000000-0005-0000-0000-00003A000000}"/>
    <cellStyle name="강조색2 3" xfId="71" xr:uid="{00000000-0005-0000-0000-00003B000000}"/>
    <cellStyle name="강조색2 4" xfId="72" xr:uid="{00000000-0005-0000-0000-00003C000000}"/>
    <cellStyle name="강조색3 2" xfId="73" xr:uid="{00000000-0005-0000-0000-00003D000000}"/>
    <cellStyle name="강조색3 3" xfId="74" xr:uid="{00000000-0005-0000-0000-00003E000000}"/>
    <cellStyle name="강조색3 4" xfId="75" xr:uid="{00000000-0005-0000-0000-00003F000000}"/>
    <cellStyle name="강조색4 2" xfId="76" xr:uid="{00000000-0005-0000-0000-000040000000}"/>
    <cellStyle name="강조색4 3" xfId="77" xr:uid="{00000000-0005-0000-0000-000041000000}"/>
    <cellStyle name="강조색4 4" xfId="78" xr:uid="{00000000-0005-0000-0000-000042000000}"/>
    <cellStyle name="강조색5 2" xfId="79" xr:uid="{00000000-0005-0000-0000-000043000000}"/>
    <cellStyle name="강조색5 3" xfId="80" xr:uid="{00000000-0005-0000-0000-000044000000}"/>
    <cellStyle name="강조색5 4" xfId="81" xr:uid="{00000000-0005-0000-0000-000045000000}"/>
    <cellStyle name="강조색6 2" xfId="82" xr:uid="{00000000-0005-0000-0000-000046000000}"/>
    <cellStyle name="강조색6 3" xfId="83" xr:uid="{00000000-0005-0000-0000-000047000000}"/>
    <cellStyle name="강조색6 4" xfId="84" xr:uid="{00000000-0005-0000-0000-000048000000}"/>
    <cellStyle name="경고문 2" xfId="85" xr:uid="{00000000-0005-0000-0000-000049000000}"/>
    <cellStyle name="경고문 3" xfId="86" xr:uid="{00000000-0005-0000-0000-00004A000000}"/>
    <cellStyle name="경고문 4" xfId="87" xr:uid="{00000000-0005-0000-0000-00004B000000}"/>
    <cellStyle name="계산 2" xfId="88" xr:uid="{00000000-0005-0000-0000-00004C000000}"/>
    <cellStyle name="계산 3" xfId="89" xr:uid="{00000000-0005-0000-0000-00004D000000}"/>
    <cellStyle name="계산 4" xfId="90" xr:uid="{00000000-0005-0000-0000-00004E000000}"/>
    <cellStyle name="나쁨 2" xfId="91" xr:uid="{00000000-0005-0000-0000-00004F000000}"/>
    <cellStyle name="나쁨 3" xfId="92" xr:uid="{00000000-0005-0000-0000-000050000000}"/>
    <cellStyle name="나쁨 3 2" xfId="93" xr:uid="{00000000-0005-0000-0000-000051000000}"/>
    <cellStyle name="나쁨 3 3" xfId="94" xr:uid="{00000000-0005-0000-0000-000052000000}"/>
    <cellStyle name="나쁨 3 4" xfId="95" xr:uid="{00000000-0005-0000-0000-000053000000}"/>
    <cellStyle name="나쁨 4" xfId="96" xr:uid="{00000000-0005-0000-0000-000054000000}"/>
    <cellStyle name="나쁨 5" xfId="97" xr:uid="{00000000-0005-0000-0000-000055000000}"/>
    <cellStyle name="메모 2" xfId="98" xr:uid="{00000000-0005-0000-0000-000056000000}"/>
    <cellStyle name="메모 3" xfId="99" xr:uid="{00000000-0005-0000-0000-000057000000}"/>
    <cellStyle name="메모 4" xfId="100" xr:uid="{00000000-0005-0000-0000-000058000000}"/>
    <cellStyle name="보통 2" xfId="101" xr:uid="{00000000-0005-0000-0000-000059000000}"/>
    <cellStyle name="보통 3" xfId="102" xr:uid="{00000000-0005-0000-0000-00005A000000}"/>
    <cellStyle name="보통 4" xfId="103" xr:uid="{00000000-0005-0000-0000-00005B000000}"/>
    <cellStyle name="보통 5" xfId="104" xr:uid="{00000000-0005-0000-0000-00005C000000}"/>
    <cellStyle name="보통 6" xfId="105" xr:uid="{00000000-0005-0000-0000-00005D000000}"/>
    <cellStyle name="설명 텍스트 2" xfId="106" xr:uid="{00000000-0005-0000-0000-00005E000000}"/>
    <cellStyle name="설명 텍스트 3" xfId="107" xr:uid="{00000000-0005-0000-0000-00005F000000}"/>
    <cellStyle name="설명 텍스트 4" xfId="108" xr:uid="{00000000-0005-0000-0000-000060000000}"/>
    <cellStyle name="셀 확인 2" xfId="109" xr:uid="{00000000-0005-0000-0000-000061000000}"/>
    <cellStyle name="셀 확인 3" xfId="110" xr:uid="{00000000-0005-0000-0000-000062000000}"/>
    <cellStyle name="셀 확인 4" xfId="111" xr:uid="{00000000-0005-0000-0000-000063000000}"/>
    <cellStyle name="연결된 셀 2" xfId="112" xr:uid="{00000000-0005-0000-0000-000064000000}"/>
    <cellStyle name="연결된 셀 3" xfId="113" xr:uid="{00000000-0005-0000-0000-000065000000}"/>
    <cellStyle name="연결된 셀 4" xfId="114" xr:uid="{00000000-0005-0000-0000-000066000000}"/>
    <cellStyle name="요약 2" xfId="115" xr:uid="{00000000-0005-0000-0000-000067000000}"/>
    <cellStyle name="요약 3" xfId="116" xr:uid="{00000000-0005-0000-0000-000068000000}"/>
    <cellStyle name="요약 4" xfId="117" xr:uid="{00000000-0005-0000-0000-000069000000}"/>
    <cellStyle name="입력 2" xfId="118" xr:uid="{00000000-0005-0000-0000-00006A000000}"/>
    <cellStyle name="입력 3" xfId="119" xr:uid="{00000000-0005-0000-0000-00006B000000}"/>
    <cellStyle name="입력 4" xfId="120" xr:uid="{00000000-0005-0000-0000-00006C000000}"/>
    <cellStyle name="제목 1 2" xfId="121" xr:uid="{00000000-0005-0000-0000-00006D000000}"/>
    <cellStyle name="제목 1 3" xfId="122" xr:uid="{00000000-0005-0000-0000-00006E000000}"/>
    <cellStyle name="제목 1 4" xfId="123" xr:uid="{00000000-0005-0000-0000-00006F000000}"/>
    <cellStyle name="제목 2 2" xfId="124" xr:uid="{00000000-0005-0000-0000-000070000000}"/>
    <cellStyle name="제목 2 3" xfId="125" xr:uid="{00000000-0005-0000-0000-000071000000}"/>
    <cellStyle name="제목 2 4" xfId="126" xr:uid="{00000000-0005-0000-0000-000072000000}"/>
    <cellStyle name="제목 3 2" xfId="127" xr:uid="{00000000-0005-0000-0000-000073000000}"/>
    <cellStyle name="제목 3 3" xfId="128" xr:uid="{00000000-0005-0000-0000-000074000000}"/>
    <cellStyle name="제목 3 4" xfId="129" xr:uid="{00000000-0005-0000-0000-000075000000}"/>
    <cellStyle name="제목 4 2" xfId="130" xr:uid="{00000000-0005-0000-0000-000076000000}"/>
    <cellStyle name="제목 4 3" xfId="131" xr:uid="{00000000-0005-0000-0000-000077000000}"/>
    <cellStyle name="제목 4 4" xfId="132" xr:uid="{00000000-0005-0000-0000-000078000000}"/>
    <cellStyle name="제목 5" xfId="133" xr:uid="{00000000-0005-0000-0000-000079000000}"/>
    <cellStyle name="제목 6" xfId="134" xr:uid="{00000000-0005-0000-0000-00007A000000}"/>
    <cellStyle name="제목 7" xfId="135" xr:uid="{00000000-0005-0000-0000-00007B000000}"/>
    <cellStyle name="좋음 2" xfId="136" xr:uid="{00000000-0005-0000-0000-00007C000000}"/>
    <cellStyle name="좋음 3" xfId="137" xr:uid="{00000000-0005-0000-0000-00007D000000}"/>
    <cellStyle name="좋음 4" xfId="138" xr:uid="{00000000-0005-0000-0000-00007E000000}"/>
    <cellStyle name="출력 2" xfId="139" xr:uid="{00000000-0005-0000-0000-00007F000000}"/>
    <cellStyle name="출력 3" xfId="140" xr:uid="{00000000-0005-0000-0000-000080000000}"/>
    <cellStyle name="출력 4" xfId="141" xr:uid="{00000000-0005-0000-0000-000081000000}"/>
    <cellStyle name="표내용" xfId="166" xr:uid="{005FA2F7-9F36-4E37-8CB5-D3B0D4D7EA73}"/>
    <cellStyle name="표준" xfId="0" builtinId="0"/>
    <cellStyle name="표준 10" xfId="142" xr:uid="{00000000-0005-0000-0000-000083000000}"/>
    <cellStyle name="표준 100" xfId="155" xr:uid="{00000000-0005-0000-0000-000084000000}"/>
    <cellStyle name="표준 11" xfId="157" xr:uid="{FB00E1FB-8EEA-47E9-B7FD-37343F9FF88C}"/>
    <cellStyle name="표준 12" xfId="172" xr:uid="{CC2DA2B6-938E-41E5-AF4D-BF4FB31408B9}"/>
    <cellStyle name="표준 13" xfId="1" xr:uid="{00000000-0005-0000-0000-000085000000}"/>
    <cellStyle name="표준 13 2" xfId="169" xr:uid="{C25E25CD-CE3E-441C-904B-A791F69F0E96}"/>
    <cellStyle name="표준 13 3" xfId="158" xr:uid="{9658E726-456A-4FED-A115-2CE4D372214B}"/>
    <cellStyle name="표준 13 4" xfId="173" xr:uid="{2260DBFE-49AF-45B3-BCF0-127CA73173C4}"/>
    <cellStyle name="표준 14" xfId="9" xr:uid="{00000000-0005-0000-0000-000086000000}"/>
    <cellStyle name="표준 14 2" xfId="164" xr:uid="{579E3CEE-DAC6-4459-B0FE-ABDE4AF2C193}"/>
    <cellStyle name="표준 14 3" xfId="175" xr:uid="{ADE4B617-9800-416C-8360-7DAE5E9E46D3}"/>
    <cellStyle name="표준 2" xfId="2" xr:uid="{00000000-0005-0000-0000-000087000000}"/>
    <cellStyle name="표준 2 10" xfId="3" xr:uid="{00000000-0005-0000-0000-000088000000}"/>
    <cellStyle name="표준 2 10 2" xfId="171" xr:uid="{D86244CD-6073-4EF4-BE6A-0AAC6320161A}"/>
    <cellStyle name="표준 2 10 3" xfId="160" xr:uid="{EF064F74-FE80-40D8-A41E-ECA6D9AC69D4}"/>
    <cellStyle name="표준 2 2" xfId="151" xr:uid="{00000000-0005-0000-0000-000089000000}"/>
    <cellStyle name="표준 2 2 2" xfId="170" xr:uid="{314D1EFC-A8E4-4B75-B86F-E8B8AB0A1555}"/>
    <cellStyle name="표준 2 3" xfId="143" xr:uid="{00000000-0005-0000-0000-00008A000000}"/>
    <cellStyle name="표준 2 4" xfId="159" xr:uid="{1EAD6AB7-9510-4379-BB5F-2A6DA68FAFCE}"/>
    <cellStyle name="표준 3" xfId="10" xr:uid="{00000000-0005-0000-0000-00008B000000}"/>
    <cellStyle name="표준 3 2" xfId="152" xr:uid="{00000000-0005-0000-0000-00008C000000}"/>
    <cellStyle name="표준 3 3" xfId="144" xr:uid="{00000000-0005-0000-0000-00008D000000}"/>
    <cellStyle name="표준 4" xfId="145" xr:uid="{00000000-0005-0000-0000-00008E000000}"/>
    <cellStyle name="표준 40" xfId="7" xr:uid="{00000000-0005-0000-0000-00008F000000}"/>
    <cellStyle name="표준 40 2" xfId="162" xr:uid="{B2159301-6349-40AB-AC9E-7C0AF5A58D10}"/>
    <cellStyle name="표준 41 6 2" xfId="11" xr:uid="{00000000-0005-0000-0000-000090000000}"/>
    <cellStyle name="표준 41 6 2 2" xfId="167" xr:uid="{2A8433FB-8BBF-4BF2-A447-9D9FAD903E63}"/>
    <cellStyle name="표준 41 6 2 3" xfId="168" xr:uid="{2BAB056C-C311-42B2-9E7A-9448F3DFD665}"/>
    <cellStyle name="표준 41 6 2 4" xfId="165" xr:uid="{2336E6A7-DB8A-4DA3-BE13-3C4E30A83B2F}"/>
    <cellStyle name="표준 41 6 2 5" xfId="176" xr:uid="{C0C47C4A-88F4-4738-85F3-699D693A0005}"/>
    <cellStyle name="표준 5" xfId="146" xr:uid="{00000000-0005-0000-0000-000091000000}"/>
    <cellStyle name="표준 52" xfId="147" xr:uid="{00000000-0005-0000-0000-000092000000}"/>
    <cellStyle name="표준 6" xfId="12" xr:uid="{00000000-0005-0000-0000-000093000000}"/>
    <cellStyle name="표준 7" xfId="148" xr:uid="{00000000-0005-0000-0000-000094000000}"/>
    <cellStyle name="표준 8" xfId="150" xr:uid="{00000000-0005-0000-0000-000095000000}"/>
    <cellStyle name="표준 9" xfId="8" xr:uid="{00000000-0005-0000-0000-000096000000}"/>
    <cellStyle name="표준 9 2" xfId="163" xr:uid="{C4D3BC68-6320-4328-936A-4BFA5389840E}"/>
    <cellStyle name="표준 9 3" xfId="174" xr:uid="{633AFDCD-F30E-45E3-A46C-36C560AAF8F2}"/>
    <cellStyle name="표준_롯데홈쇼핑_정보자산목록_v0.1" xfId="156" xr:uid="{3F022390-9963-4A0D-B4F1-C49D02D14731}"/>
    <cellStyle name="표준_서버 취약점 진단 요약보고서_기간계업무_계정계서버_1" xfId="4" xr:uid="{00000000-0005-0000-0000-000097000000}"/>
    <cellStyle name="표준_정보통신부_취약점진단결과_우체국금융_서버_0708_v0.7" xfId="6" xr:uid="{00000000-0005-0000-0000-000098000000}"/>
    <cellStyle name="하이퍼링크" xfId="5" builtinId="8"/>
    <cellStyle name="하이퍼링크 2" xfId="149" xr:uid="{00000000-0005-0000-0000-00009A000000}"/>
    <cellStyle name="하이퍼링크 2 2" xfId="154" xr:uid="{00000000-0005-0000-0000-00009B000000}"/>
    <cellStyle name="하이퍼링크 3" xfId="161" xr:uid="{782F0936-3D80-4BC6-AF40-35F3827856F3}"/>
  </cellStyles>
  <dxfs count="32">
    <dxf>
      <font>
        <b/>
        <i val="0"/>
        <color theme="0" tint="-0.24994659260841701"/>
      </font>
    </dxf>
    <dxf>
      <font>
        <b/>
        <i val="0"/>
      </font>
      <fill>
        <patternFill>
          <bgColor rgb="FFFFC000"/>
        </patternFill>
      </fill>
    </dxf>
    <dxf>
      <font>
        <b/>
        <i val="0"/>
        <color theme="0"/>
      </font>
      <fill>
        <patternFill>
          <bgColor rgb="FFFF0000"/>
        </patternFill>
      </fill>
    </dxf>
    <dxf>
      <font>
        <b/>
        <i val="0"/>
        <color theme="0"/>
      </font>
      <fill>
        <patternFill>
          <bgColor rgb="FF002060"/>
        </patternFill>
      </fill>
    </dxf>
    <dxf>
      <font>
        <b/>
        <i val="0"/>
        <color rgb="FFFF0000"/>
      </font>
      <fill>
        <patternFill>
          <bgColor theme="5" tint="0.79998168889431442"/>
        </patternFill>
      </fill>
    </dxf>
    <dxf>
      <font>
        <b val="0"/>
        <i val="0"/>
        <color theme="0" tint="-0.24994659260841701"/>
      </font>
    </dxf>
    <dxf>
      <font>
        <b/>
        <i val="0"/>
        <color theme="0" tint="-0.24994659260841701"/>
      </font>
    </dxf>
    <dxf>
      <font>
        <b/>
        <i val="0"/>
      </font>
      <fill>
        <patternFill>
          <bgColor rgb="FFFFC000"/>
        </patternFill>
      </fill>
    </dxf>
    <dxf>
      <font>
        <b/>
        <i val="0"/>
        <color theme="0"/>
      </font>
      <fill>
        <patternFill>
          <bgColor rgb="FFFF0000"/>
        </patternFill>
      </fill>
    </dxf>
    <dxf>
      <font>
        <color theme="0"/>
      </font>
      <fill>
        <patternFill>
          <bgColor theme="4"/>
        </patternFill>
      </fill>
    </dxf>
    <dxf>
      <font>
        <b/>
        <i val="0"/>
        <color rgb="FFFF0000"/>
      </font>
      <fill>
        <patternFill>
          <bgColor theme="5" tint="0.79998168889431442"/>
        </patternFill>
      </fill>
    </dxf>
    <dxf>
      <font>
        <b val="0"/>
        <i val="0"/>
        <color theme="0"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i val="0"/>
      </font>
      <fill>
        <patternFill>
          <bgColor rgb="FFD7D7D7"/>
        </patternFill>
      </fill>
    </dxf>
    <dxf>
      <font>
        <b val="0"/>
        <i val="0"/>
      </font>
      <fill>
        <patternFill patternType="none">
          <bgColor indexed="65"/>
        </patternFill>
      </fill>
    </dxf>
  </dxfs>
  <tableStyles count="3" defaultTableStyle="TableStyleMedium2" defaultPivotStyle="PivotStyleLight16">
    <tableStyle name="MySqlDefault" pivot="0" table="0" count="2" xr9:uid="{00000000-0011-0000-FFFF-FFFF00000000}">
      <tableStyleElement type="wholeTable" dxfId="31"/>
      <tableStyleElement type="headerRow" dxfId="30"/>
    </tableStyle>
    <tableStyle name="Normal Style 1 - Accent 1" pivot="0" count="7" xr9:uid="{2BA2CB06-E272-47EB-A296-D12640F23121}">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Light Style 1 - Accent 1" table="0" count="7" xr9:uid="{F47EBB65-2D6D-4F0F-B5C1-2EEFF88BAA0C}">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s>
  <colors>
    <mruColors>
      <color rgb="FFD9E1F2"/>
      <color rgb="FFD6DCE4"/>
      <color rgb="FFC0504D"/>
      <color rgb="FF4BACC6"/>
      <color rgb="FF8064A2"/>
      <color rgb="FF9BBB59"/>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22904944610060288"/>
          <c:y val="0.15434071050291692"/>
          <c:w val="0.56377795196893055"/>
          <c:h val="0.76545252451780721"/>
        </c:manualLayout>
      </c:layout>
      <c:radarChart>
        <c:radarStyle val="marker"/>
        <c:varyColors val="0"/>
        <c:ser>
          <c:idx val="0"/>
          <c:order val="0"/>
          <c:dLbls>
            <c:dLbl>
              <c:idx val="0"/>
              <c:layout>
                <c:manualLayout>
                  <c:x val="2.6452937871738282E-3"/>
                  <c:y val="-0.11152032075383829"/>
                </c:manualLayout>
              </c:layout>
              <c:spPr/>
              <c:txPr>
                <a:bodyPr/>
                <a:lstStyle/>
                <a:p>
                  <a:pPr>
                    <a:defRPr/>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8E-4443-9E5F-E0C49478A69E}"/>
                </c:ext>
              </c:extLst>
            </c:dLbl>
            <c:dLbl>
              <c:idx val="1"/>
              <c:layout>
                <c:manualLayout>
                  <c:x val="0.13264736831870147"/>
                  <c:y val="-0.11077960839434565"/>
                </c:manualLayout>
              </c:layout>
              <c:spPr/>
              <c:txPr>
                <a:bodyPr/>
                <a:lstStyle/>
                <a:p>
                  <a:pPr>
                    <a:defRPr/>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8E-4443-9E5F-E0C49478A69E}"/>
                </c:ext>
              </c:extLst>
            </c:dLbl>
            <c:dLbl>
              <c:idx val="2"/>
              <c:layout>
                <c:manualLayout>
                  <c:x val="3.0183720746631417E-2"/>
                  <c:y val="-9.6000000000000002E-2"/>
                </c:manualLayout>
              </c:layout>
              <c:spPr/>
              <c:txPr>
                <a:bodyPr/>
                <a:lstStyle/>
                <a:p>
                  <a:pPr>
                    <a:defRPr/>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8E-4443-9E5F-E0C49478A69E}"/>
                </c:ext>
              </c:extLst>
            </c:dLbl>
            <c:dLbl>
              <c:idx val="3"/>
              <c:layout>
                <c:manualLayout>
                  <c:x val="-3.3438938166283766E-2"/>
                  <c:y val="-9.4504426946631664E-2"/>
                </c:manualLayout>
              </c:layout>
              <c:spPr/>
              <c:txPr>
                <a:bodyPr/>
                <a:lstStyle/>
                <a:p>
                  <a:pPr>
                    <a:defRPr/>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8E-4443-9E5F-E0C49478A69E}"/>
                </c:ext>
              </c:extLst>
            </c:dLbl>
            <c:dLbl>
              <c:idx val="4"/>
              <c:layout>
                <c:manualLayout>
                  <c:x val="-1.0969251558294497E-2"/>
                  <c:y val="-3.9779107611548556E-2"/>
                </c:manualLayout>
              </c:layout>
              <c:spPr/>
              <c:txPr>
                <a:bodyPr/>
                <a:lstStyle/>
                <a:p>
                  <a:pPr>
                    <a:defRPr/>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8E-4443-9E5F-E0C49478A69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'보안수준 통계'!$A$6:$A$10</c:f>
              <c:strCache>
                <c:ptCount val="5"/>
                <c:pt idx="0">
                  <c:v>계정 관리</c:v>
                </c:pt>
                <c:pt idx="1">
                  <c:v>파일 및 디렉터리 관리</c:v>
                </c:pt>
                <c:pt idx="2">
                  <c:v>서비스 관리</c:v>
                </c:pt>
                <c:pt idx="3">
                  <c:v>패치 관리</c:v>
                </c:pt>
                <c:pt idx="4">
                  <c:v>로그 관리</c:v>
                </c:pt>
              </c:strCache>
            </c:strRef>
          </c:cat>
          <c:val>
            <c:numRef>
              <c:f>'보안수준 통계'!$B$6:$B$10</c:f>
              <c:numCache>
                <c:formatCode>General</c:formatCode>
                <c:ptCount val="5"/>
              </c:numCache>
            </c:numRef>
          </c:val>
          <c:extLst>
            <c:ext xmlns:c16="http://schemas.microsoft.com/office/drawing/2014/chart" uri="{C3380CC4-5D6E-409C-BE32-E72D297353CC}">
              <c16:uniqueId val="{00000005-988E-4443-9E5F-E0C49478A69E}"/>
            </c:ext>
          </c:extLst>
        </c:ser>
        <c:ser>
          <c:idx val="1"/>
          <c:order val="1"/>
          <c:spPr>
            <a:ln>
              <a:solidFill>
                <a:srgbClr val="0070C0"/>
              </a:solidFill>
            </a:ln>
          </c:spPr>
          <c:marker>
            <c:symbol val="circle"/>
            <c:size val="7"/>
            <c:spPr>
              <a:solidFill>
                <a:srgbClr val="0070C0"/>
              </a:solidFill>
            </c:spPr>
          </c:marker>
          <c:dLbls>
            <c:dLbl>
              <c:idx val="0"/>
              <c:layout>
                <c:manualLayout>
                  <c:x val="6.8824203738718781E-2"/>
                  <c:y val="1.3270752992248419E-2"/>
                </c:manualLayout>
              </c:layout>
              <c:spPr/>
              <c:txPr>
                <a:bodyPr/>
                <a:lstStyle/>
                <a:p>
                  <a:pPr>
                    <a:defRPr sz="1100"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88E-4443-9E5F-E0C49478A69E}"/>
                </c:ext>
              </c:extLst>
            </c:dLbl>
            <c:dLbl>
              <c:idx val="1"/>
              <c:layout>
                <c:manualLayout>
                  <c:x val="-1.6679170164458187E-2"/>
                  <c:y val="7.5133439164765614E-2"/>
                </c:manualLayout>
              </c:layout>
              <c:spPr/>
              <c:txPr>
                <a:bodyPr/>
                <a:lstStyle/>
                <a:p>
                  <a:pPr>
                    <a:defRPr sz="1100"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8E-4443-9E5F-E0C49478A69E}"/>
                </c:ext>
              </c:extLst>
            </c:dLbl>
            <c:dLbl>
              <c:idx val="2"/>
              <c:layout>
                <c:manualLayout>
                  <c:x val="1.5796770342978383E-2"/>
                  <c:y val="-0.10149449285379916"/>
                </c:manualLayout>
              </c:layout>
              <c:spPr/>
              <c:txPr>
                <a:bodyPr/>
                <a:lstStyle/>
                <a:p>
                  <a:pPr>
                    <a:defRPr sz="1100"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88E-4443-9E5F-E0C49478A69E}"/>
                </c:ext>
              </c:extLst>
            </c:dLbl>
            <c:dLbl>
              <c:idx val="3"/>
              <c:layout>
                <c:manualLayout>
                  <c:x val="-2.3809523809523808E-2"/>
                  <c:y val="-0.10286844708209693"/>
                </c:manualLayout>
              </c:layout>
              <c:spPr/>
              <c:txPr>
                <a:bodyPr/>
                <a:lstStyle/>
                <a:p>
                  <a:pPr>
                    <a:defRPr sz="1100"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88E-4443-9E5F-E0C49478A69E}"/>
                </c:ext>
              </c:extLst>
            </c:dLbl>
            <c:dLbl>
              <c:idx val="4"/>
              <c:layout>
                <c:manualLayout>
                  <c:x val="1.457008157381137E-2"/>
                  <c:y val="6.9924572536872343E-2"/>
                </c:manualLayout>
              </c:layout>
              <c:spPr/>
              <c:txPr>
                <a:bodyPr/>
                <a:lstStyle/>
                <a:p>
                  <a:pPr>
                    <a:defRPr sz="1100"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88E-4443-9E5F-E0C49478A69E}"/>
                </c:ext>
              </c:extLst>
            </c:dLbl>
            <c:spPr>
              <a:noFill/>
              <a:ln>
                <a:noFill/>
              </a:ln>
              <a:effectLst/>
            </c:spPr>
            <c:txPr>
              <a:bodyPr/>
              <a:lstStyle/>
              <a:p>
                <a:pPr>
                  <a:defRPr sz="1100" b="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'보안수준 통계'!$A$6:$A$10</c:f>
              <c:strCache>
                <c:ptCount val="5"/>
                <c:pt idx="0">
                  <c:v>계정 관리</c:v>
                </c:pt>
                <c:pt idx="1">
                  <c:v>파일 및 디렉터리 관리</c:v>
                </c:pt>
                <c:pt idx="2">
                  <c:v>서비스 관리</c:v>
                </c:pt>
                <c:pt idx="3">
                  <c:v>패치 관리</c:v>
                </c:pt>
                <c:pt idx="4">
                  <c:v>로그 관리</c:v>
                </c:pt>
              </c:strCache>
            </c:strRef>
          </c:cat>
          <c:val>
            <c:numRef>
              <c:f>'보안수준 통계'!$K$6:$K$10</c:f>
              <c:numCache>
                <c:formatCode>0%</c:formatCode>
                <c:ptCount val="5"/>
                <c:pt idx="0">
                  <c:v>0.90740740740740744</c:v>
                </c:pt>
                <c:pt idx="1">
                  <c:v>0.94623655913978499</c:v>
                </c:pt>
                <c:pt idx="2">
                  <c:v>0.96296296296296291</c:v>
                </c:pt>
                <c:pt idx="3">
                  <c:v>1</c:v>
                </c:pt>
                <c:pt idx="4">
                  <c:v>0.66666666666666663</c:v>
                </c:pt>
              </c:numCache>
            </c:numRef>
          </c:val>
          <c:extLst>
            <c:ext xmlns:c16="http://schemas.microsoft.com/office/drawing/2014/chart" uri="{C3380CC4-5D6E-409C-BE32-E72D297353CC}">
              <c16:uniqueId val="{0000000B-988E-4443-9E5F-E0C49478A69E}"/>
            </c:ext>
          </c:extLst>
        </c:ser>
        <c:dLbls>
          <c:showLegendKey val="0"/>
          <c:showVal val="0"/>
          <c:showCatName val="0"/>
          <c:showSerName val="0"/>
          <c:showPercent val="0"/>
          <c:showBubbleSize val="0"/>
        </c:dLbls>
        <c:axId val="500506736"/>
        <c:axId val="500504776"/>
      </c:radarChart>
      <c:catAx>
        <c:axId val="500506736"/>
        <c:scaling>
          <c:orientation val="minMax"/>
        </c:scaling>
        <c:delete val="0"/>
        <c:axPos val="b"/>
        <c:majorGridlines/>
        <c:numFmt formatCode="General" sourceLinked="0"/>
        <c:majorTickMark val="out"/>
        <c:minorTickMark val="none"/>
        <c:tickLblPos val="nextTo"/>
        <c:txPr>
          <a:bodyPr/>
          <a:lstStyle/>
          <a:p>
            <a:pPr>
              <a:defRPr sz="1050" b="0"/>
            </a:pPr>
            <a:endParaRPr lang="ko-KR"/>
          </a:p>
        </c:txPr>
        <c:crossAx val="500504776"/>
        <c:crosses val="autoZero"/>
        <c:auto val="0"/>
        <c:lblAlgn val="ctr"/>
        <c:lblOffset val="100"/>
        <c:noMultiLvlLbl val="0"/>
      </c:catAx>
      <c:valAx>
        <c:axId val="500504776"/>
        <c:scaling>
          <c:orientation val="minMax"/>
          <c:max val="1"/>
          <c:min val="0"/>
        </c:scaling>
        <c:delete val="0"/>
        <c:axPos val="l"/>
        <c:majorGridlines/>
        <c:minorGridlines/>
        <c:numFmt formatCode="0%" sourceLinked="0"/>
        <c:majorTickMark val="none"/>
        <c:minorTickMark val="none"/>
        <c:tickLblPos val="nextTo"/>
        <c:crossAx val="500506736"/>
        <c:crosses val="autoZero"/>
        <c:crossBetween val="between"/>
        <c:majorUnit val="0.2"/>
        <c:minorUnit val="0.2"/>
      </c:valAx>
    </c:plotArea>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7.7347416593168766E-2"/>
          <c:y val="9.2050649496355011E-2"/>
          <c:w val="0.87586895767583706"/>
          <c:h val="0.77648066212133127"/>
        </c:manualLayout>
      </c:layout>
      <c:barChart>
        <c:barDir val="col"/>
        <c:grouping val="stacked"/>
        <c:varyColors val="0"/>
        <c:ser>
          <c:idx val="0"/>
          <c:order val="0"/>
          <c:invertIfNegative val="0"/>
          <c:cat>
            <c:strRef>
              <c:f>'보안수준 통계'!$A$6:$A$10</c:f>
              <c:strCache>
                <c:ptCount val="5"/>
                <c:pt idx="0">
                  <c:v>계정 관리</c:v>
                </c:pt>
                <c:pt idx="1">
                  <c:v>파일 및 디렉터리 관리</c:v>
                </c:pt>
                <c:pt idx="2">
                  <c:v>서비스 관리</c:v>
                </c:pt>
                <c:pt idx="3">
                  <c:v>패치 관리</c:v>
                </c:pt>
                <c:pt idx="4">
                  <c:v>로그 관리</c:v>
                </c:pt>
              </c:strCache>
            </c:strRef>
          </c:cat>
          <c:val>
            <c:numRef>
              <c:f>'보안수준 통계'!$B$6:$B$10</c:f>
              <c:numCache>
                <c:formatCode>General</c:formatCode>
                <c:ptCount val="5"/>
              </c:numCache>
            </c:numRef>
          </c:val>
          <c:extLst>
            <c:ext xmlns:c16="http://schemas.microsoft.com/office/drawing/2014/chart" uri="{C3380CC4-5D6E-409C-BE32-E72D297353CC}">
              <c16:uniqueId val="{00000000-C4E3-488A-8611-632B14EAF937}"/>
            </c:ext>
          </c:extLst>
        </c:ser>
        <c:ser>
          <c:idx val="1"/>
          <c:order val="1"/>
          <c:spPr>
            <a:solidFill>
              <a:schemeClr val="bg1">
                <a:lumMod val="75000"/>
              </a:schemeClr>
            </a:solidFill>
            <a:ln>
              <a:noFill/>
            </a:ln>
          </c:spPr>
          <c:invertIfNegative val="0"/>
          <c:dPt>
            <c:idx val="0"/>
            <c:invertIfNegative val="0"/>
            <c:bubble3D val="0"/>
            <c:spPr>
              <a:solidFill>
                <a:srgbClr val="4F81BD"/>
              </a:solidFill>
              <a:ln>
                <a:noFill/>
              </a:ln>
            </c:spPr>
            <c:extLst>
              <c:ext xmlns:c16="http://schemas.microsoft.com/office/drawing/2014/chart" uri="{C3380CC4-5D6E-409C-BE32-E72D297353CC}">
                <c16:uniqueId val="{00000010-E2BF-48FB-9ABB-1C41CBAE2E84}"/>
              </c:ext>
            </c:extLst>
          </c:dPt>
          <c:dPt>
            <c:idx val="1"/>
            <c:invertIfNegative val="0"/>
            <c:bubble3D val="0"/>
            <c:spPr>
              <a:solidFill>
                <a:srgbClr val="C0504D"/>
              </a:solidFill>
              <a:ln>
                <a:noFill/>
              </a:ln>
            </c:spPr>
            <c:extLst>
              <c:ext xmlns:c16="http://schemas.microsoft.com/office/drawing/2014/chart" uri="{C3380CC4-5D6E-409C-BE32-E72D297353CC}">
                <c16:uniqueId val="{00000016-E2BF-48FB-9ABB-1C41CBAE2E84}"/>
              </c:ext>
            </c:extLst>
          </c:dPt>
          <c:dPt>
            <c:idx val="2"/>
            <c:invertIfNegative val="0"/>
            <c:bubble3D val="0"/>
            <c:spPr>
              <a:solidFill>
                <a:srgbClr val="9BBB59"/>
              </a:solidFill>
              <a:ln>
                <a:noFill/>
              </a:ln>
            </c:spPr>
            <c:extLst>
              <c:ext xmlns:c16="http://schemas.microsoft.com/office/drawing/2014/chart" uri="{C3380CC4-5D6E-409C-BE32-E72D297353CC}">
                <c16:uniqueId val="{0000001A-E2BF-48FB-9ABB-1C41CBAE2E84}"/>
              </c:ext>
            </c:extLst>
          </c:dPt>
          <c:dPt>
            <c:idx val="3"/>
            <c:invertIfNegative val="0"/>
            <c:bubble3D val="0"/>
            <c:spPr>
              <a:solidFill>
                <a:srgbClr val="8064A2"/>
              </a:solidFill>
              <a:ln>
                <a:noFill/>
              </a:ln>
            </c:spPr>
            <c:extLst>
              <c:ext xmlns:c16="http://schemas.microsoft.com/office/drawing/2014/chart" uri="{C3380CC4-5D6E-409C-BE32-E72D297353CC}">
                <c16:uniqueId val="{0000001E-E2BF-48FB-9ABB-1C41CBAE2E84}"/>
              </c:ext>
            </c:extLst>
          </c:dPt>
          <c:dPt>
            <c:idx val="4"/>
            <c:invertIfNegative val="0"/>
            <c:bubble3D val="0"/>
            <c:spPr>
              <a:solidFill>
                <a:srgbClr val="4BACC6"/>
              </a:solidFill>
              <a:ln>
                <a:noFill/>
              </a:ln>
            </c:spPr>
            <c:extLst>
              <c:ext xmlns:c16="http://schemas.microsoft.com/office/drawing/2014/chart" uri="{C3380CC4-5D6E-409C-BE32-E72D297353CC}">
                <c16:uniqueId val="{00000022-E2BF-48FB-9ABB-1C41CBAE2E84}"/>
              </c:ext>
            </c:extLst>
          </c:dPt>
          <c:dLbls>
            <c:spPr>
              <a:noFill/>
              <a:ln>
                <a:noFill/>
              </a:ln>
              <a:effectLst/>
            </c:spPr>
            <c:txPr>
              <a:bodyPr/>
              <a:lstStyle/>
              <a:p>
                <a:pPr>
                  <a:defRPr sz="1100"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'보안수준 통계'!$A$6:$A$10</c:f>
              <c:strCache>
                <c:ptCount val="5"/>
                <c:pt idx="0">
                  <c:v>계정 관리</c:v>
                </c:pt>
                <c:pt idx="1">
                  <c:v>파일 및 디렉터리 관리</c:v>
                </c:pt>
                <c:pt idx="2">
                  <c:v>서비스 관리</c:v>
                </c:pt>
                <c:pt idx="3">
                  <c:v>패치 관리</c:v>
                </c:pt>
                <c:pt idx="4">
                  <c:v>로그 관리</c:v>
                </c:pt>
              </c:strCache>
            </c:strRef>
          </c:cat>
          <c:val>
            <c:numRef>
              <c:f>'보안수준 통계'!$K$6:$K$10</c:f>
              <c:numCache>
                <c:formatCode>0%</c:formatCode>
                <c:ptCount val="5"/>
                <c:pt idx="0">
                  <c:v>0.90740740740740744</c:v>
                </c:pt>
                <c:pt idx="1">
                  <c:v>0.94623655913978499</c:v>
                </c:pt>
                <c:pt idx="2">
                  <c:v>0.96296296296296291</c:v>
                </c:pt>
                <c:pt idx="3">
                  <c:v>1</c:v>
                </c:pt>
                <c:pt idx="4">
                  <c:v>0.66666666666666663</c:v>
                </c:pt>
              </c:numCache>
            </c:numRef>
          </c:val>
          <c:extLst>
            <c:ext xmlns:c16="http://schemas.microsoft.com/office/drawing/2014/chart" uri="{C3380CC4-5D6E-409C-BE32-E72D297353CC}">
              <c16:uniqueId val="{00000001-C4E3-488A-8611-632B14EAF937}"/>
            </c:ext>
          </c:extLst>
        </c:ser>
        <c:dLbls>
          <c:showLegendKey val="0"/>
          <c:showVal val="0"/>
          <c:showCatName val="0"/>
          <c:showSerName val="0"/>
          <c:showPercent val="0"/>
          <c:showBubbleSize val="0"/>
        </c:dLbls>
        <c:gapWidth val="55"/>
        <c:overlap val="100"/>
        <c:axId val="500508304"/>
        <c:axId val="500509088"/>
      </c:barChart>
      <c:catAx>
        <c:axId val="500508304"/>
        <c:scaling>
          <c:orientation val="minMax"/>
        </c:scaling>
        <c:delete val="0"/>
        <c:axPos val="b"/>
        <c:numFmt formatCode="General" sourceLinked="0"/>
        <c:majorTickMark val="none"/>
        <c:minorTickMark val="none"/>
        <c:tickLblPos val="nextTo"/>
        <c:txPr>
          <a:bodyPr/>
          <a:lstStyle/>
          <a:p>
            <a:pPr>
              <a:defRPr b="0"/>
            </a:pPr>
            <a:endParaRPr lang="ko-KR"/>
          </a:p>
        </c:txPr>
        <c:crossAx val="500509088"/>
        <c:crosses val="autoZero"/>
        <c:auto val="0"/>
        <c:lblAlgn val="ctr"/>
        <c:lblOffset val="100"/>
        <c:noMultiLvlLbl val="0"/>
      </c:catAx>
      <c:valAx>
        <c:axId val="500509088"/>
        <c:scaling>
          <c:orientation val="minMax"/>
          <c:max val="1"/>
          <c:min val="0"/>
        </c:scaling>
        <c:delete val="0"/>
        <c:axPos val="l"/>
        <c:majorGridlines/>
        <c:numFmt formatCode="0%" sourceLinked="0"/>
        <c:majorTickMark val="none"/>
        <c:minorTickMark val="none"/>
        <c:tickLblPos val="nextTo"/>
        <c:txPr>
          <a:bodyPr/>
          <a:lstStyle/>
          <a:p>
            <a:pPr>
              <a:defRPr b="0"/>
            </a:pPr>
            <a:endParaRPr lang="ko-KR"/>
          </a:p>
        </c:txPr>
        <c:crossAx val="500508304"/>
        <c:crosses val="autoZero"/>
        <c:crossBetween val="between"/>
        <c:majorUnit val="0.2"/>
        <c:minorUnit val="0.1"/>
      </c:valAx>
    </c:plotArea>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8738266893752157E-2"/>
          <c:y val="9.0603575749428691E-2"/>
          <c:w val="0.89330956832413466"/>
          <c:h val="0.70934282410255989"/>
        </c:manualLayout>
      </c:layout>
      <c:barChart>
        <c:barDir val="col"/>
        <c:grouping val="stacked"/>
        <c:varyColors val="0"/>
        <c:ser>
          <c:idx val="0"/>
          <c:order val="0"/>
          <c:invertIfNegative val="0"/>
          <c:cat>
            <c:strRef>
              <c:f>sample!$A$18:$A$22</c:f>
              <c:strCache>
                <c:ptCount val="5"/>
                <c:pt idx="0">
                  <c:v>계정 관리</c:v>
                </c:pt>
                <c:pt idx="1">
                  <c:v>파일 및 디렉터리 관리</c:v>
                </c:pt>
                <c:pt idx="2">
                  <c:v>서비스 관리</c:v>
                </c:pt>
                <c:pt idx="3">
                  <c:v>패치 관리</c:v>
                </c:pt>
                <c:pt idx="4">
                  <c:v>로그 관리</c:v>
                </c:pt>
              </c:strCache>
            </c:strRef>
          </c:cat>
          <c:val>
            <c:numRef>
              <c:f>sample!$B$18:$B$22</c:f>
              <c:numCache>
                <c:formatCode>General</c:formatCode>
                <c:ptCount val="5"/>
              </c:numCache>
            </c:numRef>
          </c:val>
          <c:extLst>
            <c:ext xmlns:c16="http://schemas.microsoft.com/office/drawing/2014/chart" uri="{C3380CC4-5D6E-409C-BE32-E72D297353CC}">
              <c16:uniqueId val="{00000000-6B23-452C-8EE8-85E84D42D996}"/>
            </c:ext>
          </c:extLst>
        </c:ser>
        <c:ser>
          <c:idx val="1"/>
          <c:order val="1"/>
          <c:invertIfNegative val="0"/>
          <c:cat>
            <c:strRef>
              <c:f>sample!$A$18:$A$22</c:f>
              <c:strCache>
                <c:ptCount val="5"/>
                <c:pt idx="0">
                  <c:v>계정 관리</c:v>
                </c:pt>
                <c:pt idx="1">
                  <c:v>파일 및 디렉터리 관리</c:v>
                </c:pt>
                <c:pt idx="2">
                  <c:v>서비스 관리</c:v>
                </c:pt>
                <c:pt idx="3">
                  <c:v>패치 관리</c:v>
                </c:pt>
                <c:pt idx="4">
                  <c:v>로그 관리</c:v>
                </c:pt>
              </c:strCache>
            </c:strRef>
          </c:cat>
          <c:val>
            <c:numRef>
              <c:f>sample!$C$18:$C$22</c:f>
              <c:numCache>
                <c:formatCode>General</c:formatCode>
                <c:ptCount val="5"/>
              </c:numCache>
            </c:numRef>
          </c:val>
          <c:extLst>
            <c:ext xmlns:c16="http://schemas.microsoft.com/office/drawing/2014/chart" uri="{C3380CC4-5D6E-409C-BE32-E72D297353CC}">
              <c16:uniqueId val="{00000001-6B23-452C-8EE8-85E84D42D996}"/>
            </c:ext>
          </c:extLst>
        </c:ser>
        <c:ser>
          <c:idx val="2"/>
          <c:order val="2"/>
          <c:spPr>
            <a:solidFill>
              <a:schemeClr val="bg1">
                <a:lumMod val="75000"/>
              </a:schemeClr>
            </a:solidFill>
          </c:spPr>
          <c:invertIfNegative val="0"/>
          <c:dLbls>
            <c:spPr>
              <a:noFill/>
              <a:ln>
                <a:noFill/>
              </a:ln>
              <a:effectLst/>
            </c:spPr>
            <c:txPr>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sample!$A$18:$A$22</c:f>
              <c:strCache>
                <c:ptCount val="5"/>
                <c:pt idx="0">
                  <c:v>계정 관리</c:v>
                </c:pt>
                <c:pt idx="1">
                  <c:v>파일 및 디렉터리 관리</c:v>
                </c:pt>
                <c:pt idx="2">
                  <c:v>서비스 관리</c:v>
                </c:pt>
                <c:pt idx="3">
                  <c:v>패치 관리</c:v>
                </c:pt>
                <c:pt idx="4">
                  <c:v>로그 관리</c:v>
                </c:pt>
              </c:strCache>
            </c:strRef>
          </c:cat>
          <c:val>
            <c:numRef>
              <c:f>sample!$L$18:$L$22</c:f>
              <c:numCache>
                <c:formatCode>0%</c:formatCode>
                <c:ptCount val="5"/>
                <c:pt idx="0">
                  <c:v>0.90740740740740744</c:v>
                </c:pt>
                <c:pt idx="1">
                  <c:v>0.94623655913978499</c:v>
                </c:pt>
                <c:pt idx="2">
                  <c:v>0.96296296296296291</c:v>
                </c:pt>
                <c:pt idx="3">
                  <c:v>1</c:v>
                </c:pt>
                <c:pt idx="4">
                  <c:v>0.66666666666666663</c:v>
                </c:pt>
              </c:numCache>
            </c:numRef>
          </c:val>
          <c:extLst>
            <c:ext xmlns:c16="http://schemas.microsoft.com/office/drawing/2014/chart" uri="{C3380CC4-5D6E-409C-BE32-E72D297353CC}">
              <c16:uniqueId val="{00000002-6B23-452C-8EE8-85E84D42D996}"/>
            </c:ext>
          </c:extLst>
        </c:ser>
        <c:dLbls>
          <c:showLegendKey val="0"/>
          <c:showVal val="0"/>
          <c:showCatName val="0"/>
          <c:showSerName val="0"/>
          <c:showPercent val="0"/>
          <c:showBubbleSize val="0"/>
        </c:dLbls>
        <c:gapWidth val="150"/>
        <c:overlap val="100"/>
        <c:axId val="500507912"/>
        <c:axId val="500504384"/>
      </c:barChart>
      <c:catAx>
        <c:axId val="500507912"/>
        <c:scaling>
          <c:orientation val="minMax"/>
        </c:scaling>
        <c:delete val="0"/>
        <c:axPos val="b"/>
        <c:numFmt formatCode="General" sourceLinked="1"/>
        <c:majorTickMark val="out"/>
        <c:minorTickMark val="none"/>
        <c:tickLblPos val="nextTo"/>
        <c:txPr>
          <a:bodyPr/>
          <a:lstStyle/>
          <a:p>
            <a:pPr>
              <a:defRPr b="0"/>
            </a:pPr>
            <a:endParaRPr lang="ko-KR"/>
          </a:p>
        </c:txPr>
        <c:crossAx val="500504384"/>
        <c:crosses val="autoZero"/>
        <c:auto val="1"/>
        <c:lblAlgn val="ctr"/>
        <c:lblOffset val="100"/>
        <c:noMultiLvlLbl val="0"/>
      </c:catAx>
      <c:valAx>
        <c:axId val="500504384"/>
        <c:scaling>
          <c:orientation val="minMax"/>
          <c:max val="1"/>
          <c:min val="0"/>
        </c:scaling>
        <c:delete val="0"/>
        <c:axPos val="l"/>
        <c:majorGridlines/>
        <c:numFmt formatCode="0%" sourceLinked="0"/>
        <c:majorTickMark val="out"/>
        <c:minorTickMark val="in"/>
        <c:tickLblPos val="nextTo"/>
        <c:crossAx val="500507912"/>
        <c:crosses val="autoZero"/>
        <c:crossBetween val="between"/>
        <c:majorUnit val="0.2"/>
        <c:minorUnit val="0.1"/>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4415822448925328"/>
          <c:y val="0.22483959608317247"/>
          <c:w val="0.55331657099897613"/>
          <c:h val="0.49923649242407486"/>
        </c:manualLayout>
      </c:layout>
      <c:radarChart>
        <c:radarStyle val="marker"/>
        <c:varyColors val="0"/>
        <c:ser>
          <c:idx val="0"/>
          <c:order val="0"/>
          <c:cat>
            <c:strRef>
              <c:f>sample!$A$18:$A$22</c:f>
              <c:strCache>
                <c:ptCount val="5"/>
                <c:pt idx="0">
                  <c:v>계정 관리</c:v>
                </c:pt>
                <c:pt idx="1">
                  <c:v>파일 및 디렉터리 관리</c:v>
                </c:pt>
                <c:pt idx="2">
                  <c:v>서비스 관리</c:v>
                </c:pt>
                <c:pt idx="3">
                  <c:v>패치 관리</c:v>
                </c:pt>
                <c:pt idx="4">
                  <c:v>로그 관리</c:v>
                </c:pt>
              </c:strCache>
            </c:strRef>
          </c:cat>
          <c:val>
            <c:numRef>
              <c:f>sample!$B$18:$B$22</c:f>
              <c:numCache>
                <c:formatCode>General</c:formatCode>
                <c:ptCount val="5"/>
              </c:numCache>
            </c:numRef>
          </c:val>
          <c:extLst>
            <c:ext xmlns:c16="http://schemas.microsoft.com/office/drawing/2014/chart" uri="{C3380CC4-5D6E-409C-BE32-E72D297353CC}">
              <c16:uniqueId val="{00000000-22EB-4B29-A965-33320E10D853}"/>
            </c:ext>
          </c:extLst>
        </c:ser>
        <c:ser>
          <c:idx val="1"/>
          <c:order val="1"/>
          <c:cat>
            <c:strRef>
              <c:f>sample!$A$18:$A$22</c:f>
              <c:strCache>
                <c:ptCount val="5"/>
                <c:pt idx="0">
                  <c:v>계정 관리</c:v>
                </c:pt>
                <c:pt idx="1">
                  <c:v>파일 및 디렉터리 관리</c:v>
                </c:pt>
                <c:pt idx="2">
                  <c:v>서비스 관리</c:v>
                </c:pt>
                <c:pt idx="3">
                  <c:v>패치 관리</c:v>
                </c:pt>
                <c:pt idx="4">
                  <c:v>로그 관리</c:v>
                </c:pt>
              </c:strCache>
            </c:strRef>
          </c:cat>
          <c:val>
            <c:numRef>
              <c:f>sample!$C$18:$C$22</c:f>
              <c:numCache>
                <c:formatCode>General</c:formatCode>
                <c:ptCount val="5"/>
              </c:numCache>
            </c:numRef>
          </c:val>
          <c:extLst>
            <c:ext xmlns:c16="http://schemas.microsoft.com/office/drawing/2014/chart" uri="{C3380CC4-5D6E-409C-BE32-E72D297353CC}">
              <c16:uniqueId val="{00000001-22EB-4B29-A965-33320E10D853}"/>
            </c:ext>
          </c:extLst>
        </c:ser>
        <c:ser>
          <c:idx val="2"/>
          <c:order val="2"/>
          <c:spPr>
            <a:ln w="25400">
              <a:solidFill>
                <a:srgbClr val="0070C0"/>
              </a:solidFill>
            </a:ln>
          </c:spPr>
          <c:marker>
            <c:symbol val="circle"/>
            <c:size val="5"/>
            <c:spPr>
              <a:solidFill>
                <a:srgbClr val="0070C0"/>
              </a:solidFill>
            </c:spPr>
          </c:marker>
          <c:dLbls>
            <c:dLbl>
              <c:idx val="0"/>
              <c:layout>
                <c:manualLayout>
                  <c:x val="8.4577074320220089E-2"/>
                  <c:y val="3.1969918787775477E-2"/>
                </c:manualLayout>
              </c:layout>
              <c:spPr/>
              <c:txPr>
                <a:bodyPr/>
                <a:lstStyle/>
                <a:p>
                  <a:pPr>
                    <a:defRPr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EB-4B29-A965-33320E10D853}"/>
                </c:ext>
              </c:extLst>
            </c:dLbl>
            <c:dLbl>
              <c:idx val="1"/>
              <c:layout>
                <c:manualLayout>
                  <c:x val="-2.6708900291235356E-2"/>
                  <c:y val="8.1451068965111798E-2"/>
                </c:manualLayout>
              </c:layout>
              <c:spPr/>
              <c:txPr>
                <a:bodyPr/>
                <a:lstStyle/>
                <a:p>
                  <a:pPr>
                    <a:defRPr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EB-4B29-A965-33320E10D853}"/>
                </c:ext>
              </c:extLst>
            </c:dLbl>
            <c:dLbl>
              <c:idx val="2"/>
              <c:layout>
                <c:manualLayout>
                  <c:x val="2.2257124821110551E-2"/>
                  <c:y val="3.1675415708654585E-2"/>
                </c:manualLayout>
              </c:layout>
              <c:spPr/>
              <c:txPr>
                <a:bodyPr/>
                <a:lstStyle/>
                <a:p>
                  <a:pPr>
                    <a:defRPr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EB-4B29-A965-33320E10D853}"/>
                </c:ext>
              </c:extLst>
            </c:dLbl>
            <c:dLbl>
              <c:idx val="3"/>
              <c:layout>
                <c:manualLayout>
                  <c:x val="-2.2257124821110551E-2"/>
                  <c:y val="3.1675415708654585E-2"/>
                </c:manualLayout>
              </c:layout>
              <c:spPr/>
              <c:txPr>
                <a:bodyPr/>
                <a:lstStyle/>
                <a:p>
                  <a:pPr>
                    <a:defRPr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EB-4B29-A965-33320E10D853}"/>
                </c:ext>
              </c:extLst>
            </c:dLbl>
            <c:dLbl>
              <c:idx val="4"/>
              <c:layout>
                <c:manualLayout>
                  <c:x val="0"/>
                  <c:y val="7.6926009578161134E-2"/>
                </c:manualLayout>
              </c:layout>
              <c:spPr/>
              <c:txPr>
                <a:bodyPr/>
                <a:lstStyle/>
                <a:p>
                  <a:pPr>
                    <a:defRPr b="0"/>
                  </a:pPr>
                  <a:endParaRPr lang="ko-K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2EB-4B29-A965-33320E10D853}"/>
                </c:ext>
              </c:extLst>
            </c:dLbl>
            <c:spPr>
              <a:noFill/>
              <a:ln>
                <a:noFill/>
              </a:ln>
              <a:effectLst/>
            </c:spPr>
            <c:txPr>
              <a:bodyPr/>
              <a:lstStyle/>
              <a:p>
                <a:pPr>
                  <a:defRPr b="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sample!$A$18:$A$22</c:f>
              <c:strCache>
                <c:ptCount val="5"/>
                <c:pt idx="0">
                  <c:v>계정 관리</c:v>
                </c:pt>
                <c:pt idx="1">
                  <c:v>파일 및 디렉터리 관리</c:v>
                </c:pt>
                <c:pt idx="2">
                  <c:v>서비스 관리</c:v>
                </c:pt>
                <c:pt idx="3">
                  <c:v>패치 관리</c:v>
                </c:pt>
                <c:pt idx="4">
                  <c:v>로그 관리</c:v>
                </c:pt>
              </c:strCache>
            </c:strRef>
          </c:cat>
          <c:val>
            <c:numRef>
              <c:f>sample!$L$18:$L$22</c:f>
              <c:numCache>
                <c:formatCode>0%</c:formatCode>
                <c:ptCount val="5"/>
                <c:pt idx="0">
                  <c:v>0.90740740740740744</c:v>
                </c:pt>
                <c:pt idx="1">
                  <c:v>0.94623655913978499</c:v>
                </c:pt>
                <c:pt idx="2">
                  <c:v>0.96296296296296291</c:v>
                </c:pt>
                <c:pt idx="3">
                  <c:v>1</c:v>
                </c:pt>
                <c:pt idx="4">
                  <c:v>0.66666666666666663</c:v>
                </c:pt>
              </c:numCache>
            </c:numRef>
          </c:val>
          <c:extLst>
            <c:ext xmlns:c16="http://schemas.microsoft.com/office/drawing/2014/chart" uri="{C3380CC4-5D6E-409C-BE32-E72D297353CC}">
              <c16:uniqueId val="{00000007-22EB-4B29-A965-33320E10D853}"/>
            </c:ext>
          </c:extLst>
        </c:ser>
        <c:dLbls>
          <c:showLegendKey val="0"/>
          <c:showVal val="0"/>
          <c:showCatName val="0"/>
          <c:showSerName val="0"/>
          <c:showPercent val="0"/>
          <c:showBubbleSize val="0"/>
        </c:dLbls>
        <c:axId val="500505168"/>
        <c:axId val="500507128"/>
      </c:radarChart>
      <c:catAx>
        <c:axId val="500505168"/>
        <c:scaling>
          <c:orientation val="minMax"/>
        </c:scaling>
        <c:delete val="0"/>
        <c:axPos val="b"/>
        <c:majorGridlines/>
        <c:numFmt formatCode="General" sourceLinked="1"/>
        <c:majorTickMark val="out"/>
        <c:minorTickMark val="none"/>
        <c:tickLblPos val="nextTo"/>
        <c:txPr>
          <a:bodyPr/>
          <a:lstStyle/>
          <a:p>
            <a:pPr>
              <a:defRPr sz="900" b="0"/>
            </a:pPr>
            <a:endParaRPr lang="ko-KR"/>
          </a:p>
        </c:txPr>
        <c:crossAx val="500507128"/>
        <c:crosses val="autoZero"/>
        <c:auto val="0"/>
        <c:lblAlgn val="ctr"/>
        <c:lblOffset val="100"/>
        <c:noMultiLvlLbl val="0"/>
      </c:catAx>
      <c:valAx>
        <c:axId val="500507128"/>
        <c:scaling>
          <c:orientation val="minMax"/>
          <c:max val="1"/>
          <c:min val="0"/>
        </c:scaling>
        <c:delete val="0"/>
        <c:axPos val="l"/>
        <c:majorGridlines/>
        <c:numFmt formatCode="0%" sourceLinked="0"/>
        <c:majorTickMark val="cross"/>
        <c:minorTickMark val="none"/>
        <c:tickLblPos val="nextTo"/>
        <c:txPr>
          <a:bodyPr/>
          <a:lstStyle/>
          <a:p>
            <a:pPr>
              <a:defRPr sz="800"/>
            </a:pPr>
            <a:endParaRPr lang="ko-KR"/>
          </a:p>
        </c:txPr>
        <c:crossAx val="500505168"/>
        <c:crosses val="autoZero"/>
        <c:crossBetween val="between"/>
        <c:majorUnit val="0.2"/>
        <c:minorUnit val="0.1"/>
      </c:valAx>
    </c:plotArea>
    <c:plotVisOnly val="1"/>
    <c:dispBlanksAs val="gap"/>
    <c:showDLblsOverMax val="0"/>
  </c:chart>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177800</xdr:colOff>
      <xdr:row>16</xdr:row>
      <xdr:rowOff>0</xdr:rowOff>
    </xdr:from>
    <xdr:to>
      <xdr:col>16</xdr:col>
      <xdr:colOff>5292</xdr:colOff>
      <xdr:row>16</xdr:row>
      <xdr:rowOff>25400</xdr:rowOff>
    </xdr:to>
    <xdr:sp macro="" textlink="">
      <xdr:nvSpPr>
        <xdr:cNvPr id="2" name="Line 2188">
          <a:extLst>
            <a:ext uri="{FF2B5EF4-FFF2-40B4-BE49-F238E27FC236}">
              <a16:creationId xmlns:a16="http://schemas.microsoft.com/office/drawing/2014/main" id="{7CBF901C-66AE-4ACD-9C94-780A0D9E36F2}"/>
            </a:ext>
          </a:extLst>
        </xdr:cNvPr>
        <xdr:cNvSpPr>
          <a:spLocks noChangeShapeType="1"/>
        </xdr:cNvSpPr>
      </xdr:nvSpPr>
      <xdr:spPr bwMode="auto">
        <a:xfrm flipV="1">
          <a:off x="520700" y="3611880"/>
          <a:ext cx="8499052" cy="25400"/>
        </a:xfrm>
        <a:prstGeom prst="line">
          <a:avLst/>
        </a:prstGeom>
        <a:noFill/>
        <a:ln w="28575">
          <a:solidFill>
            <a:srgbClr val="333333"/>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90644</xdr:colOff>
      <xdr:row>9</xdr:row>
      <xdr:rowOff>488328</xdr:rowOff>
    </xdr:from>
    <xdr:to>
      <xdr:col>15</xdr:col>
      <xdr:colOff>700058</xdr:colOff>
      <xdr:row>9</xdr:row>
      <xdr:rowOff>504265</xdr:rowOff>
    </xdr:to>
    <xdr:sp macro="" textlink="">
      <xdr:nvSpPr>
        <xdr:cNvPr id="3" name="Line 2189">
          <a:extLst>
            <a:ext uri="{FF2B5EF4-FFF2-40B4-BE49-F238E27FC236}">
              <a16:creationId xmlns:a16="http://schemas.microsoft.com/office/drawing/2014/main" id="{A6AED679-08A4-4BBE-8353-55F6252B0BF1}"/>
            </a:ext>
          </a:extLst>
        </xdr:cNvPr>
        <xdr:cNvSpPr>
          <a:spLocks noChangeShapeType="1"/>
        </xdr:cNvSpPr>
      </xdr:nvSpPr>
      <xdr:spPr bwMode="auto">
        <a:xfrm>
          <a:off x="438026" y="2214034"/>
          <a:ext cx="8509561" cy="15937"/>
        </a:xfrm>
        <a:prstGeom prst="line">
          <a:avLst/>
        </a:prstGeom>
        <a:noFill/>
        <a:ln w="57150" cmpd="thinThick">
          <a:solidFill>
            <a:srgbClr val="333333"/>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529319</xdr:colOff>
      <xdr:row>16</xdr:row>
      <xdr:rowOff>14124</xdr:rowOff>
    </xdr:from>
    <xdr:ext cx="1005031" cy="35452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67469" y="3614574"/>
              <a:ext cx="1005031" cy="354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f>
                    <m:fPr>
                      <m:ctrlPr>
                        <a:rPr lang="en-US" altLang="ko-KR" sz="1200" i="1">
                          <a:latin typeface="Cambria Math" panose="02040503050406030204" pitchFamily="18" charset="0"/>
                          <a:ea typeface="+mj-ea"/>
                        </a:rPr>
                      </m:ctrlPr>
                    </m:fPr>
                    <m:num>
                      <m:r>
                        <a:rPr lang="en-US" altLang="ko-KR" sz="1200" b="0" i="1">
                          <a:latin typeface="Cambria Math"/>
                          <a:ea typeface="+mj-ea"/>
                        </a:rPr>
                        <m:t>𝐴</m:t>
                      </m:r>
                      <m:r>
                        <a:rPr lang="en-US" altLang="ko-KR" sz="1200" i="1">
                          <a:latin typeface="Cambria Math"/>
                          <a:ea typeface="+mj-ea"/>
                        </a:rPr>
                        <m:t>−</m:t>
                      </m:r>
                      <m:r>
                        <a:rPr lang="en-US" altLang="ko-KR" sz="1200" b="0" i="1">
                          <a:latin typeface="Cambria Math"/>
                          <a:ea typeface="+mj-ea"/>
                        </a:rPr>
                        <m:t>𝐵</m:t>
                      </m:r>
                    </m:num>
                    <m:den>
                      <m:r>
                        <a:rPr lang="en-US" altLang="ko-KR" sz="1200" b="0" i="1">
                          <a:latin typeface="Cambria Math"/>
                          <a:ea typeface="+mj-ea"/>
                        </a:rPr>
                        <m:t>𝐴</m:t>
                      </m:r>
                    </m:den>
                  </m:f>
                </m:oMath>
              </a14:m>
              <a:r>
                <a:rPr lang="en-US" altLang="ko-KR" sz="1000">
                  <a:latin typeface="+mj-ea"/>
                  <a:ea typeface="+mj-ea"/>
                </a:rPr>
                <a:t> X 100</a:t>
              </a:r>
              <a:endParaRPr lang="ko-KR" altLang="en-US" sz="1000">
                <a:latin typeface="+mj-ea"/>
                <a:ea typeface="+mj-ea"/>
              </a:endParaRPr>
            </a:p>
          </xdr:txBody>
        </xdr:sp>
      </mc:Choice>
      <mc:Fallback xmlns="">
        <xdr:sp macro="" textlink="">
          <xdr:nvSpPr>
            <xdr:cNvPr id="2" name="TextBox 1"/>
            <xdr:cNvSpPr txBox="1"/>
          </xdr:nvSpPr>
          <xdr:spPr>
            <a:xfrm>
              <a:off x="967469" y="3614574"/>
              <a:ext cx="1005031" cy="354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200" i="0">
                  <a:latin typeface="Cambria Math" panose="02040503050406030204" pitchFamily="18" charset="0"/>
                  <a:ea typeface="+mj-ea"/>
                </a:rPr>
                <a:t>(</a:t>
              </a:r>
              <a:r>
                <a:rPr lang="en-US" altLang="ko-KR" sz="1200" b="0" i="0">
                  <a:latin typeface="Cambria Math"/>
                  <a:ea typeface="+mj-ea"/>
                </a:rPr>
                <a:t>𝐴</a:t>
              </a:r>
              <a:r>
                <a:rPr lang="en-US" altLang="ko-KR" sz="1200" i="0">
                  <a:latin typeface="Cambria Math"/>
                  <a:ea typeface="+mj-ea"/>
                </a:rPr>
                <a:t>−</a:t>
              </a:r>
              <a:r>
                <a:rPr lang="en-US" altLang="ko-KR" sz="1200" b="0" i="0">
                  <a:latin typeface="Cambria Math"/>
                  <a:ea typeface="+mj-ea"/>
                </a:rPr>
                <a:t>𝐵</a:t>
              </a:r>
              <a:r>
                <a:rPr lang="en-US" altLang="ko-KR" sz="1200" b="0" i="0">
                  <a:latin typeface="Cambria Math" panose="02040503050406030204" pitchFamily="18" charset="0"/>
                  <a:ea typeface="+mj-ea"/>
                </a:rPr>
                <a:t>)/</a:t>
              </a:r>
              <a:r>
                <a:rPr lang="en-US" altLang="ko-KR" sz="1200" b="0" i="0">
                  <a:latin typeface="Cambria Math"/>
                  <a:ea typeface="+mj-ea"/>
                </a:rPr>
                <a:t>𝐴</a:t>
              </a:r>
              <a:r>
                <a:rPr lang="en-US" altLang="ko-KR" sz="1000">
                  <a:latin typeface="+mj-ea"/>
                  <a:ea typeface="+mj-ea"/>
                </a:rPr>
                <a:t> X 100</a:t>
              </a:r>
              <a:endParaRPr lang="ko-KR" altLang="en-US" sz="1000">
                <a:latin typeface="+mj-ea"/>
                <a:ea typeface="+mj-ea"/>
              </a:endParaRPr>
            </a:p>
          </xdr:txBody>
        </xdr:sp>
      </mc:Fallback>
    </mc:AlternateContent>
    <xdr:clientData/>
  </xdr:oneCellAnchor>
  <xdr:oneCellAnchor>
    <xdr:from>
      <xdr:col>3</xdr:col>
      <xdr:colOff>521392</xdr:colOff>
      <xdr:row>18</xdr:row>
      <xdr:rowOff>130742</xdr:rowOff>
    </xdr:from>
    <xdr:ext cx="764484" cy="38360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959542" y="4245542"/>
              <a:ext cx="764484" cy="3836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pPr/>
              <a14:m>
                <m:oMathPara xmlns:m="http://schemas.openxmlformats.org/officeDocument/2006/math">
                  <m:oMathParaPr>
                    <m:jc m:val="left"/>
                  </m:oMathParaPr>
                  <m:oMath xmlns:m="http://schemas.openxmlformats.org/officeDocument/2006/math">
                    <m:nary>
                      <m:naryPr>
                        <m:chr m:val="∑"/>
                        <m:ctrlPr>
                          <a:rPr lang="en-US" altLang="ko-KR" sz="800" i="1">
                            <a:latin typeface="Cambria Math" panose="02040503050406030204" pitchFamily="18" charset="0"/>
                          </a:rPr>
                        </m:ctrlPr>
                      </m:naryPr>
                      <m:sub>
                        <m:r>
                          <m:rPr>
                            <m:brk m:alnAt="23"/>
                          </m:rPr>
                          <a:rPr lang="en-US" altLang="ko-KR" sz="800" b="0" i="1">
                            <a:latin typeface="Cambria Math"/>
                          </a:rPr>
                          <m:t>𝑁</m:t>
                        </m:r>
                        <m:r>
                          <a:rPr lang="en-US" altLang="ko-KR" sz="800" b="0" i="1">
                            <a:latin typeface="Cambria Math"/>
                          </a:rPr>
                          <m:t>=1</m:t>
                        </m:r>
                      </m:sub>
                      <m:sup>
                        <m:r>
                          <a:rPr lang="en-US" altLang="ko-KR" sz="800" i="1">
                            <a:latin typeface="Cambria Math"/>
                          </a:rPr>
                          <m:t>𝑛</m:t>
                        </m:r>
                      </m:sup>
                      <m:e>
                        <m:r>
                          <a:rPr lang="en-US" altLang="ko-KR" sz="800" b="0" i="1">
                            <a:latin typeface="Cambria Math"/>
                          </a:rPr>
                          <m:t>𝑆𝑛</m:t>
                        </m:r>
                        <m:f>
                          <m:fPr>
                            <m:ctrlPr>
                              <a:rPr lang="en-US" altLang="ko-KR" sz="800" b="0" i="1">
                                <a:latin typeface="Cambria Math" panose="02040503050406030204" pitchFamily="18" charset="0"/>
                              </a:rPr>
                            </m:ctrlPr>
                          </m:fPr>
                          <m:num>
                            <m:r>
                              <a:rPr lang="en-US" altLang="ko-KR" sz="800" b="0" i="1">
                                <a:latin typeface="Cambria Math"/>
                              </a:rPr>
                              <m:t>.</m:t>
                            </m:r>
                          </m:num>
                          <m:den>
                            <m:r>
                              <a:rPr lang="en-US" altLang="ko-KR" sz="800" b="0" i="1">
                                <a:latin typeface="Cambria Math"/>
                              </a:rPr>
                              <m:t>.</m:t>
                            </m:r>
                          </m:den>
                        </m:f>
                        <m:r>
                          <a:rPr lang="en-US" altLang="ko-KR" sz="800" b="0" i="1">
                            <a:latin typeface="Cambria Math"/>
                          </a:rPr>
                          <m:t>𝑁</m:t>
                        </m:r>
                      </m:e>
                    </m:nary>
                  </m:oMath>
                </m:oMathPara>
              </a14:m>
              <a:endParaRPr lang="ko-KR" altLang="en-US" sz="800"/>
            </a:p>
          </xdr:txBody>
        </xdr:sp>
      </mc:Choice>
      <mc:Fallback xmlns="">
        <xdr:sp macro="" textlink="">
          <xdr:nvSpPr>
            <xdr:cNvPr id="3" name="TextBox 2"/>
            <xdr:cNvSpPr txBox="1"/>
          </xdr:nvSpPr>
          <xdr:spPr>
            <a:xfrm>
              <a:off x="959542" y="4245542"/>
              <a:ext cx="764484" cy="3836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noAutofit/>
            </a:bodyPr>
            <a:lstStyle/>
            <a:p>
              <a:pPr/>
              <a:r>
                <a:rPr lang="en-US" altLang="ko-KR" sz="800" i="0">
                  <a:latin typeface="Cambria Math" panose="02040503050406030204" pitchFamily="18" charset="0"/>
                </a:rPr>
                <a:t>∑</a:t>
              </a:r>
              <a:r>
                <a:rPr lang="en-US" altLang="ko-KR" sz="800" b="0" i="0">
                  <a:latin typeface="Cambria Math" panose="02040503050406030204" pitchFamily="18" charset="0"/>
                </a:rPr>
                <a:t>_(</a:t>
              </a:r>
              <a:r>
                <a:rPr lang="en-US" altLang="ko-KR" sz="800" b="0" i="0">
                  <a:latin typeface="Cambria Math"/>
                </a:rPr>
                <a:t>𝑁=1</a:t>
              </a:r>
              <a:r>
                <a:rPr lang="en-US" altLang="ko-KR" sz="800" b="0" i="0">
                  <a:latin typeface="Cambria Math" panose="02040503050406030204" pitchFamily="18" charset="0"/>
                </a:rPr>
                <a:t>)^</a:t>
              </a:r>
              <a:r>
                <a:rPr lang="en-US" altLang="ko-KR" sz="800" i="0">
                  <a:latin typeface="Cambria Math"/>
                </a:rPr>
                <a:t>𝑛</a:t>
              </a:r>
              <a:r>
                <a:rPr lang="en-US" altLang="ko-KR" sz="800" b="0" i="0">
                  <a:latin typeface="Cambria Math" panose="02040503050406030204" pitchFamily="18" charset="0"/>
                </a:rPr>
                <a:t>▒〖</a:t>
              </a:r>
              <a:r>
                <a:rPr lang="en-US" altLang="ko-KR" sz="800" b="0" i="0">
                  <a:latin typeface="Cambria Math"/>
                </a:rPr>
                <a:t>𝑆𝑛 .</a:t>
              </a:r>
              <a:r>
                <a:rPr lang="en-US" altLang="ko-KR" sz="800" b="0" i="0">
                  <a:latin typeface="Cambria Math" panose="02040503050406030204" pitchFamily="18" charset="0"/>
                </a:rPr>
                <a:t>/</a:t>
              </a:r>
              <a:r>
                <a:rPr lang="en-US" altLang="ko-KR" sz="800" b="0" i="0">
                  <a:latin typeface="Cambria Math"/>
                </a:rPr>
                <a:t>. 𝑁</a:t>
              </a:r>
              <a:r>
                <a:rPr lang="en-US" altLang="ko-KR" sz="800" b="0" i="0">
                  <a:latin typeface="Cambria Math" panose="02040503050406030204" pitchFamily="18" charset="0"/>
                </a:rPr>
                <a:t>〗</a:t>
              </a:r>
              <a:endParaRPr lang="ko-KR" altLang="en-US" sz="8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9525</xdr:rowOff>
    </xdr:from>
    <xdr:to>
      <xdr:col>4</xdr:col>
      <xdr:colOff>9525</xdr:colOff>
      <xdr:row>30</xdr:row>
      <xdr:rowOff>0</xdr:rowOff>
    </xdr:to>
    <xdr:graphicFrame macro="">
      <xdr:nvGraphicFramePr>
        <xdr:cNvPr id="2" name="차트 5">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13</xdr:row>
      <xdr:rowOff>9525</xdr:rowOff>
    </xdr:from>
    <xdr:to>
      <xdr:col>11</xdr:col>
      <xdr:colOff>0</xdr:colOff>
      <xdr:row>30</xdr:row>
      <xdr:rowOff>0</xdr:rowOff>
    </xdr:to>
    <xdr:graphicFrame macro="">
      <xdr:nvGraphicFramePr>
        <xdr:cNvPr id="3" name="차트 5">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2743200</xdr:colOff>
      <xdr:row>6</xdr:row>
      <xdr:rowOff>9525</xdr:rowOff>
    </xdr:from>
    <xdr:to>
      <xdr:col>16</xdr:col>
      <xdr:colOff>3810000</xdr:colOff>
      <xdr:row>22</xdr:row>
      <xdr:rowOff>209550</xdr:rowOff>
    </xdr:to>
    <xdr:graphicFrame macro="">
      <xdr:nvGraphicFramePr>
        <xdr:cNvPr id="2" name="차트 1">
          <a:extLst>
            <a:ext uri="{FF2B5EF4-FFF2-40B4-BE49-F238E27FC236}">
              <a16:creationId xmlns:a16="http://schemas.microsoft.com/office/drawing/2014/main" id="{2D771B71-C305-48BE-B87B-D97BE86C1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xdr:colOff>
      <xdr:row>6</xdr:row>
      <xdr:rowOff>9525</xdr:rowOff>
    </xdr:from>
    <xdr:to>
      <xdr:col>15</xdr:col>
      <xdr:colOff>2743201</xdr:colOff>
      <xdr:row>23</xdr:row>
      <xdr:rowOff>0</xdr:rowOff>
    </xdr:to>
    <xdr:graphicFrame macro="">
      <xdr:nvGraphicFramePr>
        <xdr:cNvPr id="3" name="차트 2">
          <a:extLst>
            <a:ext uri="{FF2B5EF4-FFF2-40B4-BE49-F238E27FC236}">
              <a16:creationId xmlns:a16="http://schemas.microsoft.com/office/drawing/2014/main" id="{F093539C-0EAF-4355-97AA-4CF47C38B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4.17.50\pims_isms$\04.%20&#51089;&#50629;\2010\&#51204;&#51088;&#51221;&#48512;&#51221;&#48372;&#48372;&#54840;&#44288;&#47532;&#52404;&#44228;&#44396;&#52629;&#52968;&#49444;&#54021;\3&#52264;&#49688;_&#50668;&#49688;&#49884;&#52397;\99.%20&#44592;&#53440;\&#44256;&#44061;%20&#51228;&#44277;&#51088;&#47308;\My%20Documents\&#44305;&#51452;%20&#51228;2&#53685;&#54633;&#51204;&#49328;&#49468;&#53552;\999.%20&#54532;&#47196;&#51229;&#53944;%20&#44277;&#50976;\mySingle\Temp\&#51221;&#48372;&#49688;&#51665;&#49436;_v2.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6.%20PIA\SKT@2007\&#44256;&#44061;&#51221;&#48372;&#50689;&#54693;&#54217;&#44032;&#51216;&#44160;&#54364;v3.5_10_&#54596;&#53552;&#47553;v4.3_1217(&#52572;&#5133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nexPam\99.&#51089;&#50629;&#51473;\06.&#45936;&#51060;&#53552;&#51060;&#54665;\04.&#45936;&#51060;&#53552;&#51060;&#54665;_&#51077;&#47141;\&#44592;&#44288;&#51204;&#52404;_&#45936;&#51060;&#53552;v3.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SKT-&#44256;&#44061;&#51221;&#48372;&#50689;&#54693;&#54217;&#44032;\&#51089;&#50629;&#51473;\&#44256;&#44061;&#51221;&#48372;%20&#50689;&#54693;&#54217;&#44032;%20&#51216;&#44160;&#54364;-&#51089;&#50629;&#5147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pims$/200.%20&#54788;&#54889;%20&#48143;%20&#50948;&#54744;&#48516;&#49437;/220.%20&#50948;&#54744;&#54217;&#44032;/223.%20&#50948;&#54744;&#51312;&#52824;&#44228;&#54925;%20&#49688;&#47549;/SKE&amp;S_'OC&#49324;&#47749;'_PIMS_&#50948;&#54744;&#51312;&#52824;&#44228;&#54925;&#49436;(&#49345;&#49464;)_v0.8a_&#53596;&#54540;&#4755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44060;&#48156;&#49468;&#53552;_staff\2007&#45380;_&#51204;&#47029;&#44060;&#48156;&#45812;&#45817;_&#50629;&#47924;&#51088;&#47308;\03.&#51204;&#47029;&#44060;&#48156;&#45812;&#45817;_&#50629;&#47924;&#48372;&#44256;\03.1.&#51204;&#47029;&#44060;&#48156;&#45812;&#45817;_&#50629;&#47924;&#48372;&#44256;_&#51452;&#44036;&#48372;&#44256;\2008&#45380;\3&#50900;2&#51452;&#52264;\&#54924;&#51032;&#50504;&#44148;\&#52280;&#51312;\&#54532;&#47196;&#51229;&#53944;%20&#54788;&#54889;&#54032;(V1.5_200707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 val="Sheet4"/>
    </sheetNames>
    <sheetDataSet>
      <sheetData sheetId="0">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코드표"/>
      <sheetName val="필드설명"/>
      <sheetName val="업무분류"/>
      <sheetName val="서버"/>
      <sheetName val="네트워크"/>
      <sheetName val="보안"/>
      <sheetName val="스토리지"/>
      <sheetName val="백업"/>
      <sheetName val="기타"/>
      <sheetName val="소프트웨어"/>
    </sheetNames>
    <sheetDataSet>
      <sheetData sheetId="0">
        <row r="2">
          <cell r="C2">
            <v>1</v>
          </cell>
        </row>
        <row r="3">
          <cell r="C3">
            <v>2</v>
          </cell>
        </row>
        <row r="4">
          <cell r="C4" t="str">
            <v>O</v>
          </cell>
        </row>
        <row r="5">
          <cell r="C5" t="str">
            <v>D</v>
          </cell>
        </row>
        <row r="6">
          <cell r="C6" t="str">
            <v>T</v>
          </cell>
        </row>
        <row r="7">
          <cell r="C7" t="str">
            <v>Active</v>
          </cell>
        </row>
        <row r="8">
          <cell r="C8" t="str">
            <v>InActive</v>
          </cell>
        </row>
        <row r="9">
          <cell r="C9" t="str">
            <v>Delete</v>
          </cell>
        </row>
        <row r="11">
          <cell r="C11" t="str">
            <v>P</v>
          </cell>
        </row>
        <row r="12">
          <cell r="C12" t="str">
            <v>C</v>
          </cell>
        </row>
        <row r="13">
          <cell r="C13" t="str">
            <v>Y</v>
          </cell>
        </row>
        <row r="14">
          <cell r="C14" t="str">
            <v>N</v>
          </cell>
        </row>
        <row r="15">
          <cell r="C15" t="str">
            <v>Active</v>
          </cell>
        </row>
        <row r="16">
          <cell r="C16" t="str">
            <v>Standbay</v>
          </cell>
        </row>
        <row r="17">
          <cell r="C17" t="str">
            <v>R</v>
          </cell>
        </row>
        <row r="18">
          <cell r="C18" t="str">
            <v>T</v>
          </cell>
        </row>
        <row r="19">
          <cell r="C19" t="str">
            <v>APPLICATION</v>
          </cell>
        </row>
        <row r="20">
          <cell r="C20" t="str">
            <v>BACKUP</v>
          </cell>
        </row>
        <row r="21">
          <cell r="C21" t="str">
            <v>DB</v>
          </cell>
        </row>
        <row r="22">
          <cell r="C22" t="str">
            <v>DHCP</v>
          </cell>
        </row>
        <row r="23">
          <cell r="C23" t="str">
            <v>WASWEB</v>
          </cell>
        </row>
        <row r="24">
          <cell r="C24" t="str">
            <v>FILE</v>
          </cell>
        </row>
        <row r="25">
          <cell r="C25" t="str">
            <v>MAIL</v>
          </cell>
        </row>
        <row r="26">
          <cell r="C26" t="str">
            <v>CON</v>
          </cell>
        </row>
        <row r="27">
          <cell r="C27" t="str">
            <v>WASWEB APP</v>
          </cell>
        </row>
        <row r="28">
          <cell r="C28" t="str">
            <v>DB APP</v>
          </cell>
        </row>
        <row r="29">
          <cell r="C29" t="str">
            <v>UN</v>
          </cell>
        </row>
        <row r="30">
          <cell r="C30" t="str">
            <v>NT</v>
          </cell>
        </row>
        <row r="31">
          <cell r="C31" t="str">
            <v>LX</v>
          </cell>
        </row>
        <row r="32">
          <cell r="C32" t="str">
            <v>Y</v>
          </cell>
        </row>
        <row r="33">
          <cell r="C33" t="str">
            <v>N</v>
          </cell>
        </row>
        <row r="34">
          <cell r="C34" t="str">
            <v>대</v>
          </cell>
        </row>
        <row r="35">
          <cell r="C35" t="str">
            <v>중</v>
          </cell>
        </row>
        <row r="36">
          <cell r="C36" t="str">
            <v>소</v>
          </cell>
        </row>
        <row r="37">
          <cell r="C37" t="str">
            <v>CD</v>
          </cell>
        </row>
        <row r="38">
          <cell r="C38" t="str">
            <v>DVD</v>
          </cell>
        </row>
        <row r="39">
          <cell r="C39" t="str">
            <v>DAT</v>
          </cell>
        </row>
        <row r="40">
          <cell r="C40" t="str">
            <v>LTO</v>
          </cell>
        </row>
        <row r="41">
          <cell r="C41">
            <v>1</v>
          </cell>
        </row>
        <row r="42">
          <cell r="C42">
            <v>2</v>
          </cell>
        </row>
        <row r="43">
          <cell r="C43">
            <v>3</v>
          </cell>
        </row>
        <row r="44">
          <cell r="C44">
            <v>99</v>
          </cell>
        </row>
        <row r="45">
          <cell r="C45">
            <v>1</v>
          </cell>
        </row>
        <row r="46">
          <cell r="C46">
            <v>2</v>
          </cell>
        </row>
        <row r="47">
          <cell r="C47" t="str">
            <v>L2</v>
          </cell>
        </row>
        <row r="48">
          <cell r="C48" t="str">
            <v>L3</v>
          </cell>
        </row>
        <row r="49">
          <cell r="C49" t="str">
            <v>L4</v>
          </cell>
        </row>
        <row r="50">
          <cell r="C50" t="str">
            <v>라우터</v>
          </cell>
        </row>
        <row r="51">
          <cell r="C51" t="str">
            <v>허브</v>
          </cell>
        </row>
        <row r="52">
          <cell r="C52" t="str">
            <v>Y</v>
          </cell>
        </row>
        <row r="53">
          <cell r="C53" t="str">
            <v>N</v>
          </cell>
        </row>
        <row r="54">
          <cell r="C54" t="str">
            <v>Y</v>
          </cell>
        </row>
        <row r="55">
          <cell r="C55" t="str">
            <v>N</v>
          </cell>
        </row>
        <row r="56">
          <cell r="C56" t="str">
            <v>U</v>
          </cell>
        </row>
        <row r="57">
          <cell r="C57" t="str">
            <v>M</v>
          </cell>
        </row>
        <row r="58">
          <cell r="C58" t="str">
            <v>RJ45</v>
          </cell>
        </row>
        <row r="59">
          <cell r="C59" t="str">
            <v>DB9</v>
          </cell>
        </row>
        <row r="60">
          <cell r="C60" t="str">
            <v>F/W</v>
          </cell>
        </row>
        <row r="61">
          <cell r="C61" t="str">
            <v>IPS</v>
          </cell>
        </row>
        <row r="62">
          <cell r="C62" t="str">
            <v>IDS</v>
          </cell>
        </row>
        <row r="63">
          <cell r="C63" t="str">
            <v>VPN</v>
          </cell>
        </row>
        <row r="64">
          <cell r="C64" t="str">
            <v>SCETC</v>
          </cell>
        </row>
        <row r="65">
          <cell r="C65" t="str">
            <v>UTP10</v>
          </cell>
        </row>
        <row r="66">
          <cell r="C66" t="str">
            <v>UTP100</v>
          </cell>
        </row>
        <row r="67">
          <cell r="C67" t="str">
            <v>FIBERSC</v>
          </cell>
        </row>
        <row r="68">
          <cell r="C68" t="str">
            <v>FIBERLC</v>
          </cell>
        </row>
        <row r="69">
          <cell r="C69" t="str">
            <v>EXT</v>
          </cell>
        </row>
        <row r="70">
          <cell r="C70" t="str">
            <v>SAN</v>
          </cell>
        </row>
        <row r="71">
          <cell r="C71" t="str">
            <v>RAID 0</v>
          </cell>
        </row>
        <row r="72">
          <cell r="C72" t="str">
            <v>RAID 1</v>
          </cell>
        </row>
        <row r="73">
          <cell r="C73" t="str">
            <v>RAID 3</v>
          </cell>
        </row>
        <row r="74">
          <cell r="C74" t="str">
            <v>RAID 5</v>
          </cell>
        </row>
        <row r="75">
          <cell r="C75" t="str">
            <v>RAID 0+1</v>
          </cell>
        </row>
        <row r="76">
          <cell r="C76" t="str">
            <v>DAT</v>
          </cell>
        </row>
        <row r="77">
          <cell r="C77" t="str">
            <v>LTO</v>
          </cell>
        </row>
        <row r="78">
          <cell r="C78" t="str">
            <v>SAIT</v>
          </cell>
        </row>
        <row r="79">
          <cell r="C79" t="str">
            <v>AIT</v>
          </cell>
        </row>
        <row r="80">
          <cell r="C80" t="str">
            <v>SDLT</v>
          </cell>
        </row>
        <row r="81">
          <cell r="C81" t="str">
            <v>DLT</v>
          </cell>
        </row>
        <row r="82">
          <cell r="C82" t="str">
            <v>DDS</v>
          </cell>
        </row>
        <row r="83">
          <cell r="C83" t="str">
            <v>L</v>
          </cell>
        </row>
        <row r="84">
          <cell r="C84" t="str">
            <v>S</v>
          </cell>
        </row>
        <row r="85">
          <cell r="C85">
            <v>1</v>
          </cell>
        </row>
        <row r="86">
          <cell r="C86">
            <v>2</v>
          </cell>
        </row>
        <row r="87">
          <cell r="C87">
            <v>3</v>
          </cell>
        </row>
        <row r="88">
          <cell r="B88" t="str">
            <v>시스템 S/W</v>
          </cell>
        </row>
        <row r="89">
          <cell r="B89" t="str">
            <v>상용 S/W</v>
          </cell>
        </row>
        <row r="90">
          <cell r="B90" t="str">
            <v>응용 S/W</v>
          </cell>
        </row>
        <row r="91">
          <cell r="C91" t="str">
            <v>DBSW</v>
          </cell>
        </row>
        <row r="92">
          <cell r="C92" t="str">
            <v>MDSW</v>
          </cell>
        </row>
        <row r="93">
          <cell r="C93" t="str">
            <v>WESW</v>
          </cell>
        </row>
        <row r="94">
          <cell r="C94" t="str">
            <v>APSW</v>
          </cell>
        </row>
        <row r="95">
          <cell r="C95" t="str">
            <v>BKSW</v>
          </cell>
        </row>
        <row r="96">
          <cell r="C96" t="str">
            <v>SCSW</v>
          </cell>
        </row>
        <row r="97">
          <cell r="C97" t="str">
            <v>APSW01</v>
          </cell>
        </row>
        <row r="98">
          <cell r="C98" t="str">
            <v>APSW02</v>
          </cell>
        </row>
        <row r="99">
          <cell r="C99" t="str">
            <v>APSW03</v>
          </cell>
        </row>
        <row r="100">
          <cell r="C100" t="str">
            <v>APSW04</v>
          </cell>
        </row>
        <row r="101">
          <cell r="C101" t="str">
            <v>BKSW01</v>
          </cell>
        </row>
        <row r="102">
          <cell r="C102" t="str">
            <v>BKSW02</v>
          </cell>
        </row>
        <row r="103">
          <cell r="C103" t="str">
            <v>BKSW03</v>
          </cell>
        </row>
        <row r="104">
          <cell r="C104" t="str">
            <v>BKSW04</v>
          </cell>
        </row>
        <row r="105">
          <cell r="C105" t="str">
            <v>BKSW05</v>
          </cell>
        </row>
        <row r="106">
          <cell r="C106" t="str">
            <v>DBMS01</v>
          </cell>
        </row>
        <row r="107">
          <cell r="C107" t="str">
            <v>DBMS02</v>
          </cell>
        </row>
        <row r="108">
          <cell r="C108" t="str">
            <v>DBMS03</v>
          </cell>
        </row>
        <row r="109">
          <cell r="C109" t="str">
            <v>DBMS04</v>
          </cell>
        </row>
        <row r="110">
          <cell r="C110" t="str">
            <v>DBMS05</v>
          </cell>
        </row>
        <row r="111">
          <cell r="C111" t="str">
            <v>DBMS06</v>
          </cell>
        </row>
        <row r="112">
          <cell r="C112" t="str">
            <v>DBMS07</v>
          </cell>
        </row>
        <row r="113">
          <cell r="C113" t="str">
            <v>MDSW01</v>
          </cell>
        </row>
        <row r="114">
          <cell r="C114" t="str">
            <v>MDSW02</v>
          </cell>
        </row>
        <row r="115">
          <cell r="C115" t="str">
            <v>MDSW03</v>
          </cell>
        </row>
        <row r="116">
          <cell r="C116" t="str">
            <v>MDSW04</v>
          </cell>
        </row>
        <row r="117">
          <cell r="C117" t="str">
            <v>MDSW05</v>
          </cell>
        </row>
        <row r="118">
          <cell r="C118" t="str">
            <v>MDSW06</v>
          </cell>
        </row>
        <row r="119">
          <cell r="C119" t="str">
            <v>MDSW07</v>
          </cell>
        </row>
        <row r="120">
          <cell r="C120" t="str">
            <v>SCSW01</v>
          </cell>
        </row>
        <row r="121">
          <cell r="C121" t="str">
            <v>SCSW02</v>
          </cell>
        </row>
        <row r="122">
          <cell r="C122" t="str">
            <v>SCSW03</v>
          </cell>
        </row>
        <row r="123">
          <cell r="C123" t="str">
            <v>SCSW04</v>
          </cell>
        </row>
        <row r="124">
          <cell r="C124" t="str">
            <v>SCSW05</v>
          </cell>
        </row>
        <row r="125">
          <cell r="C125" t="str">
            <v>SCSW06</v>
          </cell>
        </row>
        <row r="126">
          <cell r="C126" t="str">
            <v>SCSW07</v>
          </cell>
        </row>
        <row r="127">
          <cell r="C127" t="str">
            <v>SCSW08</v>
          </cell>
        </row>
        <row r="128">
          <cell r="C128" t="str">
            <v>SCSW09</v>
          </cell>
        </row>
        <row r="129">
          <cell r="C129" t="str">
            <v>SCSW10</v>
          </cell>
        </row>
        <row r="130">
          <cell r="C130" t="str">
            <v>SCSW11</v>
          </cell>
        </row>
        <row r="131">
          <cell r="C131" t="str">
            <v>SCSW12</v>
          </cell>
        </row>
        <row r="132">
          <cell r="C132" t="str">
            <v>WESW01</v>
          </cell>
        </row>
        <row r="133">
          <cell r="C133" t="str">
            <v>WESW02</v>
          </cell>
        </row>
        <row r="134">
          <cell r="C134" t="str">
            <v>WESW03</v>
          </cell>
        </row>
        <row r="135">
          <cell r="C135" t="str">
            <v>WESW04</v>
          </cell>
        </row>
        <row r="136">
          <cell r="C136" t="str">
            <v>WESW10</v>
          </cell>
        </row>
        <row r="137">
          <cell r="C137" t="str">
            <v>사이트</v>
          </cell>
        </row>
        <row r="138">
          <cell r="C138" t="str">
            <v>개별</v>
          </cell>
        </row>
        <row r="139">
          <cell r="C139" t="str">
            <v>CPU</v>
          </cell>
        </row>
        <row r="140">
          <cell r="C140" t="str">
            <v>Named User</v>
          </cell>
        </row>
        <row r="141">
          <cell r="C141" t="str">
            <v>KVM</v>
          </cell>
        </row>
        <row r="142">
          <cell r="C142" t="str">
            <v>MONITOR</v>
          </cell>
        </row>
        <row r="143">
          <cell r="C143" t="str">
            <v>CONSOL</v>
          </cell>
        </row>
      </sheetData>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점검표(재분류)"/>
      <sheetName val="설문(일반)"/>
      <sheetName val="1차일반"/>
      <sheetName val="1차일반필터링"/>
      <sheetName val="요청서-일반"/>
      <sheetName val="설문(CP)"/>
      <sheetName val="1차CP"/>
      <sheetName val="1차CP필터링"/>
      <sheetName val="요청서-CP"/>
      <sheetName val="변경내역"/>
      <sheetName val="대쉬위험"/>
      <sheetName val="취급자"/>
      <sheetName val="CP통계"/>
      <sheetName val="2차(일반)"/>
      <sheetName val="2차(CP)"/>
      <sheetName val="요청서-대상확인"/>
      <sheetName val="IDC"/>
      <sheetName val="서비스분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자산분류체계"/>
      <sheetName val="1.정보시스템"/>
      <sheetName val="2.서버"/>
      <sheetName val="정보시스템도입자산"/>
      <sheetName val="3.스토리지"/>
      <sheetName val="4.네트워크"/>
      <sheetName val="5.소프트웨어"/>
      <sheetName val="SW설치정보"/>
      <sheetName val="6.부품"/>
      <sheetName val="부품설치정보"/>
      <sheetName val="11.정보화인력"/>
      <sheetName val="12.협력업체"/>
      <sheetName val="13.협력업체담당자"/>
      <sheetName val="14.유지보수계약정보"/>
      <sheetName val="파일업로드"/>
      <sheetName val="공통코드"/>
      <sheetName val="중분류"/>
      <sheetName val="소분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C2" t="str">
            <v>구매</v>
          </cell>
          <cell r="Y2" t="str">
            <v>중소형광단국</v>
          </cell>
          <cell r="AI2" t="str">
            <v>K1,K3</v>
          </cell>
        </row>
        <row r="3">
          <cell r="Y3" t="str">
            <v>FLC</v>
          </cell>
          <cell r="AI3" t="str">
            <v>K4</v>
          </cell>
        </row>
        <row r="4">
          <cell r="Y4" t="str">
            <v>WDM</v>
          </cell>
          <cell r="AI4" t="str">
            <v>K4이상</v>
          </cell>
        </row>
        <row r="5">
          <cell r="AI5" t="str">
            <v>K1E,K3E</v>
          </cell>
        </row>
        <row r="6">
          <cell r="AI6" t="str">
            <v>K4E</v>
          </cell>
        </row>
        <row r="15">
          <cell r="Y15" t="str">
            <v>static</v>
          </cell>
          <cell r="AC15" t="str">
            <v xml:space="preserve">1년 </v>
          </cell>
        </row>
        <row r="16">
          <cell r="Y16" t="str">
            <v>dynamic</v>
          </cell>
          <cell r="AC16" t="str">
            <v>2년</v>
          </cell>
        </row>
      </sheetData>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분류체계"/>
      <sheetName val="분류"/>
      <sheetName val="관리.물리평가사항(5.4)"/>
      <sheetName val="IT체계평가사항(5.4)"/>
      <sheetName val="관리.물리평가사항(5.4) (2)"/>
      <sheetName val="IT체계평가사항(5.4) (2)"/>
    </sheetNames>
    <sheetDataSet>
      <sheetData sheetId="0" refreshError="1"/>
      <sheetData sheetId="1" refreshError="1"/>
      <sheetData sheetId="2" refreshError="1">
        <row r="27">
          <cell r="B27">
            <v>0</v>
          </cell>
        </row>
        <row r="28">
          <cell r="B28">
            <v>1</v>
          </cell>
        </row>
      </sheetData>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제개정이력"/>
      <sheetName val="위험조치계획서"/>
      <sheetName val="위험조치계획 기준"/>
    </sheetNames>
    <sheetDataSet>
      <sheetData sheetId="0"/>
      <sheetData sheetId="1"/>
      <sheetData sheetId="2"/>
      <sheetData sheetId="3">
        <row r="7">
          <cell r="B7">
            <v>5</v>
          </cell>
        </row>
        <row r="8">
          <cell r="B8">
            <v>4</v>
          </cell>
        </row>
        <row r="9">
          <cell r="B9">
            <v>3</v>
          </cell>
        </row>
        <row r="10">
          <cell r="B10">
            <v>2</v>
          </cell>
        </row>
        <row r="11">
          <cell r="B11">
            <v>1</v>
          </cell>
        </row>
        <row r="17">
          <cell r="B17" t="str">
            <v>단기</v>
          </cell>
        </row>
        <row r="18">
          <cell r="B18" t="str">
            <v>중기</v>
          </cell>
        </row>
        <row r="19">
          <cell r="B19" t="str">
            <v>장기</v>
          </cell>
        </row>
        <row r="20">
          <cell r="B20" t="str">
            <v>긴급</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로젝트 현황"/>
      <sheetName val="프로젝트 상세"/>
      <sheetName val="코드"/>
    </sheetNames>
    <sheetDataSet>
      <sheetData sheetId="0" refreshError="1"/>
      <sheetData sheetId="1" refreshError="1"/>
      <sheetData sheetId="2">
        <row r="2">
          <cell r="B2" t="str">
            <v>공공</v>
          </cell>
        </row>
        <row r="3">
          <cell r="B3" t="str">
            <v>금융</v>
          </cell>
        </row>
        <row r="4">
          <cell r="B4" t="str">
            <v>제조</v>
          </cell>
        </row>
        <row r="5">
          <cell r="B5" t="str">
            <v>기타</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6"/>
  <sheetViews>
    <sheetView view="pageBreakPreview" zoomScale="70" zoomScaleNormal="70" zoomScaleSheetLayoutView="70" workbookViewId="0">
      <selection activeCell="H19" sqref="H19:K22"/>
    </sheetView>
  </sheetViews>
  <sheetFormatPr defaultColWidth="8.625" defaultRowHeight="16.5" x14ac:dyDescent="0.3"/>
  <cols>
    <col min="1" max="1" width="4.5" style="67" customWidth="1"/>
    <col min="2" max="12" width="7.125" style="67" customWidth="1"/>
    <col min="13" max="13" width="6.5" style="67" customWidth="1"/>
    <col min="14" max="16" width="9.625" style="67" customWidth="1"/>
    <col min="17" max="17" width="4.5" style="67" customWidth="1"/>
    <col min="18" max="16384" width="8.625" style="67"/>
  </cols>
  <sheetData>
    <row r="1" spans="1:17" ht="14.25" customHeight="1" thickBot="1" x14ac:dyDescent="0.35">
      <c r="A1" s="66"/>
      <c r="B1" s="66"/>
      <c r="C1" s="66"/>
      <c r="D1" s="66"/>
      <c r="E1" s="66"/>
      <c r="F1" s="66"/>
      <c r="G1" s="66"/>
      <c r="H1" s="66"/>
      <c r="I1" s="66"/>
      <c r="J1" s="66"/>
      <c r="K1" s="66"/>
      <c r="L1" s="66"/>
      <c r="M1" s="66"/>
      <c r="N1" s="66"/>
      <c r="O1" s="66"/>
      <c r="P1" s="66"/>
      <c r="Q1" s="66"/>
    </row>
    <row r="2" spans="1:17" ht="16.899999999999999" customHeight="1" thickTop="1" thickBot="1" x14ac:dyDescent="0.35">
      <c r="A2" s="66"/>
      <c r="B2" s="169" t="s">
        <v>297</v>
      </c>
      <c r="C2" s="170"/>
      <c r="D2" s="171" t="s">
        <v>298</v>
      </c>
      <c r="E2" s="172"/>
      <c r="F2" s="173" t="s">
        <v>299</v>
      </c>
      <c r="G2" s="174"/>
      <c r="H2" s="175"/>
      <c r="I2" s="66"/>
      <c r="J2" s="66"/>
      <c r="K2" s="66"/>
      <c r="L2" s="66"/>
      <c r="M2" s="66"/>
      <c r="N2" s="66"/>
      <c r="P2" s="68" t="s">
        <v>300</v>
      </c>
      <c r="Q2" s="66"/>
    </row>
    <row r="3" spans="1:17" ht="16.899999999999999" customHeight="1" thickTop="1" x14ac:dyDescent="0.3">
      <c r="A3" s="66"/>
      <c r="B3" s="170" t="s">
        <v>301</v>
      </c>
      <c r="C3" s="170"/>
      <c r="D3" s="171"/>
      <c r="E3" s="172"/>
      <c r="F3" s="176"/>
      <c r="G3" s="177"/>
      <c r="H3" s="178"/>
      <c r="I3" s="66"/>
      <c r="J3" s="66"/>
      <c r="K3" s="66"/>
      <c r="L3" s="66"/>
      <c r="M3" s="66"/>
      <c r="N3" s="66"/>
      <c r="O3" s="66"/>
      <c r="P3" s="66"/>
      <c r="Q3" s="66"/>
    </row>
    <row r="4" spans="1:17" ht="14.25" customHeight="1" x14ac:dyDescent="0.3">
      <c r="A4" s="66"/>
      <c r="B4" s="66"/>
      <c r="C4" s="66"/>
      <c r="D4" s="66"/>
      <c r="E4" s="66"/>
      <c r="F4" s="66"/>
      <c r="G4" s="66"/>
      <c r="H4" s="66"/>
      <c r="I4" s="66"/>
      <c r="J4" s="66"/>
      <c r="K4" s="66"/>
      <c r="L4" s="66"/>
      <c r="M4" s="66"/>
      <c r="N4" s="66"/>
      <c r="O4" s="66"/>
      <c r="P4" s="66"/>
      <c r="Q4" s="66"/>
    </row>
    <row r="5" spans="1:17" ht="14.25" customHeight="1" x14ac:dyDescent="0.3">
      <c r="A5" s="66"/>
      <c r="B5" s="66"/>
      <c r="C5" s="66"/>
      <c r="D5" s="66"/>
      <c r="E5" s="66"/>
      <c r="F5" s="66"/>
      <c r="G5" s="66"/>
      <c r="H5" s="66"/>
      <c r="I5" s="66"/>
      <c r="J5" s="66"/>
      <c r="K5" s="66"/>
      <c r="L5" s="66"/>
      <c r="M5" s="66"/>
      <c r="N5" s="66"/>
      <c r="O5" s="66"/>
      <c r="P5" s="66"/>
      <c r="Q5" s="66"/>
    </row>
    <row r="6" spans="1:17" ht="14.25" customHeight="1" x14ac:dyDescent="0.3">
      <c r="A6" s="66"/>
      <c r="B6" s="66"/>
      <c r="C6" s="66"/>
      <c r="D6" s="66"/>
      <c r="E6" s="66"/>
      <c r="F6" s="66"/>
      <c r="G6" s="66"/>
      <c r="H6" s="66"/>
      <c r="I6" s="66"/>
      <c r="J6" s="66"/>
      <c r="K6" s="66"/>
      <c r="L6" s="66"/>
      <c r="M6" s="66"/>
      <c r="N6" s="66"/>
      <c r="O6" s="66"/>
      <c r="P6" s="66"/>
      <c r="Q6" s="66"/>
    </row>
    <row r="7" spans="1:17" ht="17.649999999999999" customHeight="1" x14ac:dyDescent="0.3">
      <c r="A7" s="66"/>
      <c r="B7" s="66"/>
      <c r="C7" s="66"/>
      <c r="D7" s="66"/>
      <c r="E7" s="66"/>
      <c r="F7" s="66"/>
      <c r="G7" s="66"/>
      <c r="H7" s="66"/>
      <c r="I7" s="66"/>
      <c r="J7" s="66"/>
      <c r="K7" s="66"/>
      <c r="L7" s="66"/>
      <c r="M7" s="66"/>
      <c r="N7" s="66"/>
      <c r="O7" s="66"/>
      <c r="P7" s="66"/>
      <c r="Q7" s="66"/>
    </row>
    <row r="8" spans="1:17" ht="14.25" customHeight="1" x14ac:dyDescent="0.3">
      <c r="A8" s="66"/>
      <c r="B8" s="66"/>
      <c r="C8" s="66"/>
      <c r="D8" s="66"/>
      <c r="E8" s="66"/>
      <c r="F8" s="66"/>
      <c r="G8" s="66"/>
      <c r="H8" s="66"/>
      <c r="I8" s="66"/>
      <c r="J8" s="66"/>
      <c r="K8" s="66"/>
      <c r="L8" s="66"/>
      <c r="M8" s="66"/>
      <c r="N8" s="66"/>
      <c r="O8" s="66"/>
      <c r="P8" s="66"/>
      <c r="Q8" s="66"/>
    </row>
    <row r="9" spans="1:17" ht="14.25" customHeight="1" x14ac:dyDescent="0.3">
      <c r="A9" s="66"/>
      <c r="B9" s="66"/>
      <c r="C9" s="66"/>
      <c r="D9" s="66"/>
      <c r="E9" s="66"/>
      <c r="F9" s="66"/>
      <c r="G9" s="66"/>
      <c r="H9" s="66"/>
      <c r="I9" s="66"/>
      <c r="J9" s="66"/>
      <c r="K9" s="66"/>
      <c r="L9" s="66"/>
      <c r="M9" s="66"/>
      <c r="N9" s="66"/>
      <c r="O9" s="66"/>
      <c r="P9" s="66"/>
      <c r="Q9" s="66"/>
    </row>
    <row r="10" spans="1:17" ht="40.9" customHeight="1" x14ac:dyDescent="0.3">
      <c r="A10" s="66"/>
      <c r="B10" s="179" t="s">
        <v>374</v>
      </c>
      <c r="C10" s="179"/>
      <c r="D10" s="179"/>
      <c r="E10" s="179"/>
      <c r="F10" s="179"/>
      <c r="G10" s="179"/>
      <c r="H10" s="179"/>
      <c r="I10" s="179"/>
      <c r="J10" s="179"/>
      <c r="K10" s="179"/>
      <c r="L10" s="179"/>
      <c r="M10" s="179"/>
      <c r="N10" s="179"/>
      <c r="O10" s="179"/>
      <c r="P10" s="179"/>
      <c r="Q10" s="66"/>
    </row>
    <row r="11" spans="1:17" ht="14.25" customHeight="1" x14ac:dyDescent="0.3">
      <c r="A11" s="66"/>
      <c r="B11" s="66"/>
      <c r="C11" s="66"/>
      <c r="D11" s="66"/>
      <c r="E11" s="66"/>
      <c r="F11" s="66"/>
      <c r="G11" s="66"/>
      <c r="H11" s="66"/>
      <c r="I11" s="66"/>
      <c r="J11" s="66"/>
      <c r="K11" s="66"/>
      <c r="L11" s="66"/>
      <c r="M11" s="66"/>
      <c r="N11" s="66"/>
      <c r="O11" s="66"/>
      <c r="P11" s="66"/>
      <c r="Q11" s="66"/>
    </row>
    <row r="12" spans="1:17" ht="14.25" customHeight="1" x14ac:dyDescent="0.3">
      <c r="A12" s="66"/>
      <c r="B12" s="167" t="s">
        <v>375</v>
      </c>
      <c r="C12" s="167"/>
      <c r="D12" s="167"/>
      <c r="E12" s="167"/>
      <c r="F12" s="167"/>
      <c r="G12" s="167"/>
      <c r="H12" s="167"/>
      <c r="I12" s="167"/>
      <c r="J12" s="167"/>
      <c r="K12" s="167"/>
      <c r="L12" s="167"/>
      <c r="M12" s="167"/>
      <c r="N12" s="167"/>
      <c r="O12" s="167"/>
      <c r="P12" s="167"/>
      <c r="Q12" s="66"/>
    </row>
    <row r="13" spans="1:17" ht="14.25" customHeight="1" x14ac:dyDescent="0.3">
      <c r="A13" s="66"/>
      <c r="B13" s="167"/>
      <c r="C13" s="167"/>
      <c r="D13" s="167"/>
      <c r="E13" s="167"/>
      <c r="F13" s="167"/>
      <c r="G13" s="167"/>
      <c r="H13" s="167"/>
      <c r="I13" s="167"/>
      <c r="J13" s="167"/>
      <c r="K13" s="167"/>
      <c r="L13" s="167"/>
      <c r="M13" s="167"/>
      <c r="N13" s="167"/>
      <c r="O13" s="167"/>
      <c r="P13" s="167"/>
      <c r="Q13" s="66"/>
    </row>
    <row r="14" spans="1:17" ht="14.25" customHeight="1" x14ac:dyDescent="0.3">
      <c r="A14" s="66"/>
      <c r="B14" s="167"/>
      <c r="C14" s="167"/>
      <c r="D14" s="167"/>
      <c r="E14" s="167"/>
      <c r="F14" s="167"/>
      <c r="G14" s="167"/>
      <c r="H14" s="167"/>
      <c r="I14" s="167"/>
      <c r="J14" s="167"/>
      <c r="K14" s="167"/>
      <c r="L14" s="167"/>
      <c r="M14" s="167"/>
      <c r="N14" s="167"/>
      <c r="O14" s="167"/>
      <c r="P14" s="167"/>
      <c r="Q14" s="66"/>
    </row>
    <row r="15" spans="1:17" ht="14.25" customHeight="1" x14ac:dyDescent="0.3">
      <c r="A15" s="66"/>
      <c r="B15" s="167"/>
      <c r="C15" s="167"/>
      <c r="D15" s="167"/>
      <c r="E15" s="167"/>
      <c r="F15" s="167"/>
      <c r="G15" s="167"/>
      <c r="H15" s="167"/>
      <c r="I15" s="167"/>
      <c r="J15" s="167"/>
      <c r="K15" s="167"/>
      <c r="L15" s="167"/>
      <c r="M15" s="167"/>
      <c r="N15" s="167"/>
      <c r="O15" s="167"/>
      <c r="P15" s="167"/>
      <c r="Q15" s="66"/>
    </row>
    <row r="16" spans="1:17" ht="41.25" customHeight="1" x14ac:dyDescent="0.3">
      <c r="A16" s="66"/>
      <c r="B16" s="167"/>
      <c r="C16" s="167"/>
      <c r="D16" s="167"/>
      <c r="E16" s="167"/>
      <c r="F16" s="167"/>
      <c r="G16" s="167"/>
      <c r="H16" s="167"/>
      <c r="I16" s="167"/>
      <c r="J16" s="167"/>
      <c r="K16" s="167"/>
      <c r="L16" s="167"/>
      <c r="M16" s="167"/>
      <c r="N16" s="167"/>
      <c r="O16" s="167"/>
      <c r="P16" s="167"/>
      <c r="Q16" s="66"/>
    </row>
    <row r="17" spans="1:17" ht="41.25" customHeight="1" x14ac:dyDescent="0.3">
      <c r="A17" s="66"/>
      <c r="B17" s="66"/>
      <c r="C17" s="66"/>
      <c r="D17" s="66"/>
      <c r="E17" s="66"/>
      <c r="F17" s="66"/>
      <c r="G17" s="66"/>
      <c r="H17" s="66"/>
      <c r="I17" s="66"/>
      <c r="J17" s="66"/>
      <c r="K17" s="66"/>
      <c r="L17" s="66"/>
      <c r="M17" s="66"/>
      <c r="N17" s="66"/>
      <c r="O17" s="66"/>
      <c r="P17" s="66"/>
      <c r="Q17" s="66"/>
    </row>
    <row r="18" spans="1:17" ht="9.75" customHeight="1" x14ac:dyDescent="0.3">
      <c r="A18" s="66"/>
      <c r="B18" s="66"/>
      <c r="C18" s="66"/>
      <c r="D18" s="66"/>
      <c r="E18" s="66"/>
      <c r="F18" s="66"/>
      <c r="G18" s="66"/>
      <c r="H18" s="66"/>
      <c r="I18" s="66"/>
      <c r="J18" s="66"/>
      <c r="K18" s="66"/>
      <c r="L18" s="66"/>
      <c r="M18" s="66"/>
      <c r="N18" s="66"/>
      <c r="O18" s="66"/>
      <c r="P18" s="66"/>
      <c r="Q18" s="66"/>
    </row>
    <row r="19" spans="1:17" ht="50.25" customHeight="1" x14ac:dyDescent="0.3">
      <c r="A19" s="66"/>
      <c r="B19" s="66"/>
      <c r="C19" s="66"/>
      <c r="D19" s="66"/>
      <c r="E19" s="66"/>
      <c r="F19" s="66"/>
      <c r="G19" s="66"/>
      <c r="H19" s="168" t="s">
        <v>376</v>
      </c>
      <c r="I19" s="168"/>
      <c r="J19" s="168"/>
      <c r="K19" s="168"/>
      <c r="L19" s="66"/>
      <c r="M19" s="66"/>
      <c r="N19" s="168"/>
      <c r="O19" s="168"/>
      <c r="P19" s="168"/>
      <c r="Q19" s="66"/>
    </row>
    <row r="20" spans="1:17" ht="14.25" customHeight="1" x14ac:dyDescent="0.3">
      <c r="A20" s="66"/>
      <c r="B20" s="66"/>
      <c r="C20" s="66"/>
      <c r="D20" s="66"/>
      <c r="E20" s="66"/>
      <c r="F20" s="66"/>
      <c r="G20" s="66"/>
      <c r="H20" s="168"/>
      <c r="I20" s="168"/>
      <c r="J20" s="168"/>
      <c r="K20" s="168"/>
      <c r="L20" s="66"/>
      <c r="M20" s="66"/>
      <c r="N20" s="168"/>
      <c r="O20" s="168"/>
      <c r="P20" s="168"/>
      <c r="Q20" s="66"/>
    </row>
    <row r="21" spans="1:17" ht="14.25" customHeight="1" x14ac:dyDescent="0.3">
      <c r="A21" s="66"/>
      <c r="B21" s="66"/>
      <c r="C21" s="66"/>
      <c r="D21" s="66"/>
      <c r="E21" s="66"/>
      <c r="F21" s="66"/>
      <c r="G21" s="66"/>
      <c r="H21" s="168"/>
      <c r="I21" s="168"/>
      <c r="J21" s="168"/>
      <c r="K21" s="168"/>
      <c r="L21" s="66"/>
      <c r="M21" s="66"/>
      <c r="N21" s="66"/>
      <c r="O21" s="66"/>
      <c r="P21" s="66"/>
      <c r="Q21" s="66"/>
    </row>
    <row r="22" spans="1:17" ht="14.25" customHeight="1" x14ac:dyDescent="0.3">
      <c r="A22" s="66"/>
      <c r="B22" s="66"/>
      <c r="C22" s="66"/>
      <c r="D22" s="66"/>
      <c r="E22" s="66"/>
      <c r="F22" s="66"/>
      <c r="G22" s="66"/>
      <c r="H22" s="168"/>
      <c r="I22" s="168"/>
      <c r="J22" s="168"/>
      <c r="K22" s="168"/>
      <c r="L22" s="66"/>
      <c r="M22" s="66"/>
      <c r="N22" s="66"/>
      <c r="O22" s="66"/>
      <c r="P22" s="66"/>
      <c r="Q22" s="66"/>
    </row>
    <row r="23" spans="1:17" ht="14.25" customHeight="1" x14ac:dyDescent="0.3">
      <c r="A23" s="66"/>
      <c r="B23" s="66"/>
      <c r="C23" s="66"/>
      <c r="D23" s="66"/>
      <c r="E23" s="66"/>
      <c r="F23" s="66"/>
      <c r="G23" s="66"/>
      <c r="H23" s="66"/>
      <c r="I23" s="69"/>
      <c r="J23" s="69"/>
      <c r="K23" s="69"/>
      <c r="L23" s="66"/>
      <c r="M23" s="66"/>
      <c r="N23" s="66"/>
      <c r="O23" s="66"/>
      <c r="P23" s="66"/>
      <c r="Q23" s="66"/>
    </row>
    <row r="24" spans="1:17" ht="14.25" customHeight="1" x14ac:dyDescent="0.3">
      <c r="A24" s="66"/>
      <c r="B24" s="66"/>
      <c r="C24" s="66"/>
      <c r="D24" s="66"/>
      <c r="E24" s="66"/>
      <c r="F24" s="66"/>
      <c r="G24" s="66"/>
      <c r="H24" s="66"/>
      <c r="I24" s="69"/>
      <c r="J24" s="69"/>
      <c r="K24" s="69"/>
      <c r="L24" s="66"/>
      <c r="M24" s="66"/>
      <c r="N24" s="66"/>
      <c r="O24" s="66"/>
      <c r="P24" s="66"/>
      <c r="Q24" s="66"/>
    </row>
    <row r="25" spans="1:17" ht="14.25" customHeight="1" x14ac:dyDescent="0.3">
      <c r="A25" s="66"/>
      <c r="B25" s="66"/>
      <c r="C25" s="66"/>
      <c r="D25" s="66"/>
      <c r="E25" s="66"/>
      <c r="F25" s="66"/>
      <c r="G25" s="66"/>
      <c r="H25" s="66"/>
      <c r="I25" s="66"/>
      <c r="J25" s="66"/>
      <c r="K25" s="66"/>
      <c r="L25" s="66"/>
      <c r="M25" s="66"/>
      <c r="N25" s="66"/>
      <c r="O25" s="66"/>
      <c r="P25" s="66"/>
      <c r="Q25" s="66"/>
    </row>
    <row r="26" spans="1:17" ht="14.25" customHeight="1" x14ac:dyDescent="0.3">
      <c r="A26" s="66"/>
      <c r="B26" s="66"/>
      <c r="C26" s="66"/>
      <c r="D26" s="66"/>
      <c r="E26" s="66"/>
      <c r="F26" s="66"/>
      <c r="G26" s="66"/>
      <c r="H26" s="66"/>
      <c r="I26" s="66"/>
      <c r="J26" s="66"/>
      <c r="K26" s="66"/>
      <c r="L26" s="66"/>
      <c r="M26" s="66"/>
      <c r="N26" s="66"/>
      <c r="O26" s="66"/>
      <c r="P26" s="66"/>
      <c r="Q26" s="66"/>
    </row>
  </sheetData>
  <mergeCells count="9">
    <mergeCell ref="B12:P16"/>
    <mergeCell ref="N19:P20"/>
    <mergeCell ref="B2:C2"/>
    <mergeCell ref="D2:E2"/>
    <mergeCell ref="F2:H3"/>
    <mergeCell ref="B3:C3"/>
    <mergeCell ref="D3:E3"/>
    <mergeCell ref="B10:P10"/>
    <mergeCell ref="H19:K22"/>
  </mergeCells>
  <phoneticPr fontId="1" type="noConversion"/>
  <pageMargins left="0.31496062992125984" right="0.31496062992125984" top="0.86614173228346458" bottom="0.74803149606299213" header="0.39370078740157483" footer="0.39370078740157483"/>
  <pageSetup paperSize="9" fitToHeight="0" orientation="landscape" r:id="rId1"/>
  <headerFooter>
    <oddFooter>&amp;C&amp;P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E30"/>
  <sheetViews>
    <sheetView view="pageBreakPreview" zoomScale="75" zoomScaleNormal="85" zoomScaleSheetLayoutView="75" workbookViewId="0"/>
  </sheetViews>
  <sheetFormatPr defaultColWidth="9" defaultRowHeight="16.5" x14ac:dyDescent="0.3"/>
  <cols>
    <col min="1" max="2" width="12.5" style="11" customWidth="1"/>
    <col min="3" max="3" width="65.5" style="11" customWidth="1"/>
    <col min="4" max="4" width="13" style="11" customWidth="1"/>
    <col min="5" max="5" width="11.625" style="11" customWidth="1"/>
    <col min="6" max="16384" width="9" style="11"/>
  </cols>
  <sheetData>
    <row r="1" spans="1:5" s="4" customFormat="1" ht="13.5" x14ac:dyDescent="0.3"/>
    <row r="2" spans="1:5" s="9" customFormat="1" ht="18" customHeight="1" x14ac:dyDescent="0.3">
      <c r="A2" s="27" t="s">
        <v>0</v>
      </c>
      <c r="B2" s="8"/>
      <c r="C2" s="8"/>
      <c r="D2" s="8"/>
      <c r="E2" s="8"/>
    </row>
    <row r="3" spans="1:5" s="9" customFormat="1" ht="5.0999999999999996" customHeight="1" thickBot="1" x14ac:dyDescent="0.35">
      <c r="B3" s="1"/>
      <c r="C3" s="1"/>
      <c r="D3" s="1"/>
      <c r="E3" s="1"/>
    </row>
    <row r="4" spans="1:5" ht="18" customHeight="1" x14ac:dyDescent="0.3">
      <c r="A4" s="37" t="s">
        <v>1</v>
      </c>
      <c r="B4" s="38" t="s">
        <v>2</v>
      </c>
      <c r="C4" s="38" t="s">
        <v>3</v>
      </c>
      <c r="D4" s="38" t="s">
        <v>4</v>
      </c>
      <c r="E4" s="10" t="s">
        <v>5</v>
      </c>
    </row>
    <row r="5" spans="1:5" x14ac:dyDescent="0.3">
      <c r="A5" s="12" t="s">
        <v>302</v>
      </c>
      <c r="B5" s="13" t="s">
        <v>377</v>
      </c>
      <c r="C5" s="33" t="s">
        <v>6</v>
      </c>
      <c r="D5" s="14" t="s">
        <v>372</v>
      </c>
      <c r="E5" s="15"/>
    </row>
    <row r="6" spans="1:5" x14ac:dyDescent="0.3">
      <c r="A6" s="12"/>
      <c r="B6" s="13"/>
      <c r="C6" s="33"/>
      <c r="D6" s="14"/>
      <c r="E6" s="15"/>
    </row>
    <row r="7" spans="1:5" x14ac:dyDescent="0.3">
      <c r="A7" s="73"/>
      <c r="B7" s="13"/>
      <c r="C7" s="33"/>
      <c r="D7" s="14"/>
      <c r="E7" s="33"/>
    </row>
    <row r="8" spans="1:5" x14ac:dyDescent="0.3">
      <c r="A8" s="70"/>
      <c r="B8" s="71"/>
      <c r="C8" s="55"/>
      <c r="D8" s="72"/>
      <c r="E8" s="55"/>
    </row>
    <row r="9" spans="1:5" x14ac:dyDescent="0.3">
      <c r="A9" s="70"/>
      <c r="B9" s="71"/>
      <c r="C9" s="55"/>
      <c r="D9" s="72"/>
      <c r="E9" s="55"/>
    </row>
    <row r="10" spans="1:5" x14ac:dyDescent="0.3">
      <c r="A10" s="70"/>
      <c r="B10" s="71"/>
      <c r="C10" s="55"/>
      <c r="D10" s="72"/>
      <c r="E10" s="55"/>
    </row>
    <row r="11" spans="1:5" x14ac:dyDescent="0.3">
      <c r="A11" s="70"/>
      <c r="B11" s="71"/>
      <c r="C11" s="55"/>
      <c r="D11" s="72"/>
      <c r="E11" s="55"/>
    </row>
    <row r="12" spans="1:5" x14ac:dyDescent="0.3">
      <c r="A12" s="70"/>
      <c r="B12" s="71"/>
      <c r="C12" s="55"/>
      <c r="D12" s="72"/>
      <c r="E12" s="55"/>
    </row>
    <row r="13" spans="1:5" x14ac:dyDescent="0.3">
      <c r="A13" s="70"/>
      <c r="B13" s="71"/>
      <c r="C13" s="55"/>
      <c r="D13" s="72"/>
      <c r="E13" s="55"/>
    </row>
    <row r="14" spans="1:5" x14ac:dyDescent="0.3">
      <c r="A14" s="70"/>
      <c r="B14" s="71"/>
      <c r="C14" s="55"/>
      <c r="D14" s="72"/>
      <c r="E14" s="55"/>
    </row>
    <row r="15" spans="1:5" x14ac:dyDescent="0.3">
      <c r="A15" s="70"/>
      <c r="B15" s="71"/>
      <c r="C15" s="55"/>
      <c r="D15" s="72"/>
      <c r="E15" s="55"/>
    </row>
    <row r="16" spans="1:5" x14ac:dyDescent="0.3">
      <c r="A16" s="70"/>
      <c r="B16" s="71"/>
      <c r="C16" s="55"/>
      <c r="D16" s="72"/>
      <c r="E16" s="55"/>
    </row>
    <row r="17" spans="1:5" x14ac:dyDescent="0.3">
      <c r="A17" s="70"/>
      <c r="B17" s="71"/>
      <c r="C17" s="55"/>
      <c r="D17" s="72"/>
      <c r="E17" s="55"/>
    </row>
    <row r="18" spans="1:5" x14ac:dyDescent="0.3">
      <c r="A18" s="70"/>
      <c r="B18" s="71"/>
      <c r="C18" s="55"/>
      <c r="D18" s="72"/>
      <c r="E18" s="55"/>
    </row>
    <row r="19" spans="1:5" x14ac:dyDescent="0.3">
      <c r="A19" s="70"/>
      <c r="B19" s="71"/>
      <c r="C19" s="55"/>
      <c r="D19" s="72"/>
      <c r="E19" s="55"/>
    </row>
    <row r="20" spans="1:5" x14ac:dyDescent="0.3">
      <c r="A20" s="70"/>
      <c r="B20" s="71"/>
      <c r="C20" s="55"/>
      <c r="D20" s="72"/>
      <c r="E20" s="55"/>
    </row>
    <row r="21" spans="1:5" x14ac:dyDescent="0.3">
      <c r="A21" s="70"/>
      <c r="B21" s="71"/>
      <c r="C21" s="55"/>
      <c r="D21" s="72"/>
      <c r="E21" s="55"/>
    </row>
    <row r="22" spans="1:5" x14ac:dyDescent="0.3">
      <c r="A22" s="70"/>
      <c r="B22" s="71"/>
      <c r="C22" s="55"/>
      <c r="D22" s="72"/>
      <c r="E22" s="55"/>
    </row>
    <row r="23" spans="1:5" x14ac:dyDescent="0.3">
      <c r="A23" s="70"/>
      <c r="B23" s="71"/>
      <c r="C23" s="55"/>
      <c r="D23" s="72"/>
      <c r="E23" s="55"/>
    </row>
    <row r="24" spans="1:5" x14ac:dyDescent="0.3">
      <c r="A24" s="70"/>
      <c r="B24" s="71"/>
      <c r="C24" s="55"/>
      <c r="D24" s="72"/>
      <c r="E24" s="55"/>
    </row>
    <row r="25" spans="1:5" x14ac:dyDescent="0.3">
      <c r="A25" s="70"/>
      <c r="B25" s="71"/>
      <c r="C25" s="55"/>
      <c r="D25" s="72"/>
      <c r="E25" s="55"/>
    </row>
    <row r="26" spans="1:5" x14ac:dyDescent="0.3">
      <c r="A26" s="70"/>
      <c r="B26" s="71"/>
      <c r="C26" s="55"/>
      <c r="D26" s="72"/>
      <c r="E26" s="55"/>
    </row>
    <row r="27" spans="1:5" x14ac:dyDescent="0.3">
      <c r="A27" s="70"/>
      <c r="B27" s="71"/>
      <c r="C27" s="55"/>
      <c r="D27" s="72"/>
      <c r="E27" s="55"/>
    </row>
    <row r="28" spans="1:5" x14ac:dyDescent="0.3">
      <c r="A28" s="70"/>
      <c r="B28" s="71"/>
      <c r="C28" s="55"/>
      <c r="D28" s="72"/>
      <c r="E28" s="55"/>
    </row>
    <row r="29" spans="1:5" x14ac:dyDescent="0.3">
      <c r="A29" s="70"/>
      <c r="B29" s="71"/>
      <c r="C29" s="55"/>
      <c r="D29" s="72"/>
      <c r="E29" s="55"/>
    </row>
    <row r="30" spans="1:5" x14ac:dyDescent="0.3">
      <c r="A30" s="70"/>
      <c r="B30" s="71"/>
      <c r="C30" s="55"/>
      <c r="D30" s="72"/>
      <c r="E30" s="55"/>
    </row>
  </sheetData>
  <phoneticPr fontId="1" type="noConversion"/>
  <printOptions horizontalCentered="1"/>
  <pageMargins left="0.39370078740157483" right="0.39370078740157483" top="0.59055118110236227" bottom="0.59055118110236227" header="0.19685039370078741" footer="0.19685039370078741"/>
  <pageSetup paperSize="9" scale="76"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R29"/>
  <sheetViews>
    <sheetView view="pageBreakPreview" zoomScale="75" zoomScaleNormal="100" zoomScaleSheetLayoutView="75" workbookViewId="0">
      <selection activeCell="B1" sqref="B1"/>
    </sheetView>
  </sheetViews>
  <sheetFormatPr defaultColWidth="9" defaultRowHeight="13.5" customHeight="1" x14ac:dyDescent="0.3"/>
  <cols>
    <col min="1" max="1" width="1.625" style="4" customWidth="1"/>
    <col min="2" max="2" width="2" style="4" customWidth="1"/>
    <col min="3" max="3" width="1.625" style="4" customWidth="1"/>
    <col min="4" max="4" width="15.5" style="4" customWidth="1"/>
    <col min="5" max="18" width="6.25" style="4" customWidth="1"/>
    <col min="19" max="16384" width="9" style="4"/>
  </cols>
  <sheetData>
    <row r="1" spans="1:18" x14ac:dyDescent="0.3">
      <c r="A1" s="3"/>
      <c r="B1" s="3"/>
      <c r="C1" s="3"/>
      <c r="D1" s="3"/>
      <c r="E1" s="3"/>
      <c r="F1" s="3"/>
      <c r="G1" s="3"/>
      <c r="H1" s="3"/>
      <c r="I1" s="3"/>
      <c r="J1" s="3"/>
    </row>
    <row r="2" spans="1:18" ht="17.25" x14ac:dyDescent="0.3">
      <c r="A2" s="185" t="s">
        <v>7</v>
      </c>
      <c r="B2" s="185"/>
      <c r="C2" s="185"/>
      <c r="D2" s="185"/>
      <c r="E2" s="185"/>
      <c r="F2" s="185"/>
      <c r="G2" s="185"/>
      <c r="H2" s="185"/>
      <c r="I2" s="185"/>
      <c r="J2" s="185"/>
      <c r="K2" s="185"/>
      <c r="L2" s="185"/>
      <c r="M2" s="185"/>
      <c r="N2" s="185"/>
    </row>
    <row r="3" spans="1:18" ht="33" customHeight="1" x14ac:dyDescent="0.3">
      <c r="B3" s="186" t="s">
        <v>552</v>
      </c>
      <c r="C3" s="186"/>
      <c r="D3" s="186"/>
      <c r="E3" s="186"/>
      <c r="F3" s="186"/>
      <c r="G3" s="186"/>
      <c r="H3" s="186"/>
      <c r="I3" s="186"/>
      <c r="J3" s="186"/>
      <c r="K3" s="186"/>
      <c r="L3" s="186"/>
      <c r="M3" s="186"/>
      <c r="N3" s="186"/>
      <c r="O3" s="186"/>
      <c r="P3" s="186"/>
      <c r="Q3" s="186"/>
      <c r="R3" s="186"/>
    </row>
    <row r="5" spans="1:18" ht="17.25" x14ac:dyDescent="0.3">
      <c r="A5" s="185" t="s">
        <v>8</v>
      </c>
      <c r="B5" s="185"/>
      <c r="C5" s="185"/>
      <c r="D5" s="185"/>
      <c r="E5" s="185"/>
      <c r="F5" s="185"/>
      <c r="G5" s="185"/>
      <c r="H5" s="185"/>
      <c r="I5" s="185"/>
      <c r="J5" s="185"/>
      <c r="K5" s="185"/>
      <c r="L5" s="185"/>
      <c r="M5" s="185"/>
      <c r="N5" s="185"/>
    </row>
    <row r="6" spans="1:18" x14ac:dyDescent="0.3">
      <c r="B6" s="187" t="s">
        <v>9</v>
      </c>
      <c r="C6" s="187"/>
      <c r="D6" s="187"/>
      <c r="E6" s="187"/>
      <c r="F6" s="187"/>
      <c r="G6" s="187"/>
      <c r="H6" s="187"/>
      <c r="I6" s="187"/>
      <c r="J6" s="187"/>
      <c r="K6" s="187"/>
      <c r="L6" s="187"/>
      <c r="M6" s="187"/>
      <c r="N6" s="187"/>
    </row>
    <row r="7" spans="1:18" x14ac:dyDescent="0.3">
      <c r="C7" s="187" t="s">
        <v>10</v>
      </c>
      <c r="D7" s="187"/>
      <c r="E7" s="187"/>
      <c r="F7" s="187"/>
      <c r="G7" s="187"/>
      <c r="H7" s="187"/>
      <c r="I7" s="187"/>
      <c r="J7" s="187"/>
      <c r="K7" s="187"/>
      <c r="L7" s="187"/>
      <c r="M7" s="187"/>
      <c r="N7" s="187"/>
    </row>
    <row r="8" spans="1:18" ht="13.5" customHeight="1" x14ac:dyDescent="0.3">
      <c r="C8" s="180" t="s">
        <v>11</v>
      </c>
      <c r="D8" s="181"/>
      <c r="E8" s="184" t="s">
        <v>12</v>
      </c>
      <c r="F8" s="184"/>
      <c r="G8" s="184"/>
      <c r="H8" s="184"/>
      <c r="I8" s="184"/>
      <c r="J8" s="184"/>
    </row>
    <row r="9" spans="1:18" x14ac:dyDescent="0.3">
      <c r="C9" s="182"/>
      <c r="D9" s="183"/>
      <c r="E9" s="184" t="s">
        <v>13</v>
      </c>
      <c r="F9" s="184"/>
      <c r="G9" s="184" t="s">
        <v>14</v>
      </c>
      <c r="H9" s="184"/>
      <c r="I9" s="184" t="s">
        <v>15</v>
      </c>
      <c r="J9" s="184"/>
    </row>
    <row r="10" spans="1:18" ht="27" customHeight="1" x14ac:dyDescent="0.3">
      <c r="A10" s="5"/>
      <c r="B10" s="5"/>
      <c r="C10" s="189" t="s">
        <v>16</v>
      </c>
      <c r="D10" s="190"/>
      <c r="E10" s="191" t="s">
        <v>17</v>
      </c>
      <c r="F10" s="191"/>
      <c r="G10" s="191" t="s">
        <v>18</v>
      </c>
      <c r="H10" s="191"/>
      <c r="I10" s="191" t="s">
        <v>19</v>
      </c>
      <c r="J10" s="191"/>
      <c r="M10" s="5"/>
      <c r="N10" s="5"/>
      <c r="O10" s="5"/>
    </row>
    <row r="11" spans="1:18" ht="27" customHeight="1" x14ac:dyDescent="0.3">
      <c r="A11" s="5"/>
      <c r="B11" s="6"/>
      <c r="C11" s="189" t="s">
        <v>20</v>
      </c>
      <c r="D11" s="190"/>
      <c r="E11" s="191" t="s">
        <v>21</v>
      </c>
      <c r="F11" s="191"/>
      <c r="G11" s="191" t="s">
        <v>21</v>
      </c>
      <c r="H11" s="191"/>
      <c r="I11" s="191" t="s">
        <v>21</v>
      </c>
      <c r="J11" s="191"/>
      <c r="N11" s="5"/>
    </row>
    <row r="12" spans="1:18" ht="27" customHeight="1" x14ac:dyDescent="0.3">
      <c r="A12" s="5"/>
      <c r="C12" s="189" t="s">
        <v>22</v>
      </c>
      <c r="D12" s="190"/>
      <c r="E12" s="191" t="s">
        <v>23</v>
      </c>
      <c r="F12" s="191"/>
      <c r="G12" s="191" t="s">
        <v>24</v>
      </c>
      <c r="H12" s="191"/>
      <c r="I12" s="191" t="s">
        <v>25</v>
      </c>
      <c r="J12" s="191"/>
      <c r="N12" s="5"/>
    </row>
    <row r="13" spans="1:18" x14ac:dyDescent="0.3">
      <c r="A13" s="5"/>
      <c r="F13" s="5"/>
      <c r="N13" s="5"/>
    </row>
    <row r="14" spans="1:18" x14ac:dyDescent="0.3">
      <c r="A14" s="5"/>
      <c r="C14" s="192" t="s">
        <v>26</v>
      </c>
      <c r="D14" s="192"/>
      <c r="E14" s="192"/>
      <c r="F14" s="192"/>
      <c r="G14" s="192"/>
      <c r="H14" s="192"/>
    </row>
    <row r="15" spans="1:18" x14ac:dyDescent="0.3">
      <c r="A15" s="5"/>
      <c r="D15" s="188" t="s">
        <v>27</v>
      </c>
      <c r="E15" s="188"/>
      <c r="F15" s="188"/>
      <c r="G15" s="188"/>
      <c r="H15" s="188"/>
      <c r="I15" s="188"/>
      <c r="J15" s="188"/>
      <c r="K15" s="188"/>
      <c r="L15" s="188"/>
      <c r="M15" s="188"/>
      <c r="N15" s="188"/>
    </row>
    <row r="16" spans="1:18" x14ac:dyDescent="0.3">
      <c r="A16" s="5"/>
      <c r="D16" s="188" t="s">
        <v>28</v>
      </c>
      <c r="E16" s="188"/>
      <c r="F16" s="188"/>
      <c r="G16" s="188"/>
      <c r="H16" s="188"/>
      <c r="I16" s="188"/>
      <c r="J16" s="188"/>
      <c r="K16" s="188"/>
      <c r="L16" s="188"/>
      <c r="M16" s="188"/>
      <c r="N16" s="188"/>
    </row>
    <row r="17" spans="1:18" ht="27" customHeight="1" x14ac:dyDescent="0.3">
      <c r="A17" s="5"/>
      <c r="D17" s="188" t="s">
        <v>29</v>
      </c>
      <c r="E17" s="188"/>
      <c r="F17" s="188"/>
      <c r="G17" s="188"/>
      <c r="H17" s="188"/>
      <c r="I17" s="188"/>
      <c r="J17" s="188"/>
      <c r="K17" s="188"/>
      <c r="L17" s="188"/>
      <c r="M17" s="188"/>
      <c r="N17" s="188"/>
    </row>
    <row r="18" spans="1:18" x14ac:dyDescent="0.3">
      <c r="A18" s="5"/>
      <c r="D18" s="188" t="s">
        <v>30</v>
      </c>
      <c r="E18" s="188"/>
      <c r="F18" s="188"/>
      <c r="G18" s="188"/>
      <c r="H18" s="188"/>
      <c r="I18" s="188"/>
      <c r="J18" s="188"/>
      <c r="K18" s="188"/>
      <c r="L18" s="188"/>
      <c r="M18" s="188"/>
      <c r="N18" s="188"/>
    </row>
    <row r="19" spans="1:18" x14ac:dyDescent="0.3">
      <c r="A19" s="5"/>
      <c r="D19" s="188" t="s">
        <v>31</v>
      </c>
      <c r="E19" s="188"/>
      <c r="F19" s="188"/>
      <c r="G19" s="188"/>
      <c r="H19" s="188"/>
      <c r="I19" s="188"/>
      <c r="J19" s="188"/>
      <c r="K19" s="188"/>
      <c r="L19" s="188"/>
      <c r="M19" s="188"/>
      <c r="N19" s="188"/>
    </row>
    <row r="20" spans="1:18" ht="27" customHeight="1" x14ac:dyDescent="0.3">
      <c r="A20" s="5"/>
      <c r="D20" s="188" t="s">
        <v>29</v>
      </c>
      <c r="E20" s="188"/>
      <c r="F20" s="188"/>
      <c r="G20" s="188"/>
      <c r="H20" s="188"/>
      <c r="I20" s="188"/>
      <c r="J20" s="188"/>
      <c r="K20" s="188"/>
      <c r="L20" s="188"/>
      <c r="M20" s="188"/>
      <c r="N20" s="188"/>
    </row>
    <row r="22" spans="1:18" ht="17.25" x14ac:dyDescent="0.3">
      <c r="A22" s="194" t="s">
        <v>32</v>
      </c>
      <c r="B22" s="194"/>
      <c r="C22" s="194"/>
      <c r="D22" s="194"/>
      <c r="E22" s="194"/>
      <c r="F22" s="194"/>
      <c r="G22" s="194"/>
      <c r="H22" s="194"/>
      <c r="I22" s="194"/>
      <c r="J22" s="194"/>
      <c r="K22" s="194"/>
      <c r="L22" s="194"/>
      <c r="M22" s="194"/>
      <c r="N22" s="194"/>
    </row>
    <row r="23" spans="1:18" x14ac:dyDescent="0.3">
      <c r="B23" s="195" t="s">
        <v>33</v>
      </c>
      <c r="C23" s="195"/>
      <c r="D23" s="195"/>
      <c r="E23" s="195"/>
      <c r="F23" s="195"/>
      <c r="G23" s="195"/>
      <c r="H23" s="195"/>
      <c r="I23" s="195"/>
      <c r="J23" s="195"/>
      <c r="K23" s="195"/>
      <c r="L23" s="195"/>
      <c r="M23" s="195"/>
      <c r="N23" s="195"/>
    </row>
    <row r="24" spans="1:18" x14ac:dyDescent="0.3">
      <c r="C24" s="195" t="s">
        <v>34</v>
      </c>
      <c r="D24" s="195"/>
      <c r="E24" s="195"/>
      <c r="F24" s="195"/>
      <c r="G24" s="195"/>
      <c r="H24" s="195"/>
      <c r="I24" s="195"/>
      <c r="J24" s="195"/>
      <c r="K24" s="195"/>
      <c r="L24" s="195"/>
      <c r="M24" s="195"/>
      <c r="N24" s="195"/>
    </row>
    <row r="25" spans="1:18" x14ac:dyDescent="0.3">
      <c r="B25" s="7"/>
      <c r="C25" s="7"/>
      <c r="D25" s="7"/>
      <c r="E25" s="7"/>
      <c r="F25" s="7"/>
      <c r="G25" s="7"/>
      <c r="H25" s="7"/>
      <c r="I25" s="7"/>
      <c r="K25" s="7"/>
      <c r="L25" s="7"/>
      <c r="M25" s="7"/>
      <c r="N25" s="7"/>
    </row>
    <row r="26" spans="1:18" x14ac:dyDescent="0.3">
      <c r="B26" s="195" t="s">
        <v>35</v>
      </c>
      <c r="C26" s="195"/>
      <c r="D26" s="195"/>
      <c r="E26" s="195"/>
      <c r="F26" s="195"/>
      <c r="G26" s="195"/>
      <c r="H26" s="195"/>
      <c r="I26" s="195"/>
      <c r="J26" s="195"/>
      <c r="K26" s="195"/>
      <c r="L26" s="195"/>
      <c r="M26" s="195"/>
      <c r="N26" s="195"/>
    </row>
    <row r="27" spans="1:18" x14ac:dyDescent="0.3">
      <c r="C27" s="193" t="s">
        <v>36</v>
      </c>
      <c r="D27" s="193"/>
      <c r="E27" s="193"/>
      <c r="F27" s="193"/>
      <c r="G27" s="193"/>
      <c r="H27" s="193"/>
      <c r="I27" s="193"/>
      <c r="J27" s="193"/>
      <c r="K27" s="193"/>
      <c r="L27" s="193"/>
      <c r="M27" s="193"/>
      <c r="N27" s="193"/>
    </row>
    <row r="28" spans="1:18" x14ac:dyDescent="0.3">
      <c r="C28" s="196" t="s">
        <v>37</v>
      </c>
      <c r="D28" s="196"/>
      <c r="E28" s="196"/>
      <c r="F28" s="196"/>
      <c r="G28" s="196"/>
      <c r="H28" s="196"/>
      <c r="I28" s="196"/>
      <c r="J28" s="196"/>
      <c r="K28" s="196"/>
      <c r="L28" s="196"/>
      <c r="M28" s="196"/>
      <c r="N28" s="196"/>
      <c r="O28" s="196"/>
      <c r="P28" s="196"/>
      <c r="Q28" s="196"/>
      <c r="R28" s="196"/>
    </row>
    <row r="29" spans="1:18" x14ac:dyDescent="0.3">
      <c r="C29" s="193" t="s">
        <v>38</v>
      </c>
      <c r="D29" s="193"/>
      <c r="E29" s="193"/>
      <c r="F29" s="193"/>
      <c r="G29" s="193"/>
      <c r="H29" s="193"/>
      <c r="I29" s="193"/>
      <c r="J29" s="193"/>
      <c r="K29" s="193"/>
      <c r="L29" s="193"/>
      <c r="M29" s="193"/>
      <c r="N29" s="193"/>
    </row>
  </sheetData>
  <mergeCells count="36">
    <mergeCell ref="C29:N29"/>
    <mergeCell ref="D16:N16"/>
    <mergeCell ref="D17:N17"/>
    <mergeCell ref="D18:N18"/>
    <mergeCell ref="D19:N19"/>
    <mergeCell ref="D20:N20"/>
    <mergeCell ref="A22:N22"/>
    <mergeCell ref="B23:N23"/>
    <mergeCell ref="C24:N24"/>
    <mergeCell ref="B26:N26"/>
    <mergeCell ref="C27:N27"/>
    <mergeCell ref="C28:R28"/>
    <mergeCell ref="D15:N15"/>
    <mergeCell ref="C10:D10"/>
    <mergeCell ref="E10:F10"/>
    <mergeCell ref="G10:H10"/>
    <mergeCell ref="I10:J10"/>
    <mergeCell ref="C11:D11"/>
    <mergeCell ref="E11:F11"/>
    <mergeCell ref="G11:H11"/>
    <mergeCell ref="I11:J11"/>
    <mergeCell ref="C12:D12"/>
    <mergeCell ref="E12:F12"/>
    <mergeCell ref="G12:H12"/>
    <mergeCell ref="I12:J12"/>
    <mergeCell ref="C14:H14"/>
    <mergeCell ref="A2:N2"/>
    <mergeCell ref="B3:R3"/>
    <mergeCell ref="A5:N5"/>
    <mergeCell ref="B6:N6"/>
    <mergeCell ref="C7:N7"/>
    <mergeCell ref="C8:D9"/>
    <mergeCell ref="E8:J8"/>
    <mergeCell ref="E9:F9"/>
    <mergeCell ref="G9:H9"/>
    <mergeCell ref="I9:J9"/>
  </mergeCells>
  <phoneticPr fontId="1" type="noConversion"/>
  <printOptions horizontalCentered="1"/>
  <pageMargins left="0.39370078740157483" right="0.39370078740157483" top="0.59055118110236227" bottom="0.59055118110236227" header="0.19685039370078741" footer="0.19685039370078741"/>
  <pageSetup paperSize="9" scale="74"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T7"/>
  <sheetViews>
    <sheetView view="pageBreakPreview" zoomScale="75" zoomScaleNormal="100" zoomScaleSheetLayoutView="75" workbookViewId="0"/>
  </sheetViews>
  <sheetFormatPr defaultColWidth="9" defaultRowHeight="13.5" x14ac:dyDescent="0.3"/>
  <cols>
    <col min="1" max="1" width="5.625" style="9" customWidth="1"/>
    <col min="2" max="5" width="19.625" style="9" customWidth="1"/>
    <col min="6" max="8" width="3.5" style="9" customWidth="1"/>
    <col min="9" max="9" width="6.25" style="9" customWidth="1"/>
    <col min="10" max="10" width="12.25" style="9" customWidth="1"/>
    <col min="11" max="16384" width="9" style="9"/>
  </cols>
  <sheetData>
    <row r="1" spans="1:20" s="4" customFormat="1" x14ac:dyDescent="0.3">
      <c r="A1" s="3"/>
      <c r="B1" s="3"/>
      <c r="C1" s="3"/>
      <c r="D1" s="3"/>
      <c r="E1" s="3"/>
      <c r="F1" s="3"/>
      <c r="G1" s="3"/>
      <c r="H1" s="3"/>
      <c r="I1" s="3"/>
      <c r="J1" s="3"/>
    </row>
    <row r="2" spans="1:20" ht="18" customHeight="1" x14ac:dyDescent="0.3">
      <c r="A2" s="197" t="s">
        <v>553</v>
      </c>
      <c r="B2" s="197"/>
      <c r="C2" s="197"/>
      <c r="D2" s="197"/>
      <c r="E2" s="197"/>
      <c r="F2" s="197"/>
      <c r="G2" s="197"/>
      <c r="H2" s="197"/>
      <c r="I2" s="197"/>
      <c r="J2" s="197"/>
      <c r="K2" s="16"/>
      <c r="L2" s="17"/>
      <c r="M2" s="17"/>
      <c r="N2" s="17"/>
      <c r="O2" s="17"/>
      <c r="P2" s="17"/>
      <c r="Q2" s="17"/>
      <c r="R2" s="17"/>
      <c r="S2" s="17"/>
      <c r="T2" s="17"/>
    </row>
    <row r="3" spans="1:20" ht="5.0999999999999996" customHeight="1" x14ac:dyDescent="0.3">
      <c r="A3" s="1"/>
      <c r="B3" s="1"/>
      <c r="C3" s="1"/>
      <c r="D3" s="1"/>
      <c r="E3" s="1"/>
      <c r="F3" s="1"/>
      <c r="G3" s="1"/>
      <c r="H3" s="1"/>
      <c r="I3" s="1"/>
      <c r="J3" s="1"/>
    </row>
    <row r="4" spans="1:20" ht="16.5" x14ac:dyDescent="0.3">
      <c r="A4" s="1"/>
      <c r="B4" s="1"/>
      <c r="C4" s="1"/>
      <c r="D4" s="1"/>
      <c r="E4" s="1"/>
      <c r="F4" s="1"/>
      <c r="G4" s="1"/>
      <c r="H4" s="1"/>
      <c r="I4" s="28" t="s">
        <v>60</v>
      </c>
      <c r="J4" s="56">
        <v>7</v>
      </c>
    </row>
    <row r="5" spans="1:20" x14ac:dyDescent="0.3">
      <c r="A5" s="198" t="s">
        <v>61</v>
      </c>
      <c r="B5" s="198" t="s">
        <v>62</v>
      </c>
      <c r="C5" s="198"/>
      <c r="D5" s="198"/>
      <c r="E5" s="198"/>
      <c r="F5" s="198" t="s">
        <v>63</v>
      </c>
      <c r="G5" s="198"/>
      <c r="H5" s="198"/>
      <c r="I5" s="198"/>
      <c r="J5" s="198" t="s">
        <v>5</v>
      </c>
    </row>
    <row r="6" spans="1:20" x14ac:dyDescent="0.3">
      <c r="A6" s="198"/>
      <c r="B6" s="28" t="s">
        <v>64</v>
      </c>
      <c r="C6" s="28" t="s">
        <v>65</v>
      </c>
      <c r="D6" s="28" t="s">
        <v>66</v>
      </c>
      <c r="E6" s="28" t="s">
        <v>67</v>
      </c>
      <c r="F6" s="28" t="s">
        <v>68</v>
      </c>
      <c r="G6" s="28" t="s">
        <v>69</v>
      </c>
      <c r="H6" s="28" t="s">
        <v>70</v>
      </c>
      <c r="I6" s="28" t="s">
        <v>71</v>
      </c>
      <c r="J6" s="198"/>
    </row>
    <row r="7" spans="1:20" ht="15" customHeight="1" x14ac:dyDescent="0.3">
      <c r="A7" s="54">
        <f ca="1">HYPERLINK("[" &amp; MID(CELL("filename"),SEARCH("[",CELL("filename"))+1, SEARCH("]",CELL("filename"))-SEARCH("[",CELL("filename"))-1) &amp; "]'요약 통계'!" &amp; ADDRESS(4,ROW()+5,1,TRUE),ROW()-6)</f>
        <v>1</v>
      </c>
      <c r="B7" s="74" t="s">
        <v>373</v>
      </c>
      <c r="C7" s="76" t="s">
        <v>349</v>
      </c>
      <c r="D7" s="76" t="s">
        <v>348</v>
      </c>
      <c r="E7" s="74" t="s">
        <v>350</v>
      </c>
      <c r="F7" s="74">
        <v>3</v>
      </c>
      <c r="G7" s="74">
        <v>3</v>
      </c>
      <c r="H7" s="74">
        <v>3</v>
      </c>
      <c r="I7" s="74" t="str">
        <f>IF(AND(SUM(F7:H7)&gt;=8, SUM(F7:H7)&lt;=9), "1등급", IF(AND(SUM(F7:H7)&gt;=6, SUM(F7:H7)&lt;=7), "2등급", IF(AND(SUM(F7:H7)&gt;=3, SUM(F7:H7)&lt;=5), "3등급", "")))</f>
        <v>1등급</v>
      </c>
      <c r="J7" s="18"/>
    </row>
  </sheetData>
  <mergeCells count="5">
    <mergeCell ref="A2:J2"/>
    <mergeCell ref="A5:A6"/>
    <mergeCell ref="B5:E5"/>
    <mergeCell ref="F5:I5"/>
    <mergeCell ref="J5:J6"/>
  </mergeCells>
  <phoneticPr fontId="1" type="noConversion"/>
  <conditionalFormatting sqref="B7">
    <cfRule type="duplicateValues" dxfId="15" priority="55"/>
    <cfRule type="duplicateValues" dxfId="14" priority="56"/>
  </conditionalFormatting>
  <conditionalFormatting sqref="B8:B1048576 B1:B6">
    <cfRule type="duplicateValues" dxfId="13" priority="53"/>
    <cfRule type="duplicateValues" dxfId="12" priority="54"/>
  </conditionalFormatting>
  <dataValidations disablePrompts="1" count="1">
    <dataValidation type="list" showInputMessage="1" showErrorMessage="1" sqref="J982974 J65470 J131006 J196542 J262078 J327614 J393150 J458686 J524222 J589758 J655294 J720830 J786366 J851902 J917438" xr:uid="{00000000-0002-0000-0400-000000000000}">
      <formula1>"-,1,2,3,4,5,6,7,8,9"</formula1>
    </dataValidation>
  </dataValidations>
  <printOptions horizontalCentered="1"/>
  <pageMargins left="0.39370078740157483" right="0.39370078740157483" top="0.59055118110236227" bottom="0.59055118110236227" header="0.19685039370078741" footer="0.19685039370078741"/>
  <pageSetup paperSize="9" scale="71"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L132"/>
  <sheetViews>
    <sheetView view="pageBreakPreview" zoomScale="75" zoomScaleNormal="85" zoomScaleSheetLayoutView="75" workbookViewId="0">
      <selection activeCell="L4" sqref="L4:L5"/>
    </sheetView>
  </sheetViews>
  <sheetFormatPr defaultRowHeight="16.5" x14ac:dyDescent="0.3"/>
  <cols>
    <col min="1" max="1" width="9.25" style="11" bestFit="1" customWidth="1"/>
    <col min="2" max="2" width="9" style="11"/>
    <col min="3" max="3" width="40.5" style="11" customWidth="1"/>
    <col min="4" max="5" width="6.25" style="11" customWidth="1"/>
    <col min="6" max="6" width="9.5" style="11" customWidth="1"/>
    <col min="7" max="7" width="8.875" style="11" customWidth="1"/>
    <col min="8" max="9" width="6.625" style="11" customWidth="1"/>
    <col min="10" max="10" width="9.25" style="11" customWidth="1"/>
    <col min="11" max="11" width="9.5" style="11" customWidth="1"/>
    <col min="12" max="12" width="13.5" style="11" customWidth="1"/>
    <col min="13" max="160" width="9" style="11"/>
    <col min="161" max="161" width="2.625" style="11" customWidth="1"/>
    <col min="162" max="162" width="9.25" style="11" bestFit="1" customWidth="1"/>
    <col min="163" max="163" width="9" style="11"/>
    <col min="164" max="164" width="40.5" style="11" customWidth="1"/>
    <col min="165" max="166" width="6.25" style="11" customWidth="1"/>
    <col min="167" max="172" width="6.625" style="11" customWidth="1"/>
    <col min="173" max="222" width="9.25" style="11" customWidth="1"/>
    <col min="223" max="223" width="2.625" style="11" customWidth="1"/>
    <col min="224" max="416" width="9" style="11"/>
    <col min="417" max="417" width="2.625" style="11" customWidth="1"/>
    <col min="418" max="418" width="9.25" style="11" bestFit="1" customWidth="1"/>
    <col min="419" max="419" width="9" style="11"/>
    <col min="420" max="420" width="40.5" style="11" customWidth="1"/>
    <col min="421" max="422" width="6.25" style="11" customWidth="1"/>
    <col min="423" max="428" width="6.625" style="11" customWidth="1"/>
    <col min="429" max="478" width="9.25" style="11" customWidth="1"/>
    <col min="479" max="479" width="2.625" style="11" customWidth="1"/>
    <col min="480" max="672" width="9" style="11"/>
    <col min="673" max="673" width="2.625" style="11" customWidth="1"/>
    <col min="674" max="674" width="9.25" style="11" bestFit="1" customWidth="1"/>
    <col min="675" max="675" width="9" style="11"/>
    <col min="676" max="676" width="40.5" style="11" customWidth="1"/>
    <col min="677" max="678" width="6.25" style="11" customWidth="1"/>
    <col min="679" max="684" width="6.625" style="11" customWidth="1"/>
    <col min="685" max="734" width="9.25" style="11" customWidth="1"/>
    <col min="735" max="735" width="2.625" style="11" customWidth="1"/>
    <col min="736" max="928" width="9" style="11"/>
    <col min="929" max="929" width="2.625" style="11" customWidth="1"/>
    <col min="930" max="930" width="9.25" style="11" bestFit="1" customWidth="1"/>
    <col min="931" max="931" width="9" style="11"/>
    <col min="932" max="932" width="40.5" style="11" customWidth="1"/>
    <col min="933" max="934" width="6.25" style="11" customWidth="1"/>
    <col min="935" max="940" width="6.625" style="11" customWidth="1"/>
    <col min="941" max="990" width="9.25" style="11" customWidth="1"/>
    <col min="991" max="991" width="2.625" style="11" customWidth="1"/>
    <col min="992" max="1184" width="9" style="11"/>
    <col min="1185" max="1185" width="2.625" style="11" customWidth="1"/>
    <col min="1186" max="1186" width="9.25" style="11" bestFit="1" customWidth="1"/>
    <col min="1187" max="1187" width="9" style="11"/>
    <col min="1188" max="1188" width="40.5" style="11" customWidth="1"/>
    <col min="1189" max="1190" width="6.25" style="11" customWidth="1"/>
    <col min="1191" max="1196" width="6.625" style="11" customWidth="1"/>
    <col min="1197" max="1246" width="9.25" style="11" customWidth="1"/>
    <col min="1247" max="1247" width="2.625" style="11" customWidth="1"/>
    <col min="1248" max="1440" width="9" style="11"/>
    <col min="1441" max="1441" width="2.625" style="11" customWidth="1"/>
    <col min="1442" max="1442" width="9.25" style="11" bestFit="1" customWidth="1"/>
    <col min="1443" max="1443" width="9" style="11"/>
    <col min="1444" max="1444" width="40.5" style="11" customWidth="1"/>
    <col min="1445" max="1446" width="6.25" style="11" customWidth="1"/>
    <col min="1447" max="1452" width="6.625" style="11" customWidth="1"/>
    <col min="1453" max="1502" width="9.25" style="11" customWidth="1"/>
    <col min="1503" max="1503" width="2.625" style="11" customWidth="1"/>
    <col min="1504" max="1696" width="9" style="11"/>
    <col min="1697" max="1697" width="2.625" style="11" customWidth="1"/>
    <col min="1698" max="1698" width="9.25" style="11" bestFit="1" customWidth="1"/>
    <col min="1699" max="1699" width="9" style="11"/>
    <col min="1700" max="1700" width="40.5" style="11" customWidth="1"/>
    <col min="1701" max="1702" width="6.25" style="11" customWidth="1"/>
    <col min="1703" max="1708" width="6.625" style="11" customWidth="1"/>
    <col min="1709" max="1758" width="9.25" style="11" customWidth="1"/>
    <col min="1759" max="1759" width="2.625" style="11" customWidth="1"/>
    <col min="1760" max="1952" width="9" style="11"/>
    <col min="1953" max="1953" width="2.625" style="11" customWidth="1"/>
    <col min="1954" max="1954" width="9.25" style="11" bestFit="1" customWidth="1"/>
    <col min="1955" max="1955" width="9" style="11"/>
    <col min="1956" max="1956" width="40.5" style="11" customWidth="1"/>
    <col min="1957" max="1958" width="6.25" style="11" customWidth="1"/>
    <col min="1959" max="1964" width="6.625" style="11" customWidth="1"/>
    <col min="1965" max="2014" width="9.25" style="11" customWidth="1"/>
    <col min="2015" max="2015" width="2.625" style="11" customWidth="1"/>
    <col min="2016" max="2208" width="9" style="11"/>
    <col min="2209" max="2209" width="2.625" style="11" customWidth="1"/>
    <col min="2210" max="2210" width="9.25" style="11" bestFit="1" customWidth="1"/>
    <col min="2211" max="2211" width="9" style="11"/>
    <col min="2212" max="2212" width="40.5" style="11" customWidth="1"/>
    <col min="2213" max="2214" width="6.25" style="11" customWidth="1"/>
    <col min="2215" max="2220" width="6.625" style="11" customWidth="1"/>
    <col min="2221" max="2270" width="9.25" style="11" customWidth="1"/>
    <col min="2271" max="2271" width="2.625" style="11" customWidth="1"/>
    <col min="2272" max="2464" width="9" style="11"/>
    <col min="2465" max="2465" width="2.625" style="11" customWidth="1"/>
    <col min="2466" max="2466" width="9.25" style="11" bestFit="1" customWidth="1"/>
    <col min="2467" max="2467" width="9" style="11"/>
    <col min="2468" max="2468" width="40.5" style="11" customWidth="1"/>
    <col min="2469" max="2470" width="6.25" style="11" customWidth="1"/>
    <col min="2471" max="2476" width="6.625" style="11" customWidth="1"/>
    <col min="2477" max="2526" width="9.25" style="11" customWidth="1"/>
    <col min="2527" max="2527" width="2.625" style="11" customWidth="1"/>
    <col min="2528" max="2720" width="9" style="11"/>
    <col min="2721" max="2721" width="2.625" style="11" customWidth="1"/>
    <col min="2722" max="2722" width="9.25" style="11" bestFit="1" customWidth="1"/>
    <col min="2723" max="2723" width="9" style="11"/>
    <col min="2724" max="2724" width="40.5" style="11" customWidth="1"/>
    <col min="2725" max="2726" width="6.25" style="11" customWidth="1"/>
    <col min="2727" max="2732" width="6.625" style="11" customWidth="1"/>
    <col min="2733" max="2782" width="9.25" style="11" customWidth="1"/>
    <col min="2783" max="2783" width="2.625" style="11" customWidth="1"/>
    <col min="2784" max="2976" width="9" style="11"/>
    <col min="2977" max="2977" width="2.625" style="11" customWidth="1"/>
    <col min="2978" max="2978" width="9.25" style="11" bestFit="1" customWidth="1"/>
    <col min="2979" max="2979" width="9" style="11"/>
    <col min="2980" max="2980" width="40.5" style="11" customWidth="1"/>
    <col min="2981" max="2982" width="6.25" style="11" customWidth="1"/>
    <col min="2983" max="2988" width="6.625" style="11" customWidth="1"/>
    <col min="2989" max="3038" width="9.25" style="11" customWidth="1"/>
    <col min="3039" max="3039" width="2.625" style="11" customWidth="1"/>
    <col min="3040" max="3232" width="9" style="11"/>
    <col min="3233" max="3233" width="2.625" style="11" customWidth="1"/>
    <col min="3234" max="3234" width="9.25" style="11" bestFit="1" customWidth="1"/>
    <col min="3235" max="3235" width="9" style="11"/>
    <col min="3236" max="3236" width="40.5" style="11" customWidth="1"/>
    <col min="3237" max="3238" width="6.25" style="11" customWidth="1"/>
    <col min="3239" max="3244" width="6.625" style="11" customWidth="1"/>
    <col min="3245" max="3294" width="9.25" style="11" customWidth="1"/>
    <col min="3295" max="3295" width="2.625" style="11" customWidth="1"/>
    <col min="3296" max="3488" width="9" style="11"/>
    <col min="3489" max="3489" width="2.625" style="11" customWidth="1"/>
    <col min="3490" max="3490" width="9.25" style="11" bestFit="1" customWidth="1"/>
    <col min="3491" max="3491" width="9" style="11"/>
    <col min="3492" max="3492" width="40.5" style="11" customWidth="1"/>
    <col min="3493" max="3494" width="6.25" style="11" customWidth="1"/>
    <col min="3495" max="3500" width="6.625" style="11" customWidth="1"/>
    <col min="3501" max="3550" width="9.25" style="11" customWidth="1"/>
    <col min="3551" max="3551" width="2.625" style="11" customWidth="1"/>
    <col min="3552" max="3744" width="9" style="11"/>
    <col min="3745" max="3745" width="2.625" style="11" customWidth="1"/>
    <col min="3746" max="3746" width="9.25" style="11" bestFit="1" customWidth="1"/>
    <col min="3747" max="3747" width="9" style="11"/>
    <col min="3748" max="3748" width="40.5" style="11" customWidth="1"/>
    <col min="3749" max="3750" width="6.25" style="11" customWidth="1"/>
    <col min="3751" max="3756" width="6.625" style="11" customWidth="1"/>
    <col min="3757" max="3806" width="9.25" style="11" customWidth="1"/>
    <col min="3807" max="3807" width="2.625" style="11" customWidth="1"/>
    <col min="3808" max="4000" width="9" style="11"/>
    <col min="4001" max="4001" width="2.625" style="11" customWidth="1"/>
    <col min="4002" max="4002" width="9.25" style="11" bestFit="1" customWidth="1"/>
    <col min="4003" max="4003" width="9" style="11"/>
    <col min="4004" max="4004" width="40.5" style="11" customWidth="1"/>
    <col min="4005" max="4006" width="6.25" style="11" customWidth="1"/>
    <col min="4007" max="4012" width="6.625" style="11" customWidth="1"/>
    <col min="4013" max="4062" width="9.25" style="11" customWidth="1"/>
    <col min="4063" max="4063" width="2.625" style="11" customWidth="1"/>
    <col min="4064" max="4256" width="9" style="11"/>
    <col min="4257" max="4257" width="2.625" style="11" customWidth="1"/>
    <col min="4258" max="4258" width="9.25" style="11" bestFit="1" customWidth="1"/>
    <col min="4259" max="4259" width="9" style="11"/>
    <col min="4260" max="4260" width="40.5" style="11" customWidth="1"/>
    <col min="4261" max="4262" width="6.25" style="11" customWidth="1"/>
    <col min="4263" max="4268" width="6.625" style="11" customWidth="1"/>
    <col min="4269" max="4318" width="9.25" style="11" customWidth="1"/>
    <col min="4319" max="4319" width="2.625" style="11" customWidth="1"/>
    <col min="4320" max="4512" width="9" style="11"/>
    <col min="4513" max="4513" width="2.625" style="11" customWidth="1"/>
    <col min="4514" max="4514" width="9.25" style="11" bestFit="1" customWidth="1"/>
    <col min="4515" max="4515" width="9" style="11"/>
    <col min="4516" max="4516" width="40.5" style="11" customWidth="1"/>
    <col min="4517" max="4518" width="6.25" style="11" customWidth="1"/>
    <col min="4519" max="4524" width="6.625" style="11" customWidth="1"/>
    <col min="4525" max="4574" width="9.25" style="11" customWidth="1"/>
    <col min="4575" max="4575" width="2.625" style="11" customWidth="1"/>
    <col min="4576" max="4768" width="9" style="11"/>
    <col min="4769" max="4769" width="2.625" style="11" customWidth="1"/>
    <col min="4770" max="4770" width="9.25" style="11" bestFit="1" customWidth="1"/>
    <col min="4771" max="4771" width="9" style="11"/>
    <col min="4772" max="4772" width="40.5" style="11" customWidth="1"/>
    <col min="4773" max="4774" width="6.25" style="11" customWidth="1"/>
    <col min="4775" max="4780" width="6.625" style="11" customWidth="1"/>
    <col min="4781" max="4830" width="9.25" style="11" customWidth="1"/>
    <col min="4831" max="4831" width="2.625" style="11" customWidth="1"/>
    <col min="4832" max="5024" width="9" style="11"/>
    <col min="5025" max="5025" width="2.625" style="11" customWidth="1"/>
    <col min="5026" max="5026" width="9.25" style="11" bestFit="1" customWidth="1"/>
    <col min="5027" max="5027" width="9" style="11"/>
    <col min="5028" max="5028" width="40.5" style="11" customWidth="1"/>
    <col min="5029" max="5030" width="6.25" style="11" customWidth="1"/>
    <col min="5031" max="5036" width="6.625" style="11" customWidth="1"/>
    <col min="5037" max="5086" width="9.25" style="11" customWidth="1"/>
    <col min="5087" max="5087" width="2.625" style="11" customWidth="1"/>
    <col min="5088" max="5280" width="9" style="11"/>
    <col min="5281" max="5281" width="2.625" style="11" customWidth="1"/>
    <col min="5282" max="5282" width="9.25" style="11" bestFit="1" customWidth="1"/>
    <col min="5283" max="5283" width="9" style="11"/>
    <col min="5284" max="5284" width="40.5" style="11" customWidth="1"/>
    <col min="5285" max="5286" width="6.25" style="11" customWidth="1"/>
    <col min="5287" max="5292" width="6.625" style="11" customWidth="1"/>
    <col min="5293" max="5342" width="9.25" style="11" customWidth="1"/>
    <col min="5343" max="5343" width="2.625" style="11" customWidth="1"/>
    <col min="5344" max="5536" width="9" style="11"/>
    <col min="5537" max="5537" width="2.625" style="11" customWidth="1"/>
    <col min="5538" max="5538" width="9.25" style="11" bestFit="1" customWidth="1"/>
    <col min="5539" max="5539" width="9" style="11"/>
    <col min="5540" max="5540" width="40.5" style="11" customWidth="1"/>
    <col min="5541" max="5542" width="6.25" style="11" customWidth="1"/>
    <col min="5543" max="5548" width="6.625" style="11" customWidth="1"/>
    <col min="5549" max="5598" width="9.25" style="11" customWidth="1"/>
    <col min="5599" max="5599" width="2.625" style="11" customWidth="1"/>
    <col min="5600" max="5792" width="9" style="11"/>
    <col min="5793" max="5793" width="2.625" style="11" customWidth="1"/>
    <col min="5794" max="5794" width="9.25" style="11" bestFit="1" customWidth="1"/>
    <col min="5795" max="5795" width="9" style="11"/>
    <col min="5796" max="5796" width="40.5" style="11" customWidth="1"/>
    <col min="5797" max="5798" width="6.25" style="11" customWidth="1"/>
    <col min="5799" max="5804" width="6.625" style="11" customWidth="1"/>
    <col min="5805" max="5854" width="9.25" style="11" customWidth="1"/>
    <col min="5855" max="5855" width="2.625" style="11" customWidth="1"/>
    <col min="5856" max="6048" width="9" style="11"/>
    <col min="6049" max="6049" width="2.625" style="11" customWidth="1"/>
    <col min="6050" max="6050" width="9.25" style="11" bestFit="1" customWidth="1"/>
    <col min="6051" max="6051" width="9" style="11"/>
    <col min="6052" max="6052" width="40.5" style="11" customWidth="1"/>
    <col min="6053" max="6054" width="6.25" style="11" customWidth="1"/>
    <col min="6055" max="6060" width="6.625" style="11" customWidth="1"/>
    <col min="6061" max="6110" width="9.25" style="11" customWidth="1"/>
    <col min="6111" max="6111" width="2.625" style="11" customWidth="1"/>
    <col min="6112" max="6304" width="9" style="11"/>
    <col min="6305" max="6305" width="2.625" style="11" customWidth="1"/>
    <col min="6306" max="6306" width="9.25" style="11" bestFit="1" customWidth="1"/>
    <col min="6307" max="6307" width="9" style="11"/>
    <col min="6308" max="6308" width="40.5" style="11" customWidth="1"/>
    <col min="6309" max="6310" width="6.25" style="11" customWidth="1"/>
    <col min="6311" max="6316" width="6.625" style="11" customWidth="1"/>
    <col min="6317" max="6366" width="9.25" style="11" customWidth="1"/>
    <col min="6367" max="6367" width="2.625" style="11" customWidth="1"/>
    <col min="6368" max="6560" width="9" style="11"/>
    <col min="6561" max="6561" width="2.625" style="11" customWidth="1"/>
    <col min="6562" max="6562" width="9.25" style="11" bestFit="1" customWidth="1"/>
    <col min="6563" max="6563" width="9" style="11"/>
    <col min="6564" max="6564" width="40.5" style="11" customWidth="1"/>
    <col min="6565" max="6566" width="6.25" style="11" customWidth="1"/>
    <col min="6567" max="6572" width="6.625" style="11" customWidth="1"/>
    <col min="6573" max="6622" width="9.25" style="11" customWidth="1"/>
    <col min="6623" max="6623" width="2.625" style="11" customWidth="1"/>
    <col min="6624" max="6816" width="9" style="11"/>
    <col min="6817" max="6817" width="2.625" style="11" customWidth="1"/>
    <col min="6818" max="6818" width="9.25" style="11" bestFit="1" customWidth="1"/>
    <col min="6819" max="6819" width="9" style="11"/>
    <col min="6820" max="6820" width="40.5" style="11" customWidth="1"/>
    <col min="6821" max="6822" width="6.25" style="11" customWidth="1"/>
    <col min="6823" max="6828" width="6.625" style="11" customWidth="1"/>
    <col min="6829" max="6878" width="9.25" style="11" customWidth="1"/>
    <col min="6879" max="6879" width="2.625" style="11" customWidth="1"/>
    <col min="6880" max="7072" width="9" style="11"/>
    <col min="7073" max="7073" width="2.625" style="11" customWidth="1"/>
    <col min="7074" max="7074" width="9.25" style="11" bestFit="1" customWidth="1"/>
    <col min="7075" max="7075" width="9" style="11"/>
    <col min="7076" max="7076" width="40.5" style="11" customWidth="1"/>
    <col min="7077" max="7078" width="6.25" style="11" customWidth="1"/>
    <col min="7079" max="7084" width="6.625" style="11" customWidth="1"/>
    <col min="7085" max="7134" width="9.25" style="11" customWidth="1"/>
    <col min="7135" max="7135" width="2.625" style="11" customWidth="1"/>
    <col min="7136" max="7328" width="9" style="11"/>
    <col min="7329" max="7329" width="2.625" style="11" customWidth="1"/>
    <col min="7330" max="7330" width="9.25" style="11" bestFit="1" customWidth="1"/>
    <col min="7331" max="7331" width="9" style="11"/>
    <col min="7332" max="7332" width="40.5" style="11" customWidth="1"/>
    <col min="7333" max="7334" width="6.25" style="11" customWidth="1"/>
    <col min="7335" max="7340" width="6.625" style="11" customWidth="1"/>
    <col min="7341" max="7390" width="9.25" style="11" customWidth="1"/>
    <col min="7391" max="7391" width="2.625" style="11" customWidth="1"/>
    <col min="7392" max="7584" width="9" style="11"/>
    <col min="7585" max="7585" width="2.625" style="11" customWidth="1"/>
    <col min="7586" max="7586" width="9.25" style="11" bestFit="1" customWidth="1"/>
    <col min="7587" max="7587" width="9" style="11"/>
    <col min="7588" max="7588" width="40.5" style="11" customWidth="1"/>
    <col min="7589" max="7590" width="6.25" style="11" customWidth="1"/>
    <col min="7591" max="7596" width="6.625" style="11" customWidth="1"/>
    <col min="7597" max="7646" width="9.25" style="11" customWidth="1"/>
    <col min="7647" max="7647" width="2.625" style="11" customWidth="1"/>
    <col min="7648" max="7840" width="9" style="11"/>
    <col min="7841" max="7841" width="2.625" style="11" customWidth="1"/>
    <col min="7842" max="7842" width="9.25" style="11" bestFit="1" customWidth="1"/>
    <col min="7843" max="7843" width="9" style="11"/>
    <col min="7844" max="7844" width="40.5" style="11" customWidth="1"/>
    <col min="7845" max="7846" width="6.25" style="11" customWidth="1"/>
    <col min="7847" max="7852" width="6.625" style="11" customWidth="1"/>
    <col min="7853" max="7902" width="9.25" style="11" customWidth="1"/>
    <col min="7903" max="7903" width="2.625" style="11" customWidth="1"/>
    <col min="7904" max="8096" width="9" style="11"/>
    <col min="8097" max="8097" width="2.625" style="11" customWidth="1"/>
    <col min="8098" max="8098" width="9.25" style="11" bestFit="1" customWidth="1"/>
    <col min="8099" max="8099" width="9" style="11"/>
    <col min="8100" max="8100" width="40.5" style="11" customWidth="1"/>
    <col min="8101" max="8102" width="6.25" style="11" customWidth="1"/>
    <col min="8103" max="8108" width="6.625" style="11" customWidth="1"/>
    <col min="8109" max="8158" width="9.25" style="11" customWidth="1"/>
    <col min="8159" max="8159" width="2.625" style="11" customWidth="1"/>
    <col min="8160" max="8352" width="9" style="11"/>
    <col min="8353" max="8353" width="2.625" style="11" customWidth="1"/>
    <col min="8354" max="8354" width="9.25" style="11" bestFit="1" customWidth="1"/>
    <col min="8355" max="8355" width="9" style="11"/>
    <col min="8356" max="8356" width="40.5" style="11" customWidth="1"/>
    <col min="8357" max="8358" width="6.25" style="11" customWidth="1"/>
    <col min="8359" max="8364" width="6.625" style="11" customWidth="1"/>
    <col min="8365" max="8414" width="9.25" style="11" customWidth="1"/>
    <col min="8415" max="8415" width="2.625" style="11" customWidth="1"/>
    <col min="8416" max="8608" width="9" style="11"/>
    <col min="8609" max="8609" width="2.625" style="11" customWidth="1"/>
    <col min="8610" max="8610" width="9.25" style="11" bestFit="1" customWidth="1"/>
    <col min="8611" max="8611" width="9" style="11"/>
    <col min="8612" max="8612" width="40.5" style="11" customWidth="1"/>
    <col min="8613" max="8614" width="6.25" style="11" customWidth="1"/>
    <col min="8615" max="8620" width="6.625" style="11" customWidth="1"/>
    <col min="8621" max="8670" width="9.25" style="11" customWidth="1"/>
    <col min="8671" max="8671" width="2.625" style="11" customWidth="1"/>
    <col min="8672" max="8864" width="9" style="11"/>
    <col min="8865" max="8865" width="2.625" style="11" customWidth="1"/>
    <col min="8866" max="8866" width="9.25" style="11" bestFit="1" customWidth="1"/>
    <col min="8867" max="8867" width="9" style="11"/>
    <col min="8868" max="8868" width="40.5" style="11" customWidth="1"/>
    <col min="8869" max="8870" width="6.25" style="11" customWidth="1"/>
    <col min="8871" max="8876" width="6.625" style="11" customWidth="1"/>
    <col min="8877" max="8926" width="9.25" style="11" customWidth="1"/>
    <col min="8927" max="8927" width="2.625" style="11" customWidth="1"/>
    <col min="8928" max="9120" width="9" style="11"/>
    <col min="9121" max="9121" width="2.625" style="11" customWidth="1"/>
    <col min="9122" max="9122" width="9.25" style="11" bestFit="1" customWidth="1"/>
    <col min="9123" max="9123" width="9" style="11"/>
    <col min="9124" max="9124" width="40.5" style="11" customWidth="1"/>
    <col min="9125" max="9126" width="6.25" style="11" customWidth="1"/>
    <col min="9127" max="9132" width="6.625" style="11" customWidth="1"/>
    <col min="9133" max="9182" width="9.25" style="11" customWidth="1"/>
    <col min="9183" max="9183" width="2.625" style="11" customWidth="1"/>
    <col min="9184" max="9376" width="9" style="11"/>
    <col min="9377" max="9377" width="2.625" style="11" customWidth="1"/>
    <col min="9378" max="9378" width="9.25" style="11" bestFit="1" customWidth="1"/>
    <col min="9379" max="9379" width="9" style="11"/>
    <col min="9380" max="9380" width="40.5" style="11" customWidth="1"/>
    <col min="9381" max="9382" width="6.25" style="11" customWidth="1"/>
    <col min="9383" max="9388" width="6.625" style="11" customWidth="1"/>
    <col min="9389" max="9438" width="9.25" style="11" customWidth="1"/>
    <col min="9439" max="9439" width="2.625" style="11" customWidth="1"/>
    <col min="9440" max="9632" width="9" style="11"/>
    <col min="9633" max="9633" width="2.625" style="11" customWidth="1"/>
    <col min="9634" max="9634" width="9.25" style="11" bestFit="1" customWidth="1"/>
    <col min="9635" max="9635" width="9" style="11"/>
    <col min="9636" max="9636" width="40.5" style="11" customWidth="1"/>
    <col min="9637" max="9638" width="6.25" style="11" customWidth="1"/>
    <col min="9639" max="9644" width="6.625" style="11" customWidth="1"/>
    <col min="9645" max="9694" width="9.25" style="11" customWidth="1"/>
    <col min="9695" max="9695" width="2.625" style="11" customWidth="1"/>
    <col min="9696" max="9888" width="9" style="11"/>
    <col min="9889" max="9889" width="2.625" style="11" customWidth="1"/>
    <col min="9890" max="9890" width="9.25" style="11" bestFit="1" customWidth="1"/>
    <col min="9891" max="9891" width="9" style="11"/>
    <col min="9892" max="9892" width="40.5" style="11" customWidth="1"/>
    <col min="9893" max="9894" width="6.25" style="11" customWidth="1"/>
    <col min="9895" max="9900" width="6.625" style="11" customWidth="1"/>
    <col min="9901" max="9950" width="9.25" style="11" customWidth="1"/>
    <col min="9951" max="9951" width="2.625" style="11" customWidth="1"/>
    <col min="9952" max="10144" width="9" style="11"/>
    <col min="10145" max="10145" width="2.625" style="11" customWidth="1"/>
    <col min="10146" max="10146" width="9.25" style="11" bestFit="1" customWidth="1"/>
    <col min="10147" max="10147" width="9" style="11"/>
    <col min="10148" max="10148" width="40.5" style="11" customWidth="1"/>
    <col min="10149" max="10150" width="6.25" style="11" customWidth="1"/>
    <col min="10151" max="10156" width="6.625" style="11" customWidth="1"/>
    <col min="10157" max="10206" width="9.25" style="11" customWidth="1"/>
    <col min="10207" max="10207" width="2.625" style="11" customWidth="1"/>
    <col min="10208" max="10400" width="9" style="11"/>
    <col min="10401" max="10401" width="2.625" style="11" customWidth="1"/>
    <col min="10402" max="10402" width="9.25" style="11" bestFit="1" customWidth="1"/>
    <col min="10403" max="10403" width="9" style="11"/>
    <col min="10404" max="10404" width="40.5" style="11" customWidth="1"/>
    <col min="10405" max="10406" width="6.25" style="11" customWidth="1"/>
    <col min="10407" max="10412" width="6.625" style="11" customWidth="1"/>
    <col min="10413" max="10462" width="9.25" style="11" customWidth="1"/>
    <col min="10463" max="10463" width="2.625" style="11" customWidth="1"/>
    <col min="10464" max="10656" width="9" style="11"/>
    <col min="10657" max="10657" width="2.625" style="11" customWidth="1"/>
    <col min="10658" max="10658" width="9.25" style="11" bestFit="1" customWidth="1"/>
    <col min="10659" max="10659" width="9" style="11"/>
    <col min="10660" max="10660" width="40.5" style="11" customWidth="1"/>
    <col min="10661" max="10662" width="6.25" style="11" customWidth="1"/>
    <col min="10663" max="10668" width="6.625" style="11" customWidth="1"/>
    <col min="10669" max="10718" width="9.25" style="11" customWidth="1"/>
    <col min="10719" max="10719" width="2.625" style="11" customWidth="1"/>
    <col min="10720" max="10912" width="9" style="11"/>
    <col min="10913" max="10913" width="2.625" style="11" customWidth="1"/>
    <col min="10914" max="10914" width="9.25" style="11" bestFit="1" customWidth="1"/>
    <col min="10915" max="10915" width="9" style="11"/>
    <col min="10916" max="10916" width="40.5" style="11" customWidth="1"/>
    <col min="10917" max="10918" width="6.25" style="11" customWidth="1"/>
    <col min="10919" max="10924" width="6.625" style="11" customWidth="1"/>
    <col min="10925" max="10974" width="9.25" style="11" customWidth="1"/>
    <col min="10975" max="10975" width="2.625" style="11" customWidth="1"/>
    <col min="10976" max="11168" width="9" style="11"/>
    <col min="11169" max="11169" width="2.625" style="11" customWidth="1"/>
    <col min="11170" max="11170" width="9.25" style="11" bestFit="1" customWidth="1"/>
    <col min="11171" max="11171" width="9" style="11"/>
    <col min="11172" max="11172" width="40.5" style="11" customWidth="1"/>
    <col min="11173" max="11174" width="6.25" style="11" customWidth="1"/>
    <col min="11175" max="11180" width="6.625" style="11" customWidth="1"/>
    <col min="11181" max="11230" width="9.25" style="11" customWidth="1"/>
    <col min="11231" max="11231" width="2.625" style="11" customWidth="1"/>
    <col min="11232" max="11424" width="9" style="11"/>
    <col min="11425" max="11425" width="2.625" style="11" customWidth="1"/>
    <col min="11426" max="11426" width="9.25" style="11" bestFit="1" customWidth="1"/>
    <col min="11427" max="11427" width="9" style="11"/>
    <col min="11428" max="11428" width="40.5" style="11" customWidth="1"/>
    <col min="11429" max="11430" width="6.25" style="11" customWidth="1"/>
    <col min="11431" max="11436" width="6.625" style="11" customWidth="1"/>
    <col min="11437" max="11486" width="9.25" style="11" customWidth="1"/>
    <col min="11487" max="11487" width="2.625" style="11" customWidth="1"/>
    <col min="11488" max="11680" width="9" style="11"/>
    <col min="11681" max="11681" width="2.625" style="11" customWidth="1"/>
    <col min="11682" max="11682" width="9.25" style="11" bestFit="1" customWidth="1"/>
    <col min="11683" max="11683" width="9" style="11"/>
    <col min="11684" max="11684" width="40.5" style="11" customWidth="1"/>
    <col min="11685" max="11686" width="6.25" style="11" customWidth="1"/>
    <col min="11687" max="11692" width="6.625" style="11" customWidth="1"/>
    <col min="11693" max="11742" width="9.25" style="11" customWidth="1"/>
    <col min="11743" max="11743" width="2.625" style="11" customWidth="1"/>
    <col min="11744" max="11936" width="9" style="11"/>
    <col min="11937" max="11937" width="2.625" style="11" customWidth="1"/>
    <col min="11938" max="11938" width="9.25" style="11" bestFit="1" customWidth="1"/>
    <col min="11939" max="11939" width="9" style="11"/>
    <col min="11940" max="11940" width="40.5" style="11" customWidth="1"/>
    <col min="11941" max="11942" width="6.25" style="11" customWidth="1"/>
    <col min="11943" max="11948" width="6.625" style="11" customWidth="1"/>
    <col min="11949" max="11998" width="9.25" style="11" customWidth="1"/>
    <col min="11999" max="11999" width="2.625" style="11" customWidth="1"/>
    <col min="12000" max="12192" width="9" style="11"/>
    <col min="12193" max="12193" width="2.625" style="11" customWidth="1"/>
    <col min="12194" max="12194" width="9.25" style="11" bestFit="1" customWidth="1"/>
    <col min="12195" max="12195" width="9" style="11"/>
    <col min="12196" max="12196" width="40.5" style="11" customWidth="1"/>
    <col min="12197" max="12198" width="6.25" style="11" customWidth="1"/>
    <col min="12199" max="12204" width="6.625" style="11" customWidth="1"/>
    <col min="12205" max="12254" width="9.25" style="11" customWidth="1"/>
    <col min="12255" max="12255" width="2.625" style="11" customWidth="1"/>
    <col min="12256" max="12448" width="9" style="11"/>
    <col min="12449" max="12449" width="2.625" style="11" customWidth="1"/>
    <col min="12450" max="12450" width="9.25" style="11" bestFit="1" customWidth="1"/>
    <col min="12451" max="12451" width="9" style="11"/>
    <col min="12452" max="12452" width="40.5" style="11" customWidth="1"/>
    <col min="12453" max="12454" width="6.25" style="11" customWidth="1"/>
    <col min="12455" max="12460" width="6.625" style="11" customWidth="1"/>
    <col min="12461" max="12510" width="9.25" style="11" customWidth="1"/>
    <col min="12511" max="12511" width="2.625" style="11" customWidth="1"/>
    <col min="12512" max="12704" width="9" style="11"/>
    <col min="12705" max="12705" width="2.625" style="11" customWidth="1"/>
    <col min="12706" max="12706" width="9.25" style="11" bestFit="1" customWidth="1"/>
    <col min="12707" max="12707" width="9" style="11"/>
    <col min="12708" max="12708" width="40.5" style="11" customWidth="1"/>
    <col min="12709" max="12710" width="6.25" style="11" customWidth="1"/>
    <col min="12711" max="12716" width="6.625" style="11" customWidth="1"/>
    <col min="12717" max="12766" width="9.25" style="11" customWidth="1"/>
    <col min="12767" max="12767" width="2.625" style="11" customWidth="1"/>
    <col min="12768" max="12960" width="9" style="11"/>
    <col min="12961" max="12961" width="2.625" style="11" customWidth="1"/>
    <col min="12962" max="12962" width="9.25" style="11" bestFit="1" customWidth="1"/>
    <col min="12963" max="12963" width="9" style="11"/>
    <col min="12964" max="12964" width="40.5" style="11" customWidth="1"/>
    <col min="12965" max="12966" width="6.25" style="11" customWidth="1"/>
    <col min="12967" max="12972" width="6.625" style="11" customWidth="1"/>
    <col min="12973" max="13022" width="9.25" style="11" customWidth="1"/>
    <col min="13023" max="13023" width="2.625" style="11" customWidth="1"/>
    <col min="13024" max="13216" width="9" style="11"/>
    <col min="13217" max="13217" width="2.625" style="11" customWidth="1"/>
    <col min="13218" max="13218" width="9.25" style="11" bestFit="1" customWidth="1"/>
    <col min="13219" max="13219" width="9" style="11"/>
    <col min="13220" max="13220" width="40.5" style="11" customWidth="1"/>
    <col min="13221" max="13222" width="6.25" style="11" customWidth="1"/>
    <col min="13223" max="13228" width="6.625" style="11" customWidth="1"/>
    <col min="13229" max="13278" width="9.25" style="11" customWidth="1"/>
    <col min="13279" max="13279" width="2.625" style="11" customWidth="1"/>
    <col min="13280" max="13472" width="9" style="11"/>
    <col min="13473" max="13473" width="2.625" style="11" customWidth="1"/>
    <col min="13474" max="13474" width="9.25" style="11" bestFit="1" customWidth="1"/>
    <col min="13475" max="13475" width="9" style="11"/>
    <col min="13476" max="13476" width="40.5" style="11" customWidth="1"/>
    <col min="13477" max="13478" width="6.25" style="11" customWidth="1"/>
    <col min="13479" max="13484" width="6.625" style="11" customWidth="1"/>
    <col min="13485" max="13534" width="9.25" style="11" customWidth="1"/>
    <col min="13535" max="13535" width="2.625" style="11" customWidth="1"/>
    <col min="13536" max="13728" width="9" style="11"/>
    <col min="13729" max="13729" width="2.625" style="11" customWidth="1"/>
    <col min="13730" max="13730" width="9.25" style="11" bestFit="1" customWidth="1"/>
    <col min="13731" max="13731" width="9" style="11"/>
    <col min="13732" max="13732" width="40.5" style="11" customWidth="1"/>
    <col min="13733" max="13734" width="6.25" style="11" customWidth="1"/>
    <col min="13735" max="13740" width="6.625" style="11" customWidth="1"/>
    <col min="13741" max="13790" width="9.25" style="11" customWidth="1"/>
    <col min="13791" max="13791" width="2.625" style="11" customWidth="1"/>
    <col min="13792" max="13984" width="9" style="11"/>
    <col min="13985" max="13985" width="2.625" style="11" customWidth="1"/>
    <col min="13986" max="13986" width="9.25" style="11" bestFit="1" customWidth="1"/>
    <col min="13987" max="13987" width="9" style="11"/>
    <col min="13988" max="13988" width="40.5" style="11" customWidth="1"/>
    <col min="13989" max="13990" width="6.25" style="11" customWidth="1"/>
    <col min="13991" max="13996" width="6.625" style="11" customWidth="1"/>
    <col min="13997" max="14046" width="9.25" style="11" customWidth="1"/>
    <col min="14047" max="14047" width="2.625" style="11" customWidth="1"/>
    <col min="14048" max="14240" width="9" style="11"/>
    <col min="14241" max="14241" width="2.625" style="11" customWidth="1"/>
    <col min="14242" max="14242" width="9.25" style="11" bestFit="1" customWidth="1"/>
    <col min="14243" max="14243" width="9" style="11"/>
    <col min="14244" max="14244" width="40.5" style="11" customWidth="1"/>
    <col min="14245" max="14246" width="6.25" style="11" customWidth="1"/>
    <col min="14247" max="14252" width="6.625" style="11" customWidth="1"/>
    <col min="14253" max="14302" width="9.25" style="11" customWidth="1"/>
    <col min="14303" max="14303" width="2.625" style="11" customWidth="1"/>
    <col min="14304" max="14496" width="9" style="11"/>
    <col min="14497" max="14497" width="2.625" style="11" customWidth="1"/>
    <col min="14498" max="14498" width="9.25" style="11" bestFit="1" customWidth="1"/>
    <col min="14499" max="14499" width="9" style="11"/>
    <col min="14500" max="14500" width="40.5" style="11" customWidth="1"/>
    <col min="14501" max="14502" width="6.25" style="11" customWidth="1"/>
    <col min="14503" max="14508" width="6.625" style="11" customWidth="1"/>
    <col min="14509" max="14558" width="9.25" style="11" customWidth="1"/>
    <col min="14559" max="14559" width="2.625" style="11" customWidth="1"/>
    <col min="14560" max="14752" width="9" style="11"/>
    <col min="14753" max="14753" width="2.625" style="11" customWidth="1"/>
    <col min="14754" max="14754" width="9.25" style="11" bestFit="1" customWidth="1"/>
    <col min="14755" max="14755" width="9" style="11"/>
    <col min="14756" max="14756" width="40.5" style="11" customWidth="1"/>
    <col min="14757" max="14758" width="6.25" style="11" customWidth="1"/>
    <col min="14759" max="14764" width="6.625" style="11" customWidth="1"/>
    <col min="14765" max="14814" width="9.25" style="11" customWidth="1"/>
    <col min="14815" max="14815" width="2.625" style="11" customWidth="1"/>
    <col min="14816" max="15008" width="9" style="11"/>
    <col min="15009" max="15009" width="2.625" style="11" customWidth="1"/>
    <col min="15010" max="15010" width="9.25" style="11" bestFit="1" customWidth="1"/>
    <col min="15011" max="15011" width="9" style="11"/>
    <col min="15012" max="15012" width="40.5" style="11" customWidth="1"/>
    <col min="15013" max="15014" width="6.25" style="11" customWidth="1"/>
    <col min="15015" max="15020" width="6.625" style="11" customWidth="1"/>
    <col min="15021" max="15070" width="9.25" style="11" customWidth="1"/>
    <col min="15071" max="15071" width="2.625" style="11" customWidth="1"/>
    <col min="15072" max="15264" width="9" style="11"/>
    <col min="15265" max="15265" width="2.625" style="11" customWidth="1"/>
    <col min="15266" max="15266" width="9.25" style="11" bestFit="1" customWidth="1"/>
    <col min="15267" max="15267" width="9" style="11"/>
    <col min="15268" max="15268" width="40.5" style="11" customWidth="1"/>
    <col min="15269" max="15270" width="6.25" style="11" customWidth="1"/>
    <col min="15271" max="15276" width="6.625" style="11" customWidth="1"/>
    <col min="15277" max="15326" width="9.25" style="11" customWidth="1"/>
    <col min="15327" max="15327" width="2.625" style="11" customWidth="1"/>
    <col min="15328" max="15520" width="9" style="11"/>
    <col min="15521" max="15521" width="2.625" style="11" customWidth="1"/>
    <col min="15522" max="15522" width="9.25" style="11" bestFit="1" customWidth="1"/>
    <col min="15523" max="15523" width="9" style="11"/>
    <col min="15524" max="15524" width="40.5" style="11" customWidth="1"/>
    <col min="15525" max="15526" width="6.25" style="11" customWidth="1"/>
    <col min="15527" max="15532" width="6.625" style="11" customWidth="1"/>
    <col min="15533" max="15582" width="9.25" style="11" customWidth="1"/>
    <col min="15583" max="15583" width="2.625" style="11" customWidth="1"/>
    <col min="15584" max="15776" width="9" style="11"/>
    <col min="15777" max="15777" width="2.625" style="11" customWidth="1"/>
    <col min="15778" max="15778" width="9.25" style="11" bestFit="1" customWidth="1"/>
    <col min="15779" max="15779" width="9" style="11"/>
    <col min="15780" max="15780" width="40.5" style="11" customWidth="1"/>
    <col min="15781" max="15782" width="6.25" style="11" customWidth="1"/>
    <col min="15783" max="15788" width="6.625" style="11" customWidth="1"/>
    <col min="15789" max="15838" width="9.25" style="11" customWidth="1"/>
    <col min="15839" max="15839" width="2.625" style="11" customWidth="1"/>
    <col min="15840" max="16032" width="9" style="11"/>
    <col min="16033" max="16033" width="2.625" style="11" customWidth="1"/>
    <col min="16034" max="16034" width="9.25" style="11" bestFit="1" customWidth="1"/>
    <col min="16035" max="16035" width="9" style="11"/>
    <col min="16036" max="16036" width="40.5" style="11" customWidth="1"/>
    <col min="16037" max="16038" width="6.25" style="11" customWidth="1"/>
    <col min="16039" max="16044" width="6.625" style="11" customWidth="1"/>
    <col min="16045" max="16094" width="9.25" style="11" customWidth="1"/>
    <col min="16095" max="16095" width="2.625" style="11" customWidth="1"/>
    <col min="16096" max="16308" width="9" style="11"/>
    <col min="16309" max="16373" width="9" style="11" customWidth="1"/>
    <col min="16374" max="16374" width="9" style="11"/>
    <col min="16375" max="16384" width="9" style="11" customWidth="1"/>
  </cols>
  <sheetData>
    <row r="1" spans="1:12" s="4" customFormat="1" ht="13.5" x14ac:dyDescent="0.3">
      <c r="L1" s="42"/>
    </row>
    <row r="2" spans="1:12" s="9" customFormat="1" ht="18" customHeight="1" x14ac:dyDescent="0.3">
      <c r="A2" s="27" t="s">
        <v>551</v>
      </c>
      <c r="B2" s="8"/>
      <c r="C2" s="8"/>
      <c r="D2" s="8"/>
      <c r="E2" s="8"/>
      <c r="F2" s="8"/>
      <c r="G2" s="8"/>
      <c r="H2" s="8"/>
      <c r="I2" s="8"/>
      <c r="J2" s="8"/>
      <c r="K2" s="8"/>
      <c r="L2" s="8"/>
    </row>
    <row r="3" spans="1:12" s="9" customFormat="1" ht="5.0999999999999996" customHeight="1" thickBot="1" x14ac:dyDescent="0.35">
      <c r="A3" s="122"/>
      <c r="B3" s="123"/>
      <c r="C3" s="123"/>
      <c r="D3" s="123"/>
      <c r="E3" s="123"/>
      <c r="F3" s="123"/>
      <c r="G3" s="123"/>
      <c r="H3" s="123"/>
      <c r="I3" s="123"/>
      <c r="J3" s="123"/>
      <c r="K3" s="123"/>
      <c r="L3" s="123"/>
    </row>
    <row r="4" spans="1:12" x14ac:dyDescent="0.3">
      <c r="A4" s="224" t="s">
        <v>72</v>
      </c>
      <c r="B4" s="225"/>
      <c r="C4" s="225"/>
      <c r="D4" s="225" t="s">
        <v>73</v>
      </c>
      <c r="E4" s="225" t="s">
        <v>74</v>
      </c>
      <c r="F4" s="225" t="s">
        <v>75</v>
      </c>
      <c r="G4" s="225"/>
      <c r="H4" s="225"/>
      <c r="I4" s="225"/>
      <c r="J4" s="227"/>
      <c r="K4" s="227"/>
      <c r="L4" s="228" t="str">
        <f ca="1">HYPERLINK("[" &amp; MID(CELL("filename"),SEARCH("[",CELL("filename"))+1, SEARCH("]",CELL("filename"))-SEARCH("[",CELL("filename"))-1) &amp; "]'" &amp; INDIRECT(ADDRESS(COLUMN()-5,2,1,TRUE,"점검대상")) &amp; "'!A1",INDIRECT(ADDRESS(COLUMN()-5,2,1,TRUE,"점검대상")))</f>
        <v>test_UNIX</v>
      </c>
    </row>
    <row r="5" spans="1:12" ht="17.25" thickBot="1" x14ac:dyDescent="0.35">
      <c r="A5" s="124" t="s">
        <v>76</v>
      </c>
      <c r="B5" s="125" t="s">
        <v>77</v>
      </c>
      <c r="C5" s="125" t="s">
        <v>78</v>
      </c>
      <c r="D5" s="226"/>
      <c r="E5" s="226"/>
      <c r="F5" s="125" t="s">
        <v>79</v>
      </c>
      <c r="G5" s="125" t="s">
        <v>44</v>
      </c>
      <c r="H5" s="125" t="s">
        <v>80</v>
      </c>
      <c r="I5" s="125" t="s">
        <v>81</v>
      </c>
      <c r="J5" s="126" t="s">
        <v>47</v>
      </c>
      <c r="K5" s="126" t="s">
        <v>82</v>
      </c>
      <c r="L5" s="229"/>
    </row>
    <row r="6" spans="1:12" ht="16.5" customHeight="1" x14ac:dyDescent="0.3">
      <c r="A6" s="221" t="s">
        <v>52</v>
      </c>
      <c r="B6" s="100" t="s">
        <v>303</v>
      </c>
      <c r="C6" s="127" t="s">
        <v>307</v>
      </c>
      <c r="D6" s="102" t="s">
        <v>85</v>
      </c>
      <c r="E6" s="165">
        <f>IF(D6="상",10,IF(D6="중",8,6))</f>
        <v>10</v>
      </c>
      <c r="F6" s="102">
        <f ca="1">COUNTA($L6:INDIRECT(ADDRESS(ROW(),MATCH("",$4:$4,-1),1,1)))</f>
        <v>1</v>
      </c>
      <c r="G6" s="102">
        <f ca="1">F6-K6</f>
        <v>1</v>
      </c>
      <c r="H6" s="102">
        <f ca="1">COUNTIF($L6:INDIRECT(ADDRESS(ROW(),MATCH("",$4:$4,-1),1,1)),H$5)</f>
        <v>0</v>
      </c>
      <c r="I6" s="102">
        <f ca="1">COUNTIF($L6:INDIRECT(ADDRESS(ROW(),MATCH("",$4:$4,-1),1,1)),I$5)</f>
        <v>0</v>
      </c>
      <c r="J6" s="102">
        <f ca="1">COUNTIF($L6:INDIRECT(ADDRESS(ROW(),MATCH("",$4:$4,-1),1,1)),J$5)</f>
        <v>0</v>
      </c>
      <c r="K6" s="128">
        <f ca="1">COUNTIF($L6:INDIRECT(ADDRESS(ROW(),MATCH("",$4:$4,-1),1,1)),"N/A")</f>
        <v>0</v>
      </c>
      <c r="L6" s="129" t="str">
        <f t="shared" ref="L6:L69" ca="1" si="0">IFERROR(INDIRECT(ADDRESS(ROW()+22,15,1,TRUE,L$4)),"")</f>
        <v/>
      </c>
    </row>
    <row r="7" spans="1:12" ht="16.5" customHeight="1" x14ac:dyDescent="0.3">
      <c r="A7" s="222"/>
      <c r="B7" s="100" t="s">
        <v>304</v>
      </c>
      <c r="C7" s="87" t="s">
        <v>378</v>
      </c>
      <c r="D7" s="128" t="s">
        <v>85</v>
      </c>
      <c r="E7" s="165">
        <f t="shared" ref="E7:E70" si="1">IF(D7="상",10,IF(D7="중",8,6))</f>
        <v>10</v>
      </c>
      <c r="F7" s="128">
        <f ca="1">COUNTA($L7:INDIRECT(ADDRESS(ROW(),MATCH("",$4:$4,-1),1,1)))</f>
        <v>1</v>
      </c>
      <c r="G7" s="128">
        <f t="shared" ref="G7:G63" ca="1" si="2">F7-K7</f>
        <v>1</v>
      </c>
      <c r="H7" s="128">
        <f ca="1">COUNTIF($L7:INDIRECT(ADDRESS(ROW(),MATCH("",$4:$4,-1),1,1)),H$5)</f>
        <v>0</v>
      </c>
      <c r="I7" s="128">
        <f ca="1">COUNTIF($L7:INDIRECT(ADDRESS(ROW(),MATCH("",$4:$4,-1),1,1)),I$5)</f>
        <v>0</v>
      </c>
      <c r="J7" s="128">
        <f ca="1">COUNTIF($L7:INDIRECT(ADDRESS(ROW(),MATCH("",$4:$4,-1),1,1)),J$5)</f>
        <v>0</v>
      </c>
      <c r="K7" s="128">
        <f ca="1">COUNTIF($L7:INDIRECT(ADDRESS(ROW(),MATCH("",$4:$4,-1),1,1)),"N/A")</f>
        <v>0</v>
      </c>
      <c r="L7" s="129" t="str">
        <f t="shared" ca="1" si="0"/>
        <v/>
      </c>
    </row>
    <row r="8" spans="1:12" ht="16.5" customHeight="1" x14ac:dyDescent="0.3">
      <c r="A8" s="222"/>
      <c r="B8" s="100" t="s">
        <v>305</v>
      </c>
      <c r="C8" s="87" t="s">
        <v>308</v>
      </c>
      <c r="D8" s="128" t="s">
        <v>85</v>
      </c>
      <c r="E8" s="165">
        <f t="shared" si="1"/>
        <v>10</v>
      </c>
      <c r="F8" s="128">
        <f ca="1">COUNTA($L8:INDIRECT(ADDRESS(ROW(),MATCH("",$4:$4,-1),1,1)))</f>
        <v>1</v>
      </c>
      <c r="G8" s="128">
        <f t="shared" ca="1" si="2"/>
        <v>1</v>
      </c>
      <c r="H8" s="128">
        <f ca="1">COUNTIF($L8:INDIRECT(ADDRESS(ROW(),MATCH("",$4:$4,-1),1,1)),H$5)</f>
        <v>0</v>
      </c>
      <c r="I8" s="128">
        <f ca="1">COUNTIF($L8:INDIRECT(ADDRESS(ROW(),MATCH("",$4:$4,-1),1,1)),I$5)</f>
        <v>0</v>
      </c>
      <c r="J8" s="128">
        <f ca="1">COUNTIF($L8:INDIRECT(ADDRESS(ROW(),MATCH("",$4:$4,-1),1,1)),J$5)</f>
        <v>0</v>
      </c>
      <c r="K8" s="128">
        <f ca="1">COUNTIF($L8:INDIRECT(ADDRESS(ROW(),MATCH("",$4:$4,-1),1,1)),"N/A")</f>
        <v>0</v>
      </c>
      <c r="L8" s="129" t="str">
        <f t="shared" ca="1" si="0"/>
        <v/>
      </c>
    </row>
    <row r="9" spans="1:12" ht="16.5" customHeight="1" x14ac:dyDescent="0.3">
      <c r="A9" s="222"/>
      <c r="B9" s="100" t="s">
        <v>306</v>
      </c>
      <c r="C9" s="87" t="s">
        <v>379</v>
      </c>
      <c r="D9" s="128" t="s">
        <v>85</v>
      </c>
      <c r="E9" s="165">
        <f t="shared" si="1"/>
        <v>10</v>
      </c>
      <c r="F9" s="128">
        <f ca="1">COUNTA($L9:INDIRECT(ADDRESS(ROW(),MATCH("",$4:$4,-1),1,1)))</f>
        <v>1</v>
      </c>
      <c r="G9" s="128">
        <f t="shared" ca="1" si="2"/>
        <v>1</v>
      </c>
      <c r="H9" s="128">
        <f ca="1">COUNTIF($L9:INDIRECT(ADDRESS(ROW(),MATCH("",$4:$4,-1),1,1)),H$5)</f>
        <v>0</v>
      </c>
      <c r="I9" s="128">
        <f ca="1">COUNTIF($L9:INDIRECT(ADDRESS(ROW(),MATCH("",$4:$4,-1),1,1)),I$5)</f>
        <v>0</v>
      </c>
      <c r="J9" s="128">
        <f ca="1">COUNTIF($L9:INDIRECT(ADDRESS(ROW(),MATCH("",$4:$4,-1),1,1)),J$5)</f>
        <v>0</v>
      </c>
      <c r="K9" s="128">
        <f ca="1">COUNTIF($L9:INDIRECT(ADDRESS(ROW(),MATCH("",$4:$4,-1),1,1)),"N/A")</f>
        <v>0</v>
      </c>
      <c r="L9" s="129" t="str">
        <f t="shared" ca="1" si="0"/>
        <v/>
      </c>
    </row>
    <row r="10" spans="1:12" ht="16.5" customHeight="1" x14ac:dyDescent="0.3">
      <c r="A10" s="222"/>
      <c r="B10" s="100" t="s">
        <v>89</v>
      </c>
      <c r="C10" s="87" t="s">
        <v>90</v>
      </c>
      <c r="D10" s="128" t="s">
        <v>85</v>
      </c>
      <c r="E10" s="165">
        <f t="shared" si="1"/>
        <v>10</v>
      </c>
      <c r="F10" s="128">
        <f ca="1">COUNTA($L10:INDIRECT(ADDRESS(ROW(),MATCH("",$4:$4,-1),1,1)))</f>
        <v>1</v>
      </c>
      <c r="G10" s="128">
        <f t="shared" ref="G10" ca="1" si="3">F10-K10</f>
        <v>1</v>
      </c>
      <c r="H10" s="128">
        <f ca="1">COUNTIF($L10:INDIRECT(ADDRESS(ROW(),MATCH("",$4:$4,-1),1,1)),H$5)</f>
        <v>0</v>
      </c>
      <c r="I10" s="128">
        <f ca="1">COUNTIF($L10:INDIRECT(ADDRESS(ROW(),MATCH("",$4:$4,-1),1,1)),I$5)</f>
        <v>0</v>
      </c>
      <c r="J10" s="128">
        <f ca="1">COUNTIF($L10:INDIRECT(ADDRESS(ROW(),MATCH("",$4:$4,-1),1,1)),J$5)</f>
        <v>0</v>
      </c>
      <c r="K10" s="128">
        <f ca="1">COUNTIF($L10:INDIRECT(ADDRESS(ROW(),MATCH("",$4:$4,-1),1,1)),"N/A")</f>
        <v>0</v>
      </c>
      <c r="L10" s="129" t="str">
        <f t="shared" ca="1" si="0"/>
        <v/>
      </c>
    </row>
    <row r="11" spans="1:12" ht="16.5" customHeight="1" x14ac:dyDescent="0.3">
      <c r="A11" s="222"/>
      <c r="B11" s="100" t="s">
        <v>92</v>
      </c>
      <c r="C11" s="87" t="s">
        <v>380</v>
      </c>
      <c r="D11" s="128" t="s">
        <v>85</v>
      </c>
      <c r="E11" s="165">
        <f t="shared" si="1"/>
        <v>10</v>
      </c>
      <c r="F11" s="128">
        <f ca="1">COUNTA($L11:INDIRECT(ADDRESS(ROW(),MATCH("",$4:$4,-1),1,1)))</f>
        <v>1</v>
      </c>
      <c r="G11" s="128">
        <f t="shared" ref="G11" ca="1" si="4">F11-K11</f>
        <v>1</v>
      </c>
      <c r="H11" s="128">
        <f ca="1">COUNTIF($L11:INDIRECT(ADDRESS(ROW(),MATCH("",$4:$4,-1),1,1)),H$5)</f>
        <v>0</v>
      </c>
      <c r="I11" s="128">
        <f ca="1">COUNTIF($L11:INDIRECT(ADDRESS(ROW(),MATCH("",$4:$4,-1),1,1)),I$5)</f>
        <v>0</v>
      </c>
      <c r="J11" s="128">
        <f ca="1">COUNTIF($L11:INDIRECT(ADDRESS(ROW(),MATCH("",$4:$4,-1),1,1)),J$5)</f>
        <v>0</v>
      </c>
      <c r="K11" s="128">
        <f ca="1">COUNTIF($L11:INDIRECT(ADDRESS(ROW(),MATCH("",$4:$4,-1),1,1)),"N/A")</f>
        <v>0</v>
      </c>
      <c r="L11" s="129" t="str">
        <f t="shared" ca="1" si="0"/>
        <v/>
      </c>
    </row>
    <row r="12" spans="1:12" ht="16.5" customHeight="1" x14ac:dyDescent="0.3">
      <c r="A12" s="222"/>
      <c r="B12" s="100" t="s">
        <v>94</v>
      </c>
      <c r="C12" s="87" t="s">
        <v>236</v>
      </c>
      <c r="D12" s="128" t="s">
        <v>93</v>
      </c>
      <c r="E12" s="165">
        <f t="shared" si="1"/>
        <v>6</v>
      </c>
      <c r="F12" s="128">
        <f ca="1">COUNTA($L12:INDIRECT(ADDRESS(ROW(),MATCH("",$4:$4,-1),1,1)))</f>
        <v>1</v>
      </c>
      <c r="G12" s="128">
        <f t="shared" ca="1" si="2"/>
        <v>1</v>
      </c>
      <c r="H12" s="128">
        <f ca="1">COUNTIF($L12:INDIRECT(ADDRESS(ROW(),MATCH("",$4:$4,-1),1,1)),H$5)</f>
        <v>0</v>
      </c>
      <c r="I12" s="128">
        <f ca="1">COUNTIF($L12:INDIRECT(ADDRESS(ROW(),MATCH("",$4:$4,-1),1,1)),I$5)</f>
        <v>0</v>
      </c>
      <c r="J12" s="128">
        <f ca="1">COUNTIF($L12:INDIRECT(ADDRESS(ROW(),MATCH("",$4:$4,-1),1,1)),J$5)</f>
        <v>0</v>
      </c>
      <c r="K12" s="128">
        <f ca="1">COUNTIF($L12:INDIRECT(ADDRESS(ROW(),MATCH("",$4:$4,-1),1,1)),"N/A")</f>
        <v>0</v>
      </c>
      <c r="L12" s="129" t="str">
        <f t="shared" ca="1" si="0"/>
        <v/>
      </c>
    </row>
    <row r="13" spans="1:12" ht="16.5" customHeight="1" x14ac:dyDescent="0.3">
      <c r="A13" s="222"/>
      <c r="B13" s="100" t="s">
        <v>95</v>
      </c>
      <c r="C13" s="87" t="s">
        <v>100</v>
      </c>
      <c r="D13" s="128" t="s">
        <v>91</v>
      </c>
      <c r="E13" s="165">
        <f t="shared" si="1"/>
        <v>8</v>
      </c>
      <c r="F13" s="128">
        <f ca="1">COUNTA($L13:INDIRECT(ADDRESS(ROW(),MATCH("",$4:$4,-1),1,1)))</f>
        <v>1</v>
      </c>
      <c r="G13" s="128">
        <f t="shared" ref="G13" ca="1" si="5">F13-K13</f>
        <v>1</v>
      </c>
      <c r="H13" s="128">
        <f ca="1">COUNTIF($L13:INDIRECT(ADDRESS(ROW(),MATCH("",$4:$4,-1),1,1)),H$5)</f>
        <v>0</v>
      </c>
      <c r="I13" s="128">
        <f ca="1">COUNTIF($L13:INDIRECT(ADDRESS(ROW(),MATCH("",$4:$4,-1),1,1)),I$5)</f>
        <v>0</v>
      </c>
      <c r="J13" s="128">
        <f ca="1">COUNTIF($L13:INDIRECT(ADDRESS(ROW(),MATCH("",$4:$4,-1),1,1)),J$5)</f>
        <v>0</v>
      </c>
      <c r="K13" s="128">
        <f ca="1">COUNTIF($L13:INDIRECT(ADDRESS(ROW(),MATCH("",$4:$4,-1),1,1)),"N/A")</f>
        <v>0</v>
      </c>
      <c r="L13" s="129" t="str">
        <f t="shared" ca="1" si="0"/>
        <v/>
      </c>
    </row>
    <row r="14" spans="1:12" ht="16.5" customHeight="1" x14ac:dyDescent="0.3">
      <c r="A14" s="222"/>
      <c r="B14" s="100" t="s">
        <v>96</v>
      </c>
      <c r="C14" s="87" t="s">
        <v>102</v>
      </c>
      <c r="D14" s="128" t="s">
        <v>93</v>
      </c>
      <c r="E14" s="165">
        <f t="shared" si="1"/>
        <v>6</v>
      </c>
      <c r="F14" s="128">
        <f ca="1">COUNTA($L14:INDIRECT(ADDRESS(ROW(),MATCH("",$4:$4,-1),1,1)))</f>
        <v>1</v>
      </c>
      <c r="G14" s="128">
        <f t="shared" ca="1" si="2"/>
        <v>1</v>
      </c>
      <c r="H14" s="128">
        <f ca="1">COUNTIF($L14:INDIRECT(ADDRESS(ROW(),MATCH("",$4:$4,-1),1,1)),H$5)</f>
        <v>0</v>
      </c>
      <c r="I14" s="128">
        <f ca="1">COUNTIF($L14:INDIRECT(ADDRESS(ROW(),MATCH("",$4:$4,-1),1,1)),I$5)</f>
        <v>0</v>
      </c>
      <c r="J14" s="128">
        <f ca="1">COUNTIF($L14:INDIRECT(ADDRESS(ROW(),MATCH("",$4:$4,-1),1,1)),J$5)</f>
        <v>0</v>
      </c>
      <c r="K14" s="128">
        <f ca="1">COUNTIF($L14:INDIRECT(ADDRESS(ROW(),MATCH("",$4:$4,-1),1,1)),"N/A")</f>
        <v>0</v>
      </c>
      <c r="L14" s="129" t="str">
        <f t="shared" ca="1" si="0"/>
        <v/>
      </c>
    </row>
    <row r="15" spans="1:12" ht="16.5" customHeight="1" x14ac:dyDescent="0.3">
      <c r="A15" s="222"/>
      <c r="B15" s="100" t="s">
        <v>97</v>
      </c>
      <c r="C15" s="87" t="s">
        <v>104</v>
      </c>
      <c r="D15" s="128" t="s">
        <v>91</v>
      </c>
      <c r="E15" s="165">
        <f t="shared" si="1"/>
        <v>8</v>
      </c>
      <c r="F15" s="128">
        <f ca="1">COUNTA($L15:INDIRECT(ADDRESS(ROW(),MATCH("",$4:$4,-1),1,1)))</f>
        <v>1</v>
      </c>
      <c r="G15" s="128">
        <f t="shared" ca="1" si="2"/>
        <v>1</v>
      </c>
      <c r="H15" s="128">
        <f ca="1">COUNTIF($L15:INDIRECT(ADDRESS(ROW(),MATCH("",$4:$4,-1),1,1)),H$5)</f>
        <v>0</v>
      </c>
      <c r="I15" s="128">
        <f ca="1">COUNTIF($L15:INDIRECT(ADDRESS(ROW(),MATCH("",$4:$4,-1),1,1)),I$5)</f>
        <v>0</v>
      </c>
      <c r="J15" s="128">
        <f ca="1">COUNTIF($L15:INDIRECT(ADDRESS(ROW(),MATCH("",$4:$4,-1),1,1)),J$5)</f>
        <v>0</v>
      </c>
      <c r="K15" s="128">
        <f ca="1">COUNTIF($L15:INDIRECT(ADDRESS(ROW(),MATCH("",$4:$4,-1),1,1)),"N/A")</f>
        <v>0</v>
      </c>
      <c r="L15" s="129" t="str">
        <f t="shared" ca="1" si="0"/>
        <v/>
      </c>
    </row>
    <row r="16" spans="1:12" ht="16.5" customHeight="1" x14ac:dyDescent="0.3">
      <c r="A16" s="222"/>
      <c r="B16" s="100" t="s">
        <v>99</v>
      </c>
      <c r="C16" s="87" t="s">
        <v>106</v>
      </c>
      <c r="D16" s="128" t="s">
        <v>93</v>
      </c>
      <c r="E16" s="165">
        <f t="shared" si="1"/>
        <v>6</v>
      </c>
      <c r="F16" s="128">
        <f ca="1">COUNTA($L16:INDIRECT(ADDRESS(ROW(),MATCH("",$4:$4,-1),1,1)))</f>
        <v>1</v>
      </c>
      <c r="G16" s="128">
        <f t="shared" ca="1" si="2"/>
        <v>1</v>
      </c>
      <c r="H16" s="128">
        <f ca="1">COUNTIF($L16:INDIRECT(ADDRESS(ROW(),MATCH("",$4:$4,-1),1,1)),H$5)</f>
        <v>0</v>
      </c>
      <c r="I16" s="128">
        <f ca="1">COUNTIF($L16:INDIRECT(ADDRESS(ROW(),MATCH("",$4:$4,-1),1,1)),I$5)</f>
        <v>0</v>
      </c>
      <c r="J16" s="128">
        <f ca="1">COUNTIF($L16:INDIRECT(ADDRESS(ROW(),MATCH("",$4:$4,-1),1,1)),J$5)</f>
        <v>0</v>
      </c>
      <c r="K16" s="128">
        <f ca="1">COUNTIF($L16:INDIRECT(ADDRESS(ROW(),MATCH("",$4:$4,-1),1,1)),"N/A")</f>
        <v>0</v>
      </c>
      <c r="L16" s="129" t="str">
        <f t="shared" ca="1" si="0"/>
        <v/>
      </c>
    </row>
    <row r="17" spans="1:12" ht="16.5" customHeight="1" x14ac:dyDescent="0.3">
      <c r="A17" s="222"/>
      <c r="B17" s="100" t="s">
        <v>101</v>
      </c>
      <c r="C17" s="87" t="s">
        <v>381</v>
      </c>
      <c r="D17" s="128" t="s">
        <v>93</v>
      </c>
      <c r="E17" s="165">
        <f t="shared" si="1"/>
        <v>6</v>
      </c>
      <c r="F17" s="128">
        <f ca="1">COUNTA($L17:INDIRECT(ADDRESS(ROW(),MATCH("",$4:$4,-1),1,1)))</f>
        <v>1</v>
      </c>
      <c r="G17" s="128">
        <f t="shared" ca="1" si="2"/>
        <v>1</v>
      </c>
      <c r="H17" s="128">
        <f ca="1">COUNTIF($L17:INDIRECT(ADDRESS(ROW(),MATCH("",$4:$4,-1),1,1)),H$5)</f>
        <v>0</v>
      </c>
      <c r="I17" s="128">
        <f ca="1">COUNTIF($L17:INDIRECT(ADDRESS(ROW(),MATCH("",$4:$4,-1),1,1)),I$5)</f>
        <v>0</v>
      </c>
      <c r="J17" s="128">
        <f ca="1">COUNTIF($L17:INDIRECT(ADDRESS(ROW(),MATCH("",$4:$4,-1),1,1)),J$5)</f>
        <v>0</v>
      </c>
      <c r="K17" s="128">
        <f ca="1">COUNTIF($L17:INDIRECT(ADDRESS(ROW(),MATCH("",$4:$4,-1),1,1)),"N/A")</f>
        <v>0</v>
      </c>
      <c r="L17" s="129" t="str">
        <f t="shared" ca="1" si="0"/>
        <v/>
      </c>
    </row>
    <row r="18" spans="1:12" ht="16.5" customHeight="1" thickBot="1" x14ac:dyDescent="0.35">
      <c r="A18" s="223"/>
      <c r="B18" s="106" t="s">
        <v>103</v>
      </c>
      <c r="C18" s="130" t="s">
        <v>382</v>
      </c>
      <c r="D18" s="128" t="s">
        <v>91</v>
      </c>
      <c r="E18" s="163">
        <f t="shared" si="1"/>
        <v>8</v>
      </c>
      <c r="F18" s="128">
        <f ca="1">COUNTA($L18:INDIRECT(ADDRESS(ROW(),MATCH("",$4:$4,-1),1,1)))</f>
        <v>1</v>
      </c>
      <c r="G18" s="128">
        <f t="shared" ref="G18" ca="1" si="6">F18-K18</f>
        <v>1</v>
      </c>
      <c r="H18" s="128">
        <f ca="1">COUNTIF($L18:INDIRECT(ADDRESS(ROW(),MATCH("",$4:$4,-1),1,1)),H$5)</f>
        <v>0</v>
      </c>
      <c r="I18" s="128">
        <f ca="1">COUNTIF($L18:INDIRECT(ADDRESS(ROW(),MATCH("",$4:$4,-1),1,1)),I$5)</f>
        <v>0</v>
      </c>
      <c r="J18" s="128">
        <f ca="1">COUNTIF($L18:INDIRECT(ADDRESS(ROW(),MATCH("",$4:$4,-1),1,1)),J$5)</f>
        <v>0</v>
      </c>
      <c r="K18" s="128">
        <f ca="1">COUNTIF($L18:INDIRECT(ADDRESS(ROW(),MATCH("",$4:$4,-1),1,1)),"N/A")</f>
        <v>0</v>
      </c>
      <c r="L18" s="150" t="str">
        <f t="shared" ca="1" si="0"/>
        <v/>
      </c>
    </row>
    <row r="19" spans="1:12" ht="16.5" customHeight="1" x14ac:dyDescent="0.3">
      <c r="A19" s="212" t="s">
        <v>53</v>
      </c>
      <c r="B19" s="131" t="s">
        <v>105</v>
      </c>
      <c r="C19" s="127" t="s">
        <v>109</v>
      </c>
      <c r="D19" s="102" t="s">
        <v>85</v>
      </c>
      <c r="E19" s="166">
        <f t="shared" si="1"/>
        <v>10</v>
      </c>
      <c r="F19" s="102">
        <f ca="1">COUNTA($L19:INDIRECT(ADDRESS(ROW(),MATCH("",$4:$4,-1),1,1)))</f>
        <v>1</v>
      </c>
      <c r="G19" s="102">
        <f t="shared" ca="1" si="2"/>
        <v>1</v>
      </c>
      <c r="H19" s="102">
        <f ca="1">COUNTIF($L19:INDIRECT(ADDRESS(ROW(),MATCH("",$4:$4,-1),1,1)),H$5)</f>
        <v>0</v>
      </c>
      <c r="I19" s="102">
        <f ca="1">COUNTIF($L19:INDIRECT(ADDRESS(ROW(),MATCH("",$4:$4,-1),1,1)),I$5)</f>
        <v>0</v>
      </c>
      <c r="J19" s="102">
        <f ca="1">COUNTIF($L19:INDIRECT(ADDRESS(ROW(),MATCH("",$4:$4,-1),1,1)),J$5)</f>
        <v>0</v>
      </c>
      <c r="K19" s="132">
        <f ca="1">COUNTIF($L19:INDIRECT(ADDRESS(ROW(),MATCH("",$4:$4,-1),1,1)),"N/A")</f>
        <v>0</v>
      </c>
      <c r="L19" s="149" t="str">
        <f t="shared" ca="1" si="0"/>
        <v/>
      </c>
    </row>
    <row r="20" spans="1:12" ht="16.5" customHeight="1" x14ac:dyDescent="0.3">
      <c r="A20" s="213"/>
      <c r="B20" s="100" t="s">
        <v>107</v>
      </c>
      <c r="C20" s="87" t="s">
        <v>111</v>
      </c>
      <c r="D20" s="128" t="s">
        <v>85</v>
      </c>
      <c r="E20" s="166">
        <f t="shared" si="1"/>
        <v>10</v>
      </c>
      <c r="F20" s="128">
        <f ca="1">COUNTA($L20:INDIRECT(ADDRESS(ROW(),MATCH("",$4:$4,-1),1,1)))</f>
        <v>1</v>
      </c>
      <c r="G20" s="128">
        <f t="shared" ca="1" si="2"/>
        <v>1</v>
      </c>
      <c r="H20" s="128">
        <f ca="1">COUNTIF($L20:INDIRECT(ADDRESS(ROW(),MATCH("",$4:$4,-1),1,1)),H$5)</f>
        <v>0</v>
      </c>
      <c r="I20" s="128">
        <f ca="1">COUNTIF($L20:INDIRECT(ADDRESS(ROW(),MATCH("",$4:$4,-1),1,1)),I$5)</f>
        <v>0</v>
      </c>
      <c r="J20" s="128">
        <f ca="1">COUNTIF($L20:INDIRECT(ADDRESS(ROW(),MATCH("",$4:$4,-1),1,1)),J$5)</f>
        <v>0</v>
      </c>
      <c r="K20" s="133">
        <f ca="1">COUNTIF($L20:INDIRECT(ADDRESS(ROW(),MATCH("",$4:$4,-1),1,1)),"N/A")</f>
        <v>0</v>
      </c>
      <c r="L20" s="129" t="str">
        <f t="shared" ca="1" si="0"/>
        <v/>
      </c>
    </row>
    <row r="21" spans="1:12" ht="16.5" customHeight="1" x14ac:dyDescent="0.3">
      <c r="A21" s="213"/>
      <c r="B21" s="100" t="s">
        <v>108</v>
      </c>
      <c r="C21" s="87" t="s">
        <v>113</v>
      </c>
      <c r="D21" s="128" t="s">
        <v>85</v>
      </c>
      <c r="E21" s="166">
        <f t="shared" si="1"/>
        <v>10</v>
      </c>
      <c r="F21" s="128">
        <f ca="1">COUNTA($L21:INDIRECT(ADDRESS(ROW(),MATCH("",$4:$4,-1),1,1)))</f>
        <v>1</v>
      </c>
      <c r="G21" s="128">
        <f t="shared" ca="1" si="2"/>
        <v>1</v>
      </c>
      <c r="H21" s="128">
        <f ca="1">COUNTIF($L21:INDIRECT(ADDRESS(ROW(),MATCH("",$4:$4,-1),1,1)),H$5)</f>
        <v>0</v>
      </c>
      <c r="I21" s="128">
        <f ca="1">COUNTIF($L21:INDIRECT(ADDRESS(ROW(),MATCH("",$4:$4,-1),1,1)),I$5)</f>
        <v>0</v>
      </c>
      <c r="J21" s="128">
        <f ca="1">COUNTIF($L21:INDIRECT(ADDRESS(ROW(),MATCH("",$4:$4,-1),1,1)),J$5)</f>
        <v>0</v>
      </c>
      <c r="K21" s="133">
        <f ca="1">COUNTIF($L21:INDIRECT(ADDRESS(ROW(),MATCH("",$4:$4,-1),1,1)),"N/A")</f>
        <v>0</v>
      </c>
      <c r="L21" s="129" t="str">
        <f t="shared" ca="1" si="0"/>
        <v/>
      </c>
    </row>
    <row r="22" spans="1:12" ht="16.5" customHeight="1" x14ac:dyDescent="0.3">
      <c r="A22" s="213"/>
      <c r="B22" s="100" t="s">
        <v>110</v>
      </c>
      <c r="C22" s="87" t="s">
        <v>383</v>
      </c>
      <c r="D22" s="128" t="s">
        <v>85</v>
      </c>
      <c r="E22" s="166">
        <f t="shared" si="1"/>
        <v>10</v>
      </c>
      <c r="F22" s="128">
        <f ca="1">COUNTA($L22:INDIRECT(ADDRESS(ROW(),MATCH("",$4:$4,-1),1,1)))</f>
        <v>1</v>
      </c>
      <c r="G22" s="128">
        <f t="shared" ref="G22" ca="1" si="7">F22-K22</f>
        <v>1</v>
      </c>
      <c r="H22" s="128">
        <f ca="1">COUNTIF($L22:INDIRECT(ADDRESS(ROW(),MATCH("",$4:$4,-1),1,1)),H$5)</f>
        <v>0</v>
      </c>
      <c r="I22" s="128">
        <f ca="1">COUNTIF($L22:INDIRECT(ADDRESS(ROW(),MATCH("",$4:$4,-1),1,1)),I$5)</f>
        <v>0</v>
      </c>
      <c r="J22" s="128">
        <f ca="1">COUNTIF($L22:INDIRECT(ADDRESS(ROW(),MATCH("",$4:$4,-1),1,1)),J$5)</f>
        <v>0</v>
      </c>
      <c r="K22" s="133">
        <f ca="1">COUNTIF($L22:INDIRECT(ADDRESS(ROW(),MATCH("",$4:$4,-1),1,1)),"N/A")</f>
        <v>0</v>
      </c>
      <c r="L22" s="129" t="str">
        <f t="shared" ca="1" si="0"/>
        <v/>
      </c>
    </row>
    <row r="23" spans="1:12" ht="16.5" customHeight="1" x14ac:dyDescent="0.3">
      <c r="A23" s="213"/>
      <c r="B23" s="100" t="s">
        <v>112</v>
      </c>
      <c r="C23" s="87" t="s">
        <v>115</v>
      </c>
      <c r="D23" s="128" t="s">
        <v>85</v>
      </c>
      <c r="E23" s="166">
        <f t="shared" si="1"/>
        <v>10</v>
      </c>
      <c r="F23" s="128">
        <f ca="1">COUNTA($L23:INDIRECT(ADDRESS(ROW(),MATCH("",$4:$4,-1),1,1)))</f>
        <v>1</v>
      </c>
      <c r="G23" s="128">
        <f t="shared" ca="1" si="2"/>
        <v>1</v>
      </c>
      <c r="H23" s="128">
        <f ca="1">COUNTIF($L23:INDIRECT(ADDRESS(ROW(),MATCH("",$4:$4,-1),1,1)),H$5)</f>
        <v>0</v>
      </c>
      <c r="I23" s="128">
        <f ca="1">COUNTIF($L23:INDIRECT(ADDRESS(ROW(),MATCH("",$4:$4,-1),1,1)),I$5)</f>
        <v>0</v>
      </c>
      <c r="J23" s="128">
        <f ca="1">COUNTIF($L23:INDIRECT(ADDRESS(ROW(),MATCH("",$4:$4,-1),1,1)),J$5)</f>
        <v>0</v>
      </c>
      <c r="K23" s="133">
        <f ca="1">COUNTIF($L23:INDIRECT(ADDRESS(ROW(),MATCH("",$4:$4,-1),1,1)),"N/A")</f>
        <v>0</v>
      </c>
      <c r="L23" s="129" t="str">
        <f t="shared" ca="1" si="0"/>
        <v/>
      </c>
    </row>
    <row r="24" spans="1:12" ht="16.5" customHeight="1" x14ac:dyDescent="0.3">
      <c r="A24" s="213"/>
      <c r="B24" s="100" t="s">
        <v>114</v>
      </c>
      <c r="C24" s="87" t="s">
        <v>117</v>
      </c>
      <c r="D24" s="128" t="s">
        <v>85</v>
      </c>
      <c r="E24" s="166">
        <f t="shared" si="1"/>
        <v>10</v>
      </c>
      <c r="F24" s="128">
        <f ca="1">COUNTA($L24:INDIRECT(ADDRESS(ROW(),MATCH("",$4:$4,-1),1,1)))</f>
        <v>1</v>
      </c>
      <c r="G24" s="128">
        <f t="shared" ca="1" si="2"/>
        <v>1</v>
      </c>
      <c r="H24" s="128">
        <f ca="1">COUNTIF($L24:INDIRECT(ADDRESS(ROW(),MATCH("",$4:$4,-1),1,1)),H$5)</f>
        <v>0</v>
      </c>
      <c r="I24" s="128">
        <f ca="1">COUNTIF($L24:INDIRECT(ADDRESS(ROW(),MATCH("",$4:$4,-1),1,1)),I$5)</f>
        <v>0</v>
      </c>
      <c r="J24" s="128">
        <f ca="1">COUNTIF($L24:INDIRECT(ADDRESS(ROW(),MATCH("",$4:$4,-1),1,1)),J$5)</f>
        <v>0</v>
      </c>
      <c r="K24" s="133">
        <f ca="1">COUNTIF($L24:INDIRECT(ADDRESS(ROW(),MATCH("",$4:$4,-1),1,1)),"N/A")</f>
        <v>0</v>
      </c>
      <c r="L24" s="129" t="str">
        <f t="shared" ca="1" si="0"/>
        <v/>
      </c>
    </row>
    <row r="25" spans="1:12" ht="16.5" customHeight="1" x14ac:dyDescent="0.3">
      <c r="A25" s="213"/>
      <c r="B25" s="100" t="s">
        <v>116</v>
      </c>
      <c r="C25" s="87" t="s">
        <v>119</v>
      </c>
      <c r="D25" s="128" t="s">
        <v>85</v>
      </c>
      <c r="E25" s="166">
        <f t="shared" si="1"/>
        <v>10</v>
      </c>
      <c r="F25" s="128">
        <f ca="1">COUNTA($L25:INDIRECT(ADDRESS(ROW(),MATCH("",$4:$4,-1),1,1)))</f>
        <v>1</v>
      </c>
      <c r="G25" s="128">
        <f t="shared" ca="1" si="2"/>
        <v>1</v>
      </c>
      <c r="H25" s="128">
        <f ca="1">COUNTIF($L25:INDIRECT(ADDRESS(ROW(),MATCH("",$4:$4,-1),1,1)),H$5)</f>
        <v>0</v>
      </c>
      <c r="I25" s="128">
        <f ca="1">COUNTIF($L25:INDIRECT(ADDRESS(ROW(),MATCH("",$4:$4,-1),1,1)),I$5)</f>
        <v>0</v>
      </c>
      <c r="J25" s="128">
        <f ca="1">COUNTIF($L25:INDIRECT(ADDRESS(ROW(),MATCH("",$4:$4,-1),1,1)),J$5)</f>
        <v>0</v>
      </c>
      <c r="K25" s="133">
        <f ca="1">COUNTIF($L25:INDIRECT(ADDRESS(ROW(),MATCH("",$4:$4,-1),1,1)),"N/A")</f>
        <v>0</v>
      </c>
      <c r="L25" s="129" t="str">
        <f t="shared" ca="1" si="0"/>
        <v/>
      </c>
    </row>
    <row r="26" spans="1:12" ht="16.5" customHeight="1" x14ac:dyDescent="0.3">
      <c r="A26" s="213"/>
      <c r="B26" s="100" t="s">
        <v>118</v>
      </c>
      <c r="C26" s="87" t="s">
        <v>384</v>
      </c>
      <c r="D26" s="128" t="s">
        <v>85</v>
      </c>
      <c r="E26" s="166">
        <f t="shared" si="1"/>
        <v>10</v>
      </c>
      <c r="F26" s="128">
        <f ca="1">COUNTA($L26:INDIRECT(ADDRESS(ROW(),MATCH("",$4:$4,-1),1,1)))</f>
        <v>1</v>
      </c>
      <c r="G26" s="128">
        <f t="shared" ca="1" si="2"/>
        <v>1</v>
      </c>
      <c r="H26" s="128">
        <f ca="1">COUNTIF($L26:INDIRECT(ADDRESS(ROW(),MATCH("",$4:$4,-1),1,1)),H$5)</f>
        <v>0</v>
      </c>
      <c r="I26" s="128">
        <f ca="1">COUNTIF($L26:INDIRECT(ADDRESS(ROW(),MATCH("",$4:$4,-1),1,1)),I$5)</f>
        <v>0</v>
      </c>
      <c r="J26" s="128">
        <f ca="1">COUNTIF($L26:INDIRECT(ADDRESS(ROW(),MATCH("",$4:$4,-1),1,1)),J$5)</f>
        <v>0</v>
      </c>
      <c r="K26" s="133">
        <f ca="1">COUNTIF($L26:INDIRECT(ADDRESS(ROW(),MATCH("",$4:$4,-1),1,1)),"N/A")</f>
        <v>0</v>
      </c>
      <c r="L26" s="129" t="str">
        <f t="shared" ca="1" si="0"/>
        <v/>
      </c>
    </row>
    <row r="27" spans="1:12" ht="16.5" customHeight="1" x14ac:dyDescent="0.3">
      <c r="A27" s="213"/>
      <c r="B27" s="100" t="s">
        <v>120</v>
      </c>
      <c r="C27" s="87" t="s">
        <v>122</v>
      </c>
      <c r="D27" s="128" t="s">
        <v>85</v>
      </c>
      <c r="E27" s="166">
        <f t="shared" si="1"/>
        <v>10</v>
      </c>
      <c r="F27" s="128">
        <f ca="1">COUNTA($L27:INDIRECT(ADDRESS(ROW(),MATCH("",$4:$4,-1),1,1)))</f>
        <v>1</v>
      </c>
      <c r="G27" s="128">
        <f t="shared" ca="1" si="2"/>
        <v>1</v>
      </c>
      <c r="H27" s="128">
        <f ca="1">COUNTIF($L27:INDIRECT(ADDRESS(ROW(),MATCH("",$4:$4,-1),1,1)),H$5)</f>
        <v>0</v>
      </c>
      <c r="I27" s="128">
        <f ca="1">COUNTIF($L27:INDIRECT(ADDRESS(ROW(),MATCH("",$4:$4,-1),1,1)),I$5)</f>
        <v>0</v>
      </c>
      <c r="J27" s="128">
        <f ca="1">COUNTIF($L27:INDIRECT(ADDRESS(ROW(),MATCH("",$4:$4,-1),1,1)),J$5)</f>
        <v>0</v>
      </c>
      <c r="K27" s="133">
        <f ca="1">COUNTIF($L27:INDIRECT(ADDRESS(ROW(),MATCH("",$4:$4,-1),1,1)),"N/A")</f>
        <v>0</v>
      </c>
      <c r="L27" s="129" t="str">
        <f t="shared" ca="1" si="0"/>
        <v/>
      </c>
    </row>
    <row r="28" spans="1:12" ht="16.5" customHeight="1" x14ac:dyDescent="0.3">
      <c r="A28" s="213"/>
      <c r="B28" s="100" t="s">
        <v>121</v>
      </c>
      <c r="C28" s="87" t="s">
        <v>124</v>
      </c>
      <c r="D28" s="128" t="s">
        <v>85</v>
      </c>
      <c r="E28" s="166">
        <f t="shared" si="1"/>
        <v>10</v>
      </c>
      <c r="F28" s="128">
        <f ca="1">COUNTA($L28:INDIRECT(ADDRESS(ROW(),MATCH("",$4:$4,-1),1,1)))</f>
        <v>1</v>
      </c>
      <c r="G28" s="128">
        <f t="shared" ca="1" si="2"/>
        <v>1</v>
      </c>
      <c r="H28" s="128">
        <f ca="1">COUNTIF($L28:INDIRECT(ADDRESS(ROW(),MATCH("",$4:$4,-1),1,1)),H$5)</f>
        <v>0</v>
      </c>
      <c r="I28" s="128">
        <f ca="1">COUNTIF($L28:INDIRECT(ADDRESS(ROW(),MATCH("",$4:$4,-1),1,1)),I$5)</f>
        <v>0</v>
      </c>
      <c r="J28" s="128">
        <f ca="1">COUNTIF($L28:INDIRECT(ADDRESS(ROW(),MATCH("",$4:$4,-1),1,1)),J$5)</f>
        <v>0</v>
      </c>
      <c r="K28" s="133">
        <f ca="1">COUNTIF($L28:INDIRECT(ADDRESS(ROW(),MATCH("",$4:$4,-1),1,1)),"N/A")</f>
        <v>0</v>
      </c>
      <c r="L28" s="129" t="str">
        <f t="shared" ca="1" si="0"/>
        <v/>
      </c>
    </row>
    <row r="29" spans="1:12" ht="16.5" customHeight="1" x14ac:dyDescent="0.3">
      <c r="A29" s="213"/>
      <c r="B29" s="100" t="s">
        <v>123</v>
      </c>
      <c r="C29" s="87" t="s">
        <v>385</v>
      </c>
      <c r="D29" s="128" t="s">
        <v>85</v>
      </c>
      <c r="E29" s="166">
        <f t="shared" si="1"/>
        <v>10</v>
      </c>
      <c r="F29" s="128">
        <f ca="1">COUNTA($L29:INDIRECT(ADDRESS(ROW(),MATCH("",$4:$4,-1),1,1)))</f>
        <v>1</v>
      </c>
      <c r="G29" s="128">
        <f t="shared" ca="1" si="2"/>
        <v>1</v>
      </c>
      <c r="H29" s="128">
        <f ca="1">COUNTIF($L29:INDIRECT(ADDRESS(ROW(),MATCH("",$4:$4,-1),1,1)),H$5)</f>
        <v>0</v>
      </c>
      <c r="I29" s="128">
        <f ca="1">COUNTIF($L29:INDIRECT(ADDRESS(ROW(),MATCH("",$4:$4,-1),1,1)),I$5)</f>
        <v>0</v>
      </c>
      <c r="J29" s="128">
        <f ca="1">COUNTIF($L29:INDIRECT(ADDRESS(ROW(),MATCH("",$4:$4,-1),1,1)),J$5)</f>
        <v>0</v>
      </c>
      <c r="K29" s="133">
        <f ca="1">COUNTIF($L29:INDIRECT(ADDRESS(ROW(),MATCH("",$4:$4,-1),1,1)),"N/A")</f>
        <v>0</v>
      </c>
      <c r="L29" s="129" t="str">
        <f t="shared" ca="1" si="0"/>
        <v/>
      </c>
    </row>
    <row r="30" spans="1:12" ht="16.5" customHeight="1" x14ac:dyDescent="0.3">
      <c r="A30" s="213"/>
      <c r="B30" s="100" t="s">
        <v>125</v>
      </c>
      <c r="C30" s="87" t="s">
        <v>237</v>
      </c>
      <c r="D30" s="128" t="s">
        <v>85</v>
      </c>
      <c r="E30" s="166">
        <f t="shared" si="1"/>
        <v>10</v>
      </c>
      <c r="F30" s="128">
        <f ca="1">COUNTA($L30:INDIRECT(ADDRESS(ROW(),MATCH("",$4:$4,-1),1,1)))</f>
        <v>1</v>
      </c>
      <c r="G30" s="128">
        <f t="shared" ca="1" si="2"/>
        <v>1</v>
      </c>
      <c r="H30" s="128">
        <f ca="1">COUNTIF($L30:INDIRECT(ADDRESS(ROW(),MATCH("",$4:$4,-1),1,1)),H$5)</f>
        <v>0</v>
      </c>
      <c r="I30" s="128">
        <f ca="1">COUNTIF($L30:INDIRECT(ADDRESS(ROW(),MATCH("",$4:$4,-1),1,1)),I$5)</f>
        <v>0</v>
      </c>
      <c r="J30" s="128">
        <f ca="1">COUNTIF($L30:INDIRECT(ADDRESS(ROW(),MATCH("",$4:$4,-1),1,1)),J$5)</f>
        <v>0</v>
      </c>
      <c r="K30" s="133">
        <f ca="1">COUNTIF($L30:INDIRECT(ADDRESS(ROW(),MATCH("",$4:$4,-1),1,1)),"N/A")</f>
        <v>0</v>
      </c>
      <c r="L30" s="129" t="str">
        <f t="shared" ca="1" si="0"/>
        <v/>
      </c>
    </row>
    <row r="31" spans="1:12" ht="16.5" customHeight="1" x14ac:dyDescent="0.3">
      <c r="A31" s="213"/>
      <c r="B31" s="100" t="s">
        <v>126</v>
      </c>
      <c r="C31" s="87" t="s">
        <v>129</v>
      </c>
      <c r="D31" s="128" t="s">
        <v>85</v>
      </c>
      <c r="E31" s="166">
        <f t="shared" si="1"/>
        <v>10</v>
      </c>
      <c r="F31" s="128">
        <f ca="1">COUNTA($L31:INDIRECT(ADDRESS(ROW(),MATCH("",$4:$4,-1),1,1)))</f>
        <v>1</v>
      </c>
      <c r="G31" s="128">
        <f t="shared" ca="1" si="2"/>
        <v>1</v>
      </c>
      <c r="H31" s="128">
        <f ca="1">COUNTIF($L31:INDIRECT(ADDRESS(ROW(),MATCH("",$4:$4,-1),1,1)),H$5)</f>
        <v>0</v>
      </c>
      <c r="I31" s="128">
        <f ca="1">COUNTIF($L31:INDIRECT(ADDRESS(ROW(),MATCH("",$4:$4,-1),1,1)),I$5)</f>
        <v>0</v>
      </c>
      <c r="J31" s="128">
        <f ca="1">COUNTIF($L31:INDIRECT(ADDRESS(ROW(),MATCH("",$4:$4,-1),1,1)),J$5)</f>
        <v>0</v>
      </c>
      <c r="K31" s="133">
        <f ca="1">COUNTIF($L31:INDIRECT(ADDRESS(ROW(),MATCH("",$4:$4,-1),1,1)),"N/A")</f>
        <v>0</v>
      </c>
      <c r="L31" s="129" t="str">
        <f t="shared" ca="1" si="0"/>
        <v/>
      </c>
    </row>
    <row r="32" spans="1:12" ht="16.5" customHeight="1" x14ac:dyDescent="0.3">
      <c r="A32" s="213"/>
      <c r="B32" s="100" t="s">
        <v>128</v>
      </c>
      <c r="C32" s="87" t="s">
        <v>131</v>
      </c>
      <c r="D32" s="128" t="s">
        <v>85</v>
      </c>
      <c r="E32" s="166">
        <f t="shared" si="1"/>
        <v>10</v>
      </c>
      <c r="F32" s="128">
        <f ca="1">COUNTA($L32:INDIRECT(ADDRESS(ROW(),MATCH("",$4:$4,-1),1,1)))</f>
        <v>1</v>
      </c>
      <c r="G32" s="128">
        <f t="shared" ca="1" si="2"/>
        <v>1</v>
      </c>
      <c r="H32" s="128">
        <f ca="1">COUNTIF($L32:INDIRECT(ADDRESS(ROW(),MATCH("",$4:$4,-1),1,1)),H$5)</f>
        <v>0</v>
      </c>
      <c r="I32" s="128">
        <f ca="1">COUNTIF($L32:INDIRECT(ADDRESS(ROW(),MATCH("",$4:$4,-1),1,1)),I$5)</f>
        <v>0</v>
      </c>
      <c r="J32" s="128">
        <f ca="1">COUNTIF($L32:INDIRECT(ADDRESS(ROW(),MATCH("",$4:$4,-1),1,1)),J$5)</f>
        <v>0</v>
      </c>
      <c r="K32" s="133">
        <f ca="1">COUNTIF($L32:INDIRECT(ADDRESS(ROW(),MATCH("",$4:$4,-1),1,1)),"N/A")</f>
        <v>0</v>
      </c>
      <c r="L32" s="129" t="str">
        <f t="shared" ca="1" si="0"/>
        <v/>
      </c>
    </row>
    <row r="33" spans="1:12" ht="16.5" customHeight="1" x14ac:dyDescent="0.3">
      <c r="A33" s="213"/>
      <c r="B33" s="100" t="s">
        <v>130</v>
      </c>
      <c r="C33" s="87" t="s">
        <v>133</v>
      </c>
      <c r="D33" s="128" t="s">
        <v>85</v>
      </c>
      <c r="E33" s="166">
        <f t="shared" si="1"/>
        <v>10</v>
      </c>
      <c r="F33" s="128">
        <f ca="1">COUNTA($L33:INDIRECT(ADDRESS(ROW(),MATCH("",$4:$4,-1),1,1)))</f>
        <v>1</v>
      </c>
      <c r="G33" s="128">
        <f t="shared" ca="1" si="2"/>
        <v>1</v>
      </c>
      <c r="H33" s="128">
        <f ca="1">COUNTIF($L33:INDIRECT(ADDRESS(ROW(),MATCH("",$4:$4,-1),1,1)),H$5)</f>
        <v>0</v>
      </c>
      <c r="I33" s="128">
        <f ca="1">COUNTIF($L33:INDIRECT(ADDRESS(ROW(),MATCH("",$4:$4,-1),1,1)),I$5)</f>
        <v>0</v>
      </c>
      <c r="J33" s="128">
        <f ca="1">COUNTIF($L33:INDIRECT(ADDRESS(ROW(),MATCH("",$4:$4,-1),1,1)),J$5)</f>
        <v>0</v>
      </c>
      <c r="K33" s="133">
        <f ca="1">COUNTIF($L33:INDIRECT(ADDRESS(ROW(),MATCH("",$4:$4,-1),1,1)),"N/A")</f>
        <v>0</v>
      </c>
      <c r="L33" s="129" t="str">
        <f t="shared" ca="1" si="0"/>
        <v/>
      </c>
    </row>
    <row r="34" spans="1:12" ht="16.5" customHeight="1" x14ac:dyDescent="0.3">
      <c r="A34" s="213"/>
      <c r="B34" s="100" t="s">
        <v>132</v>
      </c>
      <c r="C34" s="87" t="s">
        <v>135</v>
      </c>
      <c r="D34" s="128" t="s">
        <v>93</v>
      </c>
      <c r="E34" s="166">
        <f t="shared" si="1"/>
        <v>6</v>
      </c>
      <c r="F34" s="128">
        <f ca="1">COUNTA($L34:INDIRECT(ADDRESS(ROW(),MATCH("",$4:$4,-1),1,1)))</f>
        <v>1</v>
      </c>
      <c r="G34" s="128">
        <f t="shared" ca="1" si="2"/>
        <v>1</v>
      </c>
      <c r="H34" s="128">
        <f ca="1">COUNTIF($L34:INDIRECT(ADDRESS(ROW(),MATCH("",$4:$4,-1),1,1)),H$5)</f>
        <v>0</v>
      </c>
      <c r="I34" s="128">
        <f ca="1">COUNTIF($L34:INDIRECT(ADDRESS(ROW(),MATCH("",$4:$4,-1),1,1)),I$5)</f>
        <v>0</v>
      </c>
      <c r="J34" s="128">
        <f ca="1">COUNTIF($L34:INDIRECT(ADDRESS(ROW(),MATCH("",$4:$4,-1),1,1)),J$5)</f>
        <v>0</v>
      </c>
      <c r="K34" s="133">
        <f ca="1">COUNTIF($L34:INDIRECT(ADDRESS(ROW(),MATCH("",$4:$4,-1),1,1)),"N/A")</f>
        <v>0</v>
      </c>
      <c r="L34" s="129" t="str">
        <f t="shared" ca="1" si="0"/>
        <v/>
      </c>
    </row>
    <row r="35" spans="1:12" ht="16.5" customHeight="1" x14ac:dyDescent="0.3">
      <c r="A35" s="213"/>
      <c r="B35" s="100" t="s">
        <v>134</v>
      </c>
      <c r="C35" s="87" t="s">
        <v>137</v>
      </c>
      <c r="D35" s="128" t="s">
        <v>91</v>
      </c>
      <c r="E35" s="166">
        <f t="shared" si="1"/>
        <v>8</v>
      </c>
      <c r="F35" s="128">
        <f ca="1">COUNTA($L35:INDIRECT(ADDRESS(ROW(),MATCH("",$4:$4,-1),1,1)))</f>
        <v>1</v>
      </c>
      <c r="G35" s="128">
        <f t="shared" ca="1" si="2"/>
        <v>1</v>
      </c>
      <c r="H35" s="128">
        <f ca="1">COUNTIF($L35:INDIRECT(ADDRESS(ROW(),MATCH("",$4:$4,-1),1,1)),H$5)</f>
        <v>0</v>
      </c>
      <c r="I35" s="128">
        <f ca="1">COUNTIF($L35:INDIRECT(ADDRESS(ROW(),MATCH("",$4:$4,-1),1,1)),I$5)</f>
        <v>0</v>
      </c>
      <c r="J35" s="128">
        <f ca="1">COUNTIF($L35:INDIRECT(ADDRESS(ROW(),MATCH("",$4:$4,-1),1,1)),J$5)</f>
        <v>0</v>
      </c>
      <c r="K35" s="133">
        <f ca="1">COUNTIF($L35:INDIRECT(ADDRESS(ROW(),MATCH("",$4:$4,-1),1,1)),"N/A")</f>
        <v>0</v>
      </c>
      <c r="L35" s="129" t="str">
        <f t="shared" ca="1" si="0"/>
        <v/>
      </c>
    </row>
    <row r="36" spans="1:12" ht="16.5" customHeight="1" x14ac:dyDescent="0.3">
      <c r="A36" s="213"/>
      <c r="B36" s="100" t="s">
        <v>136</v>
      </c>
      <c r="C36" s="87" t="s">
        <v>139</v>
      </c>
      <c r="D36" s="128" t="s">
        <v>91</v>
      </c>
      <c r="E36" s="166">
        <f t="shared" si="1"/>
        <v>8</v>
      </c>
      <c r="F36" s="128">
        <f ca="1">COUNTA($L36:INDIRECT(ADDRESS(ROW(),MATCH("",$4:$4,-1),1,1)))</f>
        <v>1</v>
      </c>
      <c r="G36" s="128">
        <f t="shared" ca="1" si="2"/>
        <v>1</v>
      </c>
      <c r="H36" s="128">
        <f ca="1">COUNTIF($L36:INDIRECT(ADDRESS(ROW(),MATCH("",$4:$4,-1),1,1)),H$5)</f>
        <v>0</v>
      </c>
      <c r="I36" s="128">
        <f ca="1">COUNTIF($L36:INDIRECT(ADDRESS(ROW(),MATCH("",$4:$4,-1),1,1)),I$5)</f>
        <v>0</v>
      </c>
      <c r="J36" s="128">
        <f ca="1">COUNTIF($L36:INDIRECT(ADDRESS(ROW(),MATCH("",$4:$4,-1),1,1)),J$5)</f>
        <v>0</v>
      </c>
      <c r="K36" s="133">
        <f ca="1">COUNTIF($L36:INDIRECT(ADDRESS(ROW(),MATCH("",$4:$4,-1),1,1)),"N/A")</f>
        <v>0</v>
      </c>
      <c r="L36" s="129" t="str">
        <f t="shared" ca="1" si="0"/>
        <v/>
      </c>
    </row>
    <row r="37" spans="1:12" ht="16.5" customHeight="1" x14ac:dyDescent="0.3">
      <c r="A37" s="213"/>
      <c r="B37" s="100" t="s">
        <v>138</v>
      </c>
      <c r="C37" s="87" t="s">
        <v>141</v>
      </c>
      <c r="D37" s="128" t="s">
        <v>91</v>
      </c>
      <c r="E37" s="166">
        <f t="shared" si="1"/>
        <v>8</v>
      </c>
      <c r="F37" s="128">
        <f ca="1">COUNTA($L37:INDIRECT(ADDRESS(ROW(),MATCH("",$4:$4,-1),1,1)))</f>
        <v>1</v>
      </c>
      <c r="G37" s="128">
        <f t="shared" ca="1" si="2"/>
        <v>1</v>
      </c>
      <c r="H37" s="128">
        <f ca="1">COUNTIF($L37:INDIRECT(ADDRESS(ROW(),MATCH("",$4:$4,-1),1,1)),H$5)</f>
        <v>0</v>
      </c>
      <c r="I37" s="128">
        <f ca="1">COUNTIF($L37:INDIRECT(ADDRESS(ROW(),MATCH("",$4:$4,-1),1,1)),I$5)</f>
        <v>0</v>
      </c>
      <c r="J37" s="128">
        <f ca="1">COUNTIF($L37:INDIRECT(ADDRESS(ROW(),MATCH("",$4:$4,-1),1,1)),J$5)</f>
        <v>0</v>
      </c>
      <c r="K37" s="133">
        <f ca="1">COUNTIF($L37:INDIRECT(ADDRESS(ROW(),MATCH("",$4:$4,-1),1,1)),"N/A")</f>
        <v>0</v>
      </c>
      <c r="L37" s="129" t="str">
        <f t="shared" ca="1" si="0"/>
        <v/>
      </c>
    </row>
    <row r="38" spans="1:12" ht="16.5" customHeight="1" thickBot="1" x14ac:dyDescent="0.35">
      <c r="A38" s="214"/>
      <c r="B38" s="106" t="s">
        <v>140</v>
      </c>
      <c r="C38" s="134" t="s">
        <v>143</v>
      </c>
      <c r="D38" s="135" t="s">
        <v>93</v>
      </c>
      <c r="E38" s="163">
        <f t="shared" si="1"/>
        <v>6</v>
      </c>
      <c r="F38" s="135">
        <f ca="1">COUNTA($L38:INDIRECT(ADDRESS(ROW(),MATCH("",$4:$4,-1),1,1)))</f>
        <v>1</v>
      </c>
      <c r="G38" s="135">
        <f t="shared" ca="1" si="2"/>
        <v>1</v>
      </c>
      <c r="H38" s="135">
        <f ca="1">COUNTIF($L38:INDIRECT(ADDRESS(ROW(),MATCH("",$4:$4,-1),1,1)),H$5)</f>
        <v>0</v>
      </c>
      <c r="I38" s="135">
        <f ca="1">COUNTIF($L38:INDIRECT(ADDRESS(ROW(),MATCH("",$4:$4,-1),1,1)),I$5)</f>
        <v>0</v>
      </c>
      <c r="J38" s="135">
        <f ca="1">COUNTIF($L38:INDIRECT(ADDRESS(ROW(),MATCH("",$4:$4,-1),1,1)),J$5)</f>
        <v>0</v>
      </c>
      <c r="K38" s="136">
        <f ca="1">COUNTIF($L38:INDIRECT(ADDRESS(ROW(),MATCH("",$4:$4,-1),1,1)),"N/A")</f>
        <v>0</v>
      </c>
      <c r="L38" s="150" t="str">
        <f t="shared" ca="1" si="0"/>
        <v/>
      </c>
    </row>
    <row r="39" spans="1:12" ht="16.5" customHeight="1" x14ac:dyDescent="0.3">
      <c r="A39" s="215" t="s">
        <v>54</v>
      </c>
      <c r="B39" s="137" t="s">
        <v>142</v>
      </c>
      <c r="C39" s="138" t="s">
        <v>145</v>
      </c>
      <c r="D39" s="139" t="s">
        <v>85</v>
      </c>
      <c r="E39" s="166">
        <f t="shared" si="1"/>
        <v>10</v>
      </c>
      <c r="F39" s="139">
        <f ca="1">COUNTA($L39:INDIRECT(ADDRESS(ROW(),MATCH("",$4:$4,-1),1,1)))</f>
        <v>1</v>
      </c>
      <c r="G39" s="139">
        <f t="shared" ca="1" si="2"/>
        <v>1</v>
      </c>
      <c r="H39" s="139">
        <f ca="1">COUNTIF($L39:INDIRECT(ADDRESS(ROW(),MATCH("",$4:$4,-1),1,1)),H$5)</f>
        <v>0</v>
      </c>
      <c r="I39" s="139">
        <f ca="1">COUNTIF($L39:INDIRECT(ADDRESS(ROW(),MATCH("",$4:$4,-1),1,1)),I$5)</f>
        <v>0</v>
      </c>
      <c r="J39" s="139">
        <f ca="1">COUNTIF($L39:INDIRECT(ADDRESS(ROW(),MATCH("",$4:$4,-1),1,1)),J$5)</f>
        <v>0</v>
      </c>
      <c r="K39" s="139">
        <f ca="1">COUNTIF($L39:INDIRECT(ADDRESS(ROW(),MATCH("",$4:$4,-1),1,1)),"N/A")</f>
        <v>0</v>
      </c>
      <c r="L39" s="149" t="str">
        <f t="shared" ca="1" si="0"/>
        <v/>
      </c>
    </row>
    <row r="40" spans="1:12" ht="16.5" customHeight="1" x14ac:dyDescent="0.3">
      <c r="A40" s="216"/>
      <c r="B40" s="140" t="s">
        <v>144</v>
      </c>
      <c r="C40" s="87" t="s">
        <v>386</v>
      </c>
      <c r="D40" s="128" t="s">
        <v>85</v>
      </c>
      <c r="E40" s="166">
        <f t="shared" si="1"/>
        <v>10</v>
      </c>
      <c r="F40" s="128">
        <f ca="1">COUNTA($L40:INDIRECT(ADDRESS(ROW(),MATCH("",$4:$4,-1),1,1)))</f>
        <v>1</v>
      </c>
      <c r="G40" s="128">
        <f t="shared" ref="G40" ca="1" si="8">F40-K40</f>
        <v>1</v>
      </c>
      <c r="H40" s="128">
        <f ca="1">COUNTIF($L40:INDIRECT(ADDRESS(ROW(),MATCH("",$4:$4,-1),1,1)),H$5)</f>
        <v>0</v>
      </c>
      <c r="I40" s="128">
        <f ca="1">COUNTIF($L40:INDIRECT(ADDRESS(ROW(),MATCH("",$4:$4,-1),1,1)),I$5)</f>
        <v>0</v>
      </c>
      <c r="J40" s="128">
        <f ca="1">COUNTIF($L40:INDIRECT(ADDRESS(ROW(),MATCH("",$4:$4,-1),1,1)),J$5)</f>
        <v>0</v>
      </c>
      <c r="K40" s="128">
        <f ca="1">COUNTIF($L40:INDIRECT(ADDRESS(ROW(),MATCH("",$4:$4,-1),1,1)),"N/A")</f>
        <v>0</v>
      </c>
      <c r="L40" s="129" t="str">
        <f t="shared" ca="1" si="0"/>
        <v/>
      </c>
    </row>
    <row r="41" spans="1:12" ht="16.5" customHeight="1" x14ac:dyDescent="0.3">
      <c r="A41" s="216"/>
      <c r="B41" s="140" t="s">
        <v>146</v>
      </c>
      <c r="C41" s="87" t="s">
        <v>148</v>
      </c>
      <c r="D41" s="128" t="s">
        <v>85</v>
      </c>
      <c r="E41" s="166">
        <f t="shared" si="1"/>
        <v>10</v>
      </c>
      <c r="F41" s="128">
        <f ca="1">COUNTA($L41:INDIRECT(ADDRESS(ROW(),MATCH("",$4:$4,-1),1,1)))</f>
        <v>1</v>
      </c>
      <c r="G41" s="128">
        <f t="shared" ca="1" si="2"/>
        <v>1</v>
      </c>
      <c r="H41" s="128">
        <f ca="1">COUNTIF($L41:INDIRECT(ADDRESS(ROW(),MATCH("",$4:$4,-1),1,1)),H$5)</f>
        <v>0</v>
      </c>
      <c r="I41" s="128">
        <f ca="1">COUNTIF($L41:INDIRECT(ADDRESS(ROW(),MATCH("",$4:$4,-1),1,1)),I$5)</f>
        <v>0</v>
      </c>
      <c r="J41" s="128">
        <f ca="1">COUNTIF($L41:INDIRECT(ADDRESS(ROW(),MATCH("",$4:$4,-1),1,1)),J$5)</f>
        <v>0</v>
      </c>
      <c r="K41" s="128">
        <f ca="1">COUNTIF($L41:INDIRECT(ADDRESS(ROW(),MATCH("",$4:$4,-1),1,1)),"N/A")</f>
        <v>0</v>
      </c>
      <c r="L41" s="129" t="str">
        <f t="shared" ca="1" si="0"/>
        <v/>
      </c>
    </row>
    <row r="42" spans="1:12" ht="16.5" customHeight="1" x14ac:dyDescent="0.3">
      <c r="A42" s="216"/>
      <c r="B42" s="140" t="s">
        <v>147</v>
      </c>
      <c r="C42" s="87" t="s">
        <v>387</v>
      </c>
      <c r="D42" s="128" t="s">
        <v>85</v>
      </c>
      <c r="E42" s="166">
        <f t="shared" si="1"/>
        <v>10</v>
      </c>
      <c r="F42" s="128">
        <f ca="1">COUNTA($L42:INDIRECT(ADDRESS(ROW(),MATCH("",$4:$4,-1),1,1)))</f>
        <v>1</v>
      </c>
      <c r="G42" s="128">
        <f t="shared" ca="1" si="2"/>
        <v>1</v>
      </c>
      <c r="H42" s="128">
        <f ca="1">COUNTIF($L42:INDIRECT(ADDRESS(ROW(),MATCH("",$4:$4,-1),1,1)),H$5)</f>
        <v>0</v>
      </c>
      <c r="I42" s="128">
        <f ca="1">COUNTIF($L42:INDIRECT(ADDRESS(ROW(),MATCH("",$4:$4,-1),1,1)),I$5)</f>
        <v>0</v>
      </c>
      <c r="J42" s="128">
        <f ca="1">COUNTIF($L42:INDIRECT(ADDRESS(ROW(),MATCH("",$4:$4,-1),1,1)),J$5)</f>
        <v>0</v>
      </c>
      <c r="K42" s="128">
        <f ca="1">COUNTIF($L42:INDIRECT(ADDRESS(ROW(),MATCH("",$4:$4,-1),1,1)),"N/A")</f>
        <v>0</v>
      </c>
      <c r="L42" s="129" t="str">
        <f t="shared" ca="1" si="0"/>
        <v/>
      </c>
    </row>
    <row r="43" spans="1:12" ht="16.5" customHeight="1" x14ac:dyDescent="0.3">
      <c r="A43" s="216"/>
      <c r="B43" s="140" t="s">
        <v>149</v>
      </c>
      <c r="C43" s="87" t="s">
        <v>151</v>
      </c>
      <c r="D43" s="128" t="s">
        <v>85</v>
      </c>
      <c r="E43" s="166">
        <f t="shared" si="1"/>
        <v>10</v>
      </c>
      <c r="F43" s="128">
        <f ca="1">COUNTA($L43:INDIRECT(ADDRESS(ROW(),MATCH("",$4:$4,-1),1,1)))</f>
        <v>1</v>
      </c>
      <c r="G43" s="128">
        <f t="shared" ca="1" si="2"/>
        <v>1</v>
      </c>
      <c r="H43" s="128">
        <f ca="1">COUNTIF($L43:INDIRECT(ADDRESS(ROW(),MATCH("",$4:$4,-1),1,1)),H$5)</f>
        <v>0</v>
      </c>
      <c r="I43" s="128">
        <f ca="1">COUNTIF($L43:INDIRECT(ADDRESS(ROW(),MATCH("",$4:$4,-1),1,1)),I$5)</f>
        <v>0</v>
      </c>
      <c r="J43" s="128">
        <f ca="1">COUNTIF($L43:INDIRECT(ADDRESS(ROW(),MATCH("",$4:$4,-1),1,1)),J$5)</f>
        <v>0</v>
      </c>
      <c r="K43" s="128">
        <f ca="1">COUNTIF($L43:INDIRECT(ADDRESS(ROW(),MATCH("",$4:$4,-1),1,1)),"N/A")</f>
        <v>0</v>
      </c>
      <c r="L43" s="129" t="str">
        <f t="shared" ca="1" si="0"/>
        <v/>
      </c>
    </row>
    <row r="44" spans="1:12" ht="16.5" customHeight="1" x14ac:dyDescent="0.3">
      <c r="A44" s="216"/>
      <c r="B44" s="140" t="s">
        <v>150</v>
      </c>
      <c r="C44" s="87" t="s">
        <v>388</v>
      </c>
      <c r="D44" s="128" t="s">
        <v>85</v>
      </c>
      <c r="E44" s="166">
        <f t="shared" si="1"/>
        <v>10</v>
      </c>
      <c r="F44" s="128">
        <f ca="1">COUNTA($L44:INDIRECT(ADDRESS(ROW(),MATCH("",$4:$4,-1),1,1)))</f>
        <v>1</v>
      </c>
      <c r="G44" s="128">
        <f t="shared" ca="1" si="2"/>
        <v>1</v>
      </c>
      <c r="H44" s="128">
        <f ca="1">COUNTIF($L44:INDIRECT(ADDRESS(ROW(),MATCH("",$4:$4,-1),1,1)),H$5)</f>
        <v>0</v>
      </c>
      <c r="I44" s="128">
        <f ca="1">COUNTIF($L44:INDIRECT(ADDRESS(ROW(),MATCH("",$4:$4,-1),1,1)),I$5)</f>
        <v>0</v>
      </c>
      <c r="J44" s="128">
        <f ca="1">COUNTIF($L44:INDIRECT(ADDRESS(ROW(),MATCH("",$4:$4,-1),1,1)),J$5)</f>
        <v>0</v>
      </c>
      <c r="K44" s="128">
        <f ca="1">COUNTIF($L44:INDIRECT(ADDRESS(ROW(),MATCH("",$4:$4,-1),1,1)),"N/A")</f>
        <v>0</v>
      </c>
      <c r="L44" s="129" t="str">
        <f t="shared" ca="1" si="0"/>
        <v/>
      </c>
    </row>
    <row r="45" spans="1:12" ht="16.5" customHeight="1" x14ac:dyDescent="0.3">
      <c r="A45" s="216"/>
      <c r="B45" s="140" t="s">
        <v>152</v>
      </c>
      <c r="C45" s="87" t="s">
        <v>154</v>
      </c>
      <c r="D45" s="128" t="s">
        <v>85</v>
      </c>
      <c r="E45" s="166">
        <f t="shared" si="1"/>
        <v>10</v>
      </c>
      <c r="F45" s="128">
        <f ca="1">COUNTA($L45:INDIRECT(ADDRESS(ROW(),MATCH("",$4:$4,-1),1,1)))</f>
        <v>1</v>
      </c>
      <c r="G45" s="128">
        <f t="shared" ca="1" si="2"/>
        <v>1</v>
      </c>
      <c r="H45" s="128">
        <f ca="1">COUNTIF($L45:INDIRECT(ADDRESS(ROW(),MATCH("",$4:$4,-1),1,1)),H$5)</f>
        <v>0</v>
      </c>
      <c r="I45" s="128">
        <f ca="1">COUNTIF($L45:INDIRECT(ADDRESS(ROW(),MATCH("",$4:$4,-1),1,1)),I$5)</f>
        <v>0</v>
      </c>
      <c r="J45" s="128">
        <f ca="1">COUNTIF($L45:INDIRECT(ADDRESS(ROW(),MATCH("",$4:$4,-1),1,1)),J$5)</f>
        <v>0</v>
      </c>
      <c r="K45" s="128">
        <f ca="1">COUNTIF($L45:INDIRECT(ADDRESS(ROW(),MATCH("",$4:$4,-1),1,1)),"N/A")</f>
        <v>0</v>
      </c>
      <c r="L45" s="129" t="str">
        <f t="shared" ca="1" si="0"/>
        <v/>
      </c>
    </row>
    <row r="46" spans="1:12" ht="16.5" customHeight="1" x14ac:dyDescent="0.3">
      <c r="A46" s="216"/>
      <c r="B46" s="140" t="s">
        <v>153</v>
      </c>
      <c r="C46" s="87" t="s">
        <v>389</v>
      </c>
      <c r="D46" s="128" t="s">
        <v>85</v>
      </c>
      <c r="E46" s="166">
        <f t="shared" si="1"/>
        <v>10</v>
      </c>
      <c r="F46" s="128">
        <f ca="1">COUNTA($L46:INDIRECT(ADDRESS(ROW(),MATCH("",$4:$4,-1),1,1)))</f>
        <v>1</v>
      </c>
      <c r="G46" s="128">
        <f t="shared" ca="1" si="2"/>
        <v>1</v>
      </c>
      <c r="H46" s="128">
        <f ca="1">COUNTIF($L46:INDIRECT(ADDRESS(ROW(),MATCH("",$4:$4,-1),1,1)),H$5)</f>
        <v>0</v>
      </c>
      <c r="I46" s="128">
        <f ca="1">COUNTIF($L46:INDIRECT(ADDRESS(ROW(),MATCH("",$4:$4,-1),1,1)),I$5)</f>
        <v>0</v>
      </c>
      <c r="J46" s="128">
        <f ca="1">COUNTIF($L46:INDIRECT(ADDRESS(ROW(),MATCH("",$4:$4,-1),1,1)),J$5)</f>
        <v>0</v>
      </c>
      <c r="K46" s="128">
        <f ca="1">COUNTIF($L46:INDIRECT(ADDRESS(ROW(),MATCH("",$4:$4,-1),1,1)),"N/A")</f>
        <v>0</v>
      </c>
      <c r="L46" s="129" t="str">
        <f t="shared" ca="1" si="0"/>
        <v/>
      </c>
    </row>
    <row r="47" spans="1:12" ht="16.5" customHeight="1" x14ac:dyDescent="0.3">
      <c r="A47" s="216"/>
      <c r="B47" s="140" t="s">
        <v>155</v>
      </c>
      <c r="C47" s="87" t="s">
        <v>390</v>
      </c>
      <c r="D47" s="128" t="s">
        <v>85</v>
      </c>
      <c r="E47" s="166">
        <f t="shared" si="1"/>
        <v>10</v>
      </c>
      <c r="F47" s="128">
        <f ca="1">COUNTA($L47:INDIRECT(ADDRESS(ROW(),MATCH("",$4:$4,-1),1,1)))</f>
        <v>1</v>
      </c>
      <c r="G47" s="128">
        <f t="shared" ca="1" si="2"/>
        <v>1</v>
      </c>
      <c r="H47" s="128">
        <f ca="1">COUNTIF($L47:INDIRECT(ADDRESS(ROW(),MATCH("",$4:$4,-1),1,1)),H$5)</f>
        <v>0</v>
      </c>
      <c r="I47" s="128">
        <f ca="1">COUNTIF($L47:INDIRECT(ADDRESS(ROW(),MATCH("",$4:$4,-1),1,1)),I$5)</f>
        <v>0</v>
      </c>
      <c r="J47" s="128">
        <f ca="1">COUNTIF($L47:INDIRECT(ADDRESS(ROW(),MATCH("",$4:$4,-1),1,1)),J$5)</f>
        <v>0</v>
      </c>
      <c r="K47" s="128">
        <f ca="1">COUNTIF($L47:INDIRECT(ADDRESS(ROW(),MATCH("",$4:$4,-1),1,1)),"N/A")</f>
        <v>0</v>
      </c>
      <c r="L47" s="129" t="str">
        <f t="shared" ca="1" si="0"/>
        <v/>
      </c>
    </row>
    <row r="48" spans="1:12" ht="16.5" customHeight="1" x14ac:dyDescent="0.3">
      <c r="A48" s="216"/>
      <c r="B48" s="140" t="s">
        <v>156</v>
      </c>
      <c r="C48" s="87" t="s">
        <v>158</v>
      </c>
      <c r="D48" s="128" t="s">
        <v>85</v>
      </c>
      <c r="E48" s="166">
        <f t="shared" si="1"/>
        <v>10</v>
      </c>
      <c r="F48" s="128">
        <f ca="1">COUNTA($L48:INDIRECT(ADDRESS(ROW(),MATCH("",$4:$4,-1),1,1)))</f>
        <v>1</v>
      </c>
      <c r="G48" s="128">
        <f t="shared" ca="1" si="2"/>
        <v>1</v>
      </c>
      <c r="H48" s="128">
        <f ca="1">COUNTIF($L48:INDIRECT(ADDRESS(ROW(),MATCH("",$4:$4,-1),1,1)),H$5)</f>
        <v>0</v>
      </c>
      <c r="I48" s="128">
        <f ca="1">COUNTIF($L48:INDIRECT(ADDRESS(ROW(),MATCH("",$4:$4,-1),1,1)),I$5)</f>
        <v>0</v>
      </c>
      <c r="J48" s="128">
        <f ca="1">COUNTIF($L48:INDIRECT(ADDRESS(ROW(),MATCH("",$4:$4,-1),1,1)),J$5)</f>
        <v>0</v>
      </c>
      <c r="K48" s="128">
        <f ca="1">COUNTIF($L48:INDIRECT(ADDRESS(ROW(),MATCH("",$4:$4,-1),1,1)),"N/A")</f>
        <v>0</v>
      </c>
      <c r="L48" s="129" t="str">
        <f t="shared" ca="1" si="0"/>
        <v/>
      </c>
    </row>
    <row r="49" spans="1:12" ht="16.5" customHeight="1" x14ac:dyDescent="0.3">
      <c r="A49" s="216"/>
      <c r="B49" s="140" t="s">
        <v>157</v>
      </c>
      <c r="C49" s="87" t="s">
        <v>160</v>
      </c>
      <c r="D49" s="128" t="s">
        <v>85</v>
      </c>
      <c r="E49" s="166">
        <f t="shared" si="1"/>
        <v>10</v>
      </c>
      <c r="F49" s="128">
        <f ca="1">COUNTA($L49:INDIRECT(ADDRESS(ROW(),MATCH("",$4:$4,-1),1,1)))</f>
        <v>1</v>
      </c>
      <c r="G49" s="128">
        <f t="shared" ca="1" si="2"/>
        <v>1</v>
      </c>
      <c r="H49" s="128">
        <f ca="1">COUNTIF($L49:INDIRECT(ADDRESS(ROW(),MATCH("",$4:$4,-1),1,1)),H$5)</f>
        <v>0</v>
      </c>
      <c r="I49" s="128">
        <f ca="1">COUNTIF($L49:INDIRECT(ADDRESS(ROW(),MATCH("",$4:$4,-1),1,1)),I$5)</f>
        <v>0</v>
      </c>
      <c r="J49" s="128">
        <f ca="1">COUNTIF($L49:INDIRECT(ADDRESS(ROW(),MATCH("",$4:$4,-1),1,1)),J$5)</f>
        <v>0</v>
      </c>
      <c r="K49" s="128">
        <f ca="1">COUNTIF($L49:INDIRECT(ADDRESS(ROW(),MATCH("",$4:$4,-1),1,1)),"N/A")</f>
        <v>0</v>
      </c>
      <c r="L49" s="129" t="str">
        <f t="shared" ca="1" si="0"/>
        <v/>
      </c>
    </row>
    <row r="50" spans="1:12" ht="16.5" customHeight="1" x14ac:dyDescent="0.3">
      <c r="A50" s="216"/>
      <c r="B50" s="140" t="s">
        <v>159</v>
      </c>
      <c r="C50" s="87" t="s">
        <v>391</v>
      </c>
      <c r="D50" s="128" t="s">
        <v>85</v>
      </c>
      <c r="E50" s="166">
        <f t="shared" si="1"/>
        <v>10</v>
      </c>
      <c r="F50" s="128">
        <f ca="1">COUNTA($L50:INDIRECT(ADDRESS(ROW(),MATCH("",$4:$4,-1),1,1)))</f>
        <v>1</v>
      </c>
      <c r="G50" s="128">
        <f t="shared" ca="1" si="2"/>
        <v>1</v>
      </c>
      <c r="H50" s="128">
        <f ca="1">COUNTIF($L50:INDIRECT(ADDRESS(ROW(),MATCH("",$4:$4,-1),1,1)),H$5)</f>
        <v>0</v>
      </c>
      <c r="I50" s="128">
        <f ca="1">COUNTIF($L50:INDIRECT(ADDRESS(ROW(),MATCH("",$4:$4,-1),1,1)),I$5)</f>
        <v>0</v>
      </c>
      <c r="J50" s="128">
        <f ca="1">COUNTIF($L50:INDIRECT(ADDRESS(ROW(),MATCH("",$4:$4,-1),1,1)),J$5)</f>
        <v>0</v>
      </c>
      <c r="K50" s="128">
        <f ca="1">COUNTIF($L50:INDIRECT(ADDRESS(ROW(),MATCH("",$4:$4,-1),1,1)),"N/A")</f>
        <v>0</v>
      </c>
      <c r="L50" s="129" t="str">
        <f t="shared" ca="1" si="0"/>
        <v/>
      </c>
    </row>
    <row r="51" spans="1:12" ht="16.5" customHeight="1" x14ac:dyDescent="0.3">
      <c r="A51" s="216"/>
      <c r="B51" s="140" t="s">
        <v>161</v>
      </c>
      <c r="C51" s="87" t="s">
        <v>392</v>
      </c>
      <c r="D51" s="128" t="s">
        <v>85</v>
      </c>
      <c r="E51" s="166">
        <f t="shared" si="1"/>
        <v>10</v>
      </c>
      <c r="F51" s="128">
        <f ca="1">COUNTA($L51:INDIRECT(ADDRESS(ROW(),MATCH("",$4:$4,-1),1,1)))</f>
        <v>1</v>
      </c>
      <c r="G51" s="128">
        <f t="shared" ref="G51" ca="1" si="9">F51-K51</f>
        <v>1</v>
      </c>
      <c r="H51" s="128">
        <f ca="1">COUNTIF($L51:INDIRECT(ADDRESS(ROW(),MATCH("",$4:$4,-1),1,1)),H$5)</f>
        <v>0</v>
      </c>
      <c r="I51" s="128">
        <f ca="1">COUNTIF($L51:INDIRECT(ADDRESS(ROW(),MATCH("",$4:$4,-1),1,1)),I$5)</f>
        <v>0</v>
      </c>
      <c r="J51" s="128">
        <f ca="1">COUNTIF($L51:INDIRECT(ADDRESS(ROW(),MATCH("",$4:$4,-1),1,1)),J$5)</f>
        <v>0</v>
      </c>
      <c r="K51" s="128">
        <f ca="1">COUNTIF($L51:INDIRECT(ADDRESS(ROW(),MATCH("",$4:$4,-1),1,1)),"N/A")</f>
        <v>0</v>
      </c>
      <c r="L51" s="129" t="str">
        <f t="shared" ca="1" si="0"/>
        <v/>
      </c>
    </row>
    <row r="52" spans="1:12" ht="16.149999999999999" customHeight="1" x14ac:dyDescent="0.3">
      <c r="A52" s="216"/>
      <c r="B52" s="140" t="s">
        <v>162</v>
      </c>
      <c r="C52" s="87" t="s">
        <v>163</v>
      </c>
      <c r="D52" s="128" t="s">
        <v>85</v>
      </c>
      <c r="E52" s="166">
        <f t="shared" si="1"/>
        <v>10</v>
      </c>
      <c r="F52" s="128">
        <f ca="1">COUNTA($L52:INDIRECT(ADDRESS(ROW(),MATCH("",$4:$4,-1),1,1)))</f>
        <v>1</v>
      </c>
      <c r="G52" s="128">
        <f t="shared" ca="1" si="2"/>
        <v>1</v>
      </c>
      <c r="H52" s="128">
        <f ca="1">COUNTIF($L52:INDIRECT(ADDRESS(ROW(),MATCH("",$4:$4,-1),1,1)),H$5)</f>
        <v>0</v>
      </c>
      <c r="I52" s="128">
        <f ca="1">COUNTIF($L52:INDIRECT(ADDRESS(ROW(),MATCH("",$4:$4,-1),1,1)),I$5)</f>
        <v>0</v>
      </c>
      <c r="J52" s="128">
        <f ca="1">COUNTIF($L52:INDIRECT(ADDRESS(ROW(),MATCH("",$4:$4,-1),1,1)),J$5)</f>
        <v>0</v>
      </c>
      <c r="K52" s="128">
        <f ca="1">COUNTIF($L52:INDIRECT(ADDRESS(ROW(),MATCH("",$4:$4,-1),1,1)),"N/A")</f>
        <v>0</v>
      </c>
      <c r="L52" s="129" t="str">
        <f t="shared" ca="1" si="0"/>
        <v/>
      </c>
    </row>
    <row r="53" spans="1:12" ht="16.149999999999999" customHeight="1" x14ac:dyDescent="0.3">
      <c r="A53" s="216"/>
      <c r="B53" s="140" t="s">
        <v>164</v>
      </c>
      <c r="C53" s="87" t="s">
        <v>187</v>
      </c>
      <c r="D53" s="128" t="s">
        <v>91</v>
      </c>
      <c r="E53" s="166">
        <f t="shared" si="1"/>
        <v>8</v>
      </c>
      <c r="F53" s="128">
        <f ca="1">COUNTA($L53:INDIRECT(ADDRESS(ROW(),MATCH("",$4:$4,-1),1,1)))</f>
        <v>1</v>
      </c>
      <c r="G53" s="128">
        <f t="shared" ca="1" si="2"/>
        <v>1</v>
      </c>
      <c r="H53" s="128">
        <f ca="1">COUNTIF($L53:INDIRECT(ADDRESS(ROW(),MATCH("",$4:$4,-1),1,1)),H$5)</f>
        <v>0</v>
      </c>
      <c r="I53" s="128">
        <f ca="1">COUNTIF($L53:INDIRECT(ADDRESS(ROW(),MATCH("",$4:$4,-1),1,1)),I$5)</f>
        <v>0</v>
      </c>
      <c r="J53" s="128">
        <f ca="1">COUNTIF($L53:INDIRECT(ADDRESS(ROW(),MATCH("",$4:$4,-1),1,1)),J$5)</f>
        <v>0</v>
      </c>
      <c r="K53" s="128">
        <f ca="1">COUNTIF($L53:INDIRECT(ADDRESS(ROW(),MATCH("",$4:$4,-1),1,1)),"N/A")</f>
        <v>0</v>
      </c>
      <c r="L53" s="129" t="str">
        <f t="shared" ca="1" si="0"/>
        <v/>
      </c>
    </row>
    <row r="54" spans="1:12" ht="16.149999999999999" customHeight="1" x14ac:dyDescent="0.3">
      <c r="A54" s="216"/>
      <c r="B54" s="140" t="s">
        <v>165</v>
      </c>
      <c r="C54" s="87" t="s">
        <v>166</v>
      </c>
      <c r="D54" s="128" t="s">
        <v>85</v>
      </c>
      <c r="E54" s="166">
        <f t="shared" si="1"/>
        <v>10</v>
      </c>
      <c r="F54" s="128">
        <f ca="1">COUNTA($L54:INDIRECT(ADDRESS(ROW(),MATCH("",$4:$4,-1),1,1)))</f>
        <v>1</v>
      </c>
      <c r="G54" s="128">
        <f t="shared" ca="1" si="2"/>
        <v>1</v>
      </c>
      <c r="H54" s="128">
        <f ca="1">COUNTIF($L54:INDIRECT(ADDRESS(ROW(),MATCH("",$4:$4,-1),1,1)),H$5)</f>
        <v>0</v>
      </c>
      <c r="I54" s="128">
        <f ca="1">COUNTIF($L54:INDIRECT(ADDRESS(ROW(),MATCH("",$4:$4,-1),1,1)),I$5)</f>
        <v>0</v>
      </c>
      <c r="J54" s="128">
        <f ca="1">COUNTIF($L54:INDIRECT(ADDRESS(ROW(),MATCH("",$4:$4,-1),1,1)),J$5)</f>
        <v>0</v>
      </c>
      <c r="K54" s="128">
        <f ca="1">COUNTIF($L54:INDIRECT(ADDRESS(ROW(),MATCH("",$4:$4,-1),1,1)),"N/A")</f>
        <v>0</v>
      </c>
      <c r="L54" s="129" t="str">
        <f t="shared" ca="1" si="0"/>
        <v/>
      </c>
    </row>
    <row r="55" spans="1:12" ht="16.5" customHeight="1" x14ac:dyDescent="0.3">
      <c r="A55" s="216"/>
      <c r="B55" s="140" t="s">
        <v>167</v>
      </c>
      <c r="C55" s="87" t="s">
        <v>168</v>
      </c>
      <c r="D55" s="128" t="s">
        <v>85</v>
      </c>
      <c r="E55" s="166">
        <f t="shared" si="1"/>
        <v>10</v>
      </c>
      <c r="F55" s="128">
        <f ca="1">COUNTA($L55:INDIRECT(ADDRESS(ROW(),MATCH("",$4:$4,-1),1,1)))</f>
        <v>1</v>
      </c>
      <c r="G55" s="128">
        <f t="shared" ca="1" si="2"/>
        <v>1</v>
      </c>
      <c r="H55" s="128">
        <f ca="1">COUNTIF($L55:INDIRECT(ADDRESS(ROW(),MATCH("",$4:$4,-1),1,1)),H$5)</f>
        <v>0</v>
      </c>
      <c r="I55" s="128">
        <f ca="1">COUNTIF($L55:INDIRECT(ADDRESS(ROW(),MATCH("",$4:$4,-1),1,1)),I$5)</f>
        <v>0</v>
      </c>
      <c r="J55" s="128">
        <f ca="1">COUNTIF($L55:INDIRECT(ADDRESS(ROW(),MATCH("",$4:$4,-1),1,1)),J$5)</f>
        <v>0</v>
      </c>
      <c r="K55" s="128">
        <f ca="1">COUNTIF($L55:INDIRECT(ADDRESS(ROW(),MATCH("",$4:$4,-1),1,1)),"N/A")</f>
        <v>0</v>
      </c>
      <c r="L55" s="129" t="str">
        <f t="shared" ca="1" si="0"/>
        <v/>
      </c>
    </row>
    <row r="56" spans="1:12" ht="16.5" customHeight="1" x14ac:dyDescent="0.3">
      <c r="A56" s="216"/>
      <c r="B56" s="140" t="s">
        <v>169</v>
      </c>
      <c r="C56" s="87" t="s">
        <v>393</v>
      </c>
      <c r="D56" s="128" t="s">
        <v>91</v>
      </c>
      <c r="E56" s="166">
        <f t="shared" si="1"/>
        <v>8</v>
      </c>
      <c r="F56" s="128">
        <f ca="1">COUNTA($L56:INDIRECT(ADDRESS(ROW(),MATCH("",$4:$4,-1),1,1)))</f>
        <v>1</v>
      </c>
      <c r="G56" s="128">
        <f t="shared" ref="G56" ca="1" si="10">F56-K56</f>
        <v>1</v>
      </c>
      <c r="H56" s="128">
        <f ca="1">COUNTIF($L56:INDIRECT(ADDRESS(ROW(),MATCH("",$4:$4,-1),1,1)),H$5)</f>
        <v>0</v>
      </c>
      <c r="I56" s="128">
        <f ca="1">COUNTIF($L56:INDIRECT(ADDRESS(ROW(),MATCH("",$4:$4,-1),1,1)),I$5)</f>
        <v>0</v>
      </c>
      <c r="J56" s="128">
        <f ca="1">COUNTIF($L56:INDIRECT(ADDRESS(ROW(),MATCH("",$4:$4,-1),1,1)),J$5)</f>
        <v>0</v>
      </c>
      <c r="K56" s="128">
        <f ca="1">COUNTIF($L56:INDIRECT(ADDRESS(ROW(),MATCH("",$4:$4,-1),1,1)),"N/A")</f>
        <v>0</v>
      </c>
      <c r="L56" s="129" t="str">
        <f t="shared" ca="1" si="0"/>
        <v/>
      </c>
    </row>
    <row r="57" spans="1:12" ht="16.5" customHeight="1" x14ac:dyDescent="0.3">
      <c r="A57" s="216"/>
      <c r="B57" s="140" t="s">
        <v>170</v>
      </c>
      <c r="C57" s="87" t="s">
        <v>394</v>
      </c>
      <c r="D57" s="128" t="s">
        <v>91</v>
      </c>
      <c r="E57" s="166">
        <f t="shared" si="1"/>
        <v>8</v>
      </c>
      <c r="F57" s="128">
        <f ca="1">COUNTA($L57:INDIRECT(ADDRESS(ROW(),MATCH("",$4:$4,-1),1,1)))</f>
        <v>1</v>
      </c>
      <c r="G57" s="128">
        <f t="shared" ref="G57:G58" ca="1" si="11">F57-K57</f>
        <v>1</v>
      </c>
      <c r="H57" s="128">
        <f ca="1">COUNTIF($L57:INDIRECT(ADDRESS(ROW(),MATCH("",$4:$4,-1),1,1)),H$5)</f>
        <v>0</v>
      </c>
      <c r="I57" s="128">
        <f ca="1">COUNTIF($L57:INDIRECT(ADDRESS(ROW(),MATCH("",$4:$4,-1),1,1)),I$5)</f>
        <v>0</v>
      </c>
      <c r="J57" s="128">
        <f ca="1">COUNTIF($L57:INDIRECT(ADDRESS(ROW(),MATCH("",$4:$4,-1),1,1)),J$5)</f>
        <v>0</v>
      </c>
      <c r="K57" s="128">
        <f ca="1">COUNTIF($L57:INDIRECT(ADDRESS(ROW(),MATCH("",$4:$4,-1),1,1)),"N/A")</f>
        <v>0</v>
      </c>
      <c r="L57" s="129" t="str">
        <f t="shared" ca="1" si="0"/>
        <v/>
      </c>
    </row>
    <row r="58" spans="1:12" ht="16.5" customHeight="1" x14ac:dyDescent="0.3">
      <c r="A58" s="216"/>
      <c r="B58" s="140" t="s">
        <v>171</v>
      </c>
      <c r="C58" s="87" t="s">
        <v>396</v>
      </c>
      <c r="D58" s="128" t="s">
        <v>93</v>
      </c>
      <c r="E58" s="166">
        <f t="shared" si="1"/>
        <v>6</v>
      </c>
      <c r="F58" s="128">
        <f ca="1">COUNTA($L58:INDIRECT(ADDRESS(ROW(),MATCH("",$4:$4,-1),1,1)))</f>
        <v>1</v>
      </c>
      <c r="G58" s="128">
        <f t="shared" ca="1" si="11"/>
        <v>1</v>
      </c>
      <c r="H58" s="128">
        <f ca="1">COUNTIF($L58:INDIRECT(ADDRESS(ROW(),MATCH("",$4:$4,-1),1,1)),H$5)</f>
        <v>0</v>
      </c>
      <c r="I58" s="128">
        <f ca="1">COUNTIF($L58:INDIRECT(ADDRESS(ROW(),MATCH("",$4:$4,-1),1,1)),I$5)</f>
        <v>0</v>
      </c>
      <c r="J58" s="128">
        <f ca="1">COUNTIF($L58:INDIRECT(ADDRESS(ROW(),MATCH("",$4:$4,-1),1,1)),J$5)</f>
        <v>0</v>
      </c>
      <c r="K58" s="128">
        <f ca="1">COUNTIF($L58:INDIRECT(ADDRESS(ROW(),MATCH("",$4:$4,-1),1,1)),"N/A")</f>
        <v>0</v>
      </c>
      <c r="L58" s="129" t="str">
        <f t="shared" ca="1" si="0"/>
        <v/>
      </c>
    </row>
    <row r="59" spans="1:12" ht="16.5" customHeight="1" x14ac:dyDescent="0.3">
      <c r="A59" s="216"/>
      <c r="B59" s="140" t="s">
        <v>172</v>
      </c>
      <c r="C59" s="87" t="s">
        <v>395</v>
      </c>
      <c r="D59" s="128" t="s">
        <v>91</v>
      </c>
      <c r="E59" s="166">
        <f t="shared" si="1"/>
        <v>8</v>
      </c>
      <c r="F59" s="128">
        <f ca="1">COUNTA($L59:INDIRECT(ADDRESS(ROW(),MATCH("",$4:$4,-1),1,1)))</f>
        <v>1</v>
      </c>
      <c r="G59" s="128">
        <f t="shared" ref="G59" ca="1" si="12">F59-K59</f>
        <v>1</v>
      </c>
      <c r="H59" s="128">
        <f ca="1">COUNTIF($L59:INDIRECT(ADDRESS(ROW(),MATCH("",$4:$4,-1),1,1)),H$5)</f>
        <v>0</v>
      </c>
      <c r="I59" s="128">
        <f ca="1">COUNTIF($L59:INDIRECT(ADDRESS(ROW(),MATCH("",$4:$4,-1),1,1)),I$5)</f>
        <v>0</v>
      </c>
      <c r="J59" s="128">
        <f ca="1">COUNTIF($L59:INDIRECT(ADDRESS(ROW(),MATCH("",$4:$4,-1),1,1)),J$5)</f>
        <v>0</v>
      </c>
      <c r="K59" s="128">
        <f ca="1">COUNTIF($L59:INDIRECT(ADDRESS(ROW(),MATCH("",$4:$4,-1),1,1)),"N/A")</f>
        <v>0</v>
      </c>
      <c r="L59" s="129" t="str">
        <f t="shared" ca="1" si="0"/>
        <v/>
      </c>
    </row>
    <row r="60" spans="1:12" x14ac:dyDescent="0.3">
      <c r="A60" s="216"/>
      <c r="B60" s="140" t="s">
        <v>173</v>
      </c>
      <c r="C60" s="87" t="s">
        <v>397</v>
      </c>
      <c r="D60" s="128" t="s">
        <v>91</v>
      </c>
      <c r="E60" s="166">
        <f t="shared" si="1"/>
        <v>8</v>
      </c>
      <c r="F60" s="128">
        <f ca="1">COUNTA($L60:INDIRECT(ADDRESS(ROW(),MATCH("",$4:$4,-1),1,1)))</f>
        <v>1</v>
      </c>
      <c r="G60" s="128">
        <f t="shared" ca="1" si="2"/>
        <v>1</v>
      </c>
      <c r="H60" s="128">
        <f ca="1">COUNTIF($L60:INDIRECT(ADDRESS(ROW(),MATCH("",$4:$4,-1),1,1)),H$5)</f>
        <v>0</v>
      </c>
      <c r="I60" s="128">
        <f ca="1">COUNTIF($L60:INDIRECT(ADDRESS(ROW(),MATCH("",$4:$4,-1),1,1)),I$5)</f>
        <v>0</v>
      </c>
      <c r="J60" s="128">
        <f ca="1">COUNTIF($L60:INDIRECT(ADDRESS(ROW(),MATCH("",$4:$4,-1),1,1)),J$5)</f>
        <v>0</v>
      </c>
      <c r="K60" s="128">
        <f ca="1">COUNTIF($L60:INDIRECT(ADDRESS(ROW(),MATCH("",$4:$4,-1),1,1)),"N/A")</f>
        <v>0</v>
      </c>
      <c r="L60" s="129" t="str">
        <f t="shared" ca="1" si="0"/>
        <v/>
      </c>
    </row>
    <row r="61" spans="1:12" x14ac:dyDescent="0.3">
      <c r="A61" s="216"/>
      <c r="B61" s="140" t="s">
        <v>174</v>
      </c>
      <c r="C61" s="87" t="s">
        <v>398</v>
      </c>
      <c r="D61" s="128" t="s">
        <v>93</v>
      </c>
      <c r="E61" s="166">
        <f t="shared" si="1"/>
        <v>6</v>
      </c>
      <c r="F61" s="128">
        <f ca="1">COUNTA($L61:INDIRECT(ADDRESS(ROW(),MATCH("",$4:$4,-1),1,1)))</f>
        <v>1</v>
      </c>
      <c r="G61" s="128">
        <f t="shared" ca="1" si="2"/>
        <v>1</v>
      </c>
      <c r="H61" s="128">
        <f ca="1">COUNTIF($L61:INDIRECT(ADDRESS(ROW(),MATCH("",$4:$4,-1),1,1)),H$5)</f>
        <v>0</v>
      </c>
      <c r="I61" s="128">
        <f ca="1">COUNTIF($L61:INDIRECT(ADDRESS(ROW(),MATCH("",$4:$4,-1),1,1)),I$5)</f>
        <v>0</v>
      </c>
      <c r="J61" s="128">
        <f ca="1">COUNTIF($L61:INDIRECT(ADDRESS(ROW(),MATCH("",$4:$4,-1),1,1)),J$5)</f>
        <v>0</v>
      </c>
      <c r="K61" s="128">
        <f ca="1">COUNTIF($L61:INDIRECT(ADDRESS(ROW(),MATCH("",$4:$4,-1),1,1)),"N/A")</f>
        <v>0</v>
      </c>
      <c r="L61" s="129" t="str">
        <f t="shared" ca="1" si="0"/>
        <v/>
      </c>
    </row>
    <row r="62" spans="1:12" x14ac:dyDescent="0.3">
      <c r="A62" s="216"/>
      <c r="B62" s="140" t="s">
        <v>175</v>
      </c>
      <c r="C62" s="87" t="s">
        <v>181</v>
      </c>
      <c r="D62" s="128" t="s">
        <v>91</v>
      </c>
      <c r="E62" s="166">
        <f t="shared" si="1"/>
        <v>8</v>
      </c>
      <c r="F62" s="128">
        <f ca="1">COUNTA($L62:INDIRECT(ADDRESS(ROW(),MATCH("",$4:$4,-1),1,1)))</f>
        <v>1</v>
      </c>
      <c r="G62" s="128">
        <f t="shared" ca="1" si="2"/>
        <v>1</v>
      </c>
      <c r="H62" s="128">
        <f ca="1">COUNTIF($L62:INDIRECT(ADDRESS(ROW(),MATCH("",$4:$4,-1),1,1)),H$5)</f>
        <v>0</v>
      </c>
      <c r="I62" s="128">
        <f ca="1">COUNTIF($L62:INDIRECT(ADDRESS(ROW(),MATCH("",$4:$4,-1),1,1)),I$5)</f>
        <v>0</v>
      </c>
      <c r="J62" s="128">
        <f ca="1">COUNTIF($L62:INDIRECT(ADDRESS(ROW(),MATCH("",$4:$4,-1),1,1)),J$5)</f>
        <v>0</v>
      </c>
      <c r="K62" s="128">
        <f ca="1">COUNTIF($L62:INDIRECT(ADDRESS(ROW(),MATCH("",$4:$4,-1),1,1)),"N/A")</f>
        <v>0</v>
      </c>
      <c r="L62" s="129" t="str">
        <f t="shared" ca="1" si="0"/>
        <v/>
      </c>
    </row>
    <row r="63" spans="1:12" x14ac:dyDescent="0.3">
      <c r="A63" s="216"/>
      <c r="B63" s="140" t="s">
        <v>176</v>
      </c>
      <c r="C63" s="87" t="s">
        <v>399</v>
      </c>
      <c r="D63" s="128" t="s">
        <v>91</v>
      </c>
      <c r="E63" s="166">
        <f t="shared" si="1"/>
        <v>8</v>
      </c>
      <c r="F63" s="128">
        <f ca="1">COUNTA($L63:INDIRECT(ADDRESS(ROW(),MATCH("",$4:$4,-1),1,1)))</f>
        <v>1</v>
      </c>
      <c r="G63" s="128">
        <f t="shared" ca="1" si="2"/>
        <v>1</v>
      </c>
      <c r="H63" s="128">
        <f ca="1">COUNTIF($L63:INDIRECT(ADDRESS(ROW(),MATCH("",$4:$4,-1),1,1)),H$5)</f>
        <v>0</v>
      </c>
      <c r="I63" s="128">
        <f ca="1">COUNTIF($L63:INDIRECT(ADDRESS(ROW(),MATCH("",$4:$4,-1),1,1)),I$5)</f>
        <v>0</v>
      </c>
      <c r="J63" s="128">
        <f ca="1">COUNTIF($L63:INDIRECT(ADDRESS(ROW(),MATCH("",$4:$4,-1),1,1)),J$5)</f>
        <v>0</v>
      </c>
      <c r="K63" s="128">
        <f ca="1">COUNTIF($L63:INDIRECT(ADDRESS(ROW(),MATCH("",$4:$4,-1),1,1)),"N/A")</f>
        <v>0</v>
      </c>
      <c r="L63" s="129" t="str">
        <f t="shared" ca="1" si="0"/>
        <v/>
      </c>
    </row>
    <row r="64" spans="1:12" x14ac:dyDescent="0.3">
      <c r="A64" s="216"/>
      <c r="B64" s="140" t="s">
        <v>177</v>
      </c>
      <c r="C64" s="87" t="s">
        <v>400</v>
      </c>
      <c r="D64" s="128" t="s">
        <v>85</v>
      </c>
      <c r="E64" s="166">
        <f t="shared" si="1"/>
        <v>10</v>
      </c>
      <c r="F64" s="128">
        <f ca="1">COUNTA($L64:INDIRECT(ADDRESS(ROW(),MATCH("",$4:$4,-1),1,1)))</f>
        <v>1</v>
      </c>
      <c r="G64" s="128">
        <f t="shared" ref="G64" ca="1" si="13">F64-K64</f>
        <v>1</v>
      </c>
      <c r="H64" s="128">
        <f ca="1">COUNTIF($L64:INDIRECT(ADDRESS(ROW(),MATCH("",$4:$4,-1),1,1)),H$5)</f>
        <v>0</v>
      </c>
      <c r="I64" s="128">
        <f ca="1">COUNTIF($L64:INDIRECT(ADDRESS(ROW(),MATCH("",$4:$4,-1),1,1)),I$5)</f>
        <v>0</v>
      </c>
      <c r="J64" s="128">
        <f ca="1">COUNTIF($L64:INDIRECT(ADDRESS(ROW(),MATCH("",$4:$4,-1),1,1)),J$5)</f>
        <v>0</v>
      </c>
      <c r="K64" s="128">
        <f ca="1">COUNTIF($L64:INDIRECT(ADDRESS(ROW(),MATCH("",$4:$4,-1),1,1)),"N/A")</f>
        <v>0</v>
      </c>
      <c r="L64" s="129" t="str">
        <f t="shared" ca="1" si="0"/>
        <v/>
      </c>
    </row>
    <row r="65" spans="1:12" x14ac:dyDescent="0.3">
      <c r="A65" s="216"/>
      <c r="B65" s="140" t="s">
        <v>178</v>
      </c>
      <c r="C65" s="87" t="s">
        <v>401</v>
      </c>
      <c r="D65" s="128" t="s">
        <v>91</v>
      </c>
      <c r="E65" s="166">
        <f t="shared" si="1"/>
        <v>8</v>
      </c>
      <c r="F65" s="128">
        <f ca="1">COUNTA($L65:INDIRECT(ADDRESS(ROW(),MATCH("",$4:$4,-1),1,1)))</f>
        <v>1</v>
      </c>
      <c r="G65" s="128">
        <f t="shared" ref="G65:G69" ca="1" si="14">F65-K65</f>
        <v>1</v>
      </c>
      <c r="H65" s="128">
        <f ca="1">COUNTIF($L65:INDIRECT(ADDRESS(ROW(),MATCH("",$4:$4,-1),1,1)),H$5)</f>
        <v>0</v>
      </c>
      <c r="I65" s="128">
        <f ca="1">COUNTIF($L65:INDIRECT(ADDRESS(ROW(),MATCH("",$4:$4,-1),1,1)),I$5)</f>
        <v>0</v>
      </c>
      <c r="J65" s="128">
        <f ca="1">COUNTIF($L65:INDIRECT(ADDRESS(ROW(),MATCH("",$4:$4,-1),1,1)),J$5)</f>
        <v>0</v>
      </c>
      <c r="K65" s="128">
        <f ca="1">COUNTIF($L65:INDIRECT(ADDRESS(ROW(),MATCH("",$4:$4,-1),1,1)),"N/A")</f>
        <v>0</v>
      </c>
      <c r="L65" s="129" t="str">
        <f t="shared" ca="1" si="0"/>
        <v/>
      </c>
    </row>
    <row r="66" spans="1:12" x14ac:dyDescent="0.3">
      <c r="A66" s="216"/>
      <c r="B66" s="140" t="s">
        <v>179</v>
      </c>
      <c r="C66" s="87" t="s">
        <v>402</v>
      </c>
      <c r="D66" s="128" t="s">
        <v>85</v>
      </c>
      <c r="E66" s="166">
        <f t="shared" si="1"/>
        <v>10</v>
      </c>
      <c r="F66" s="128">
        <f ca="1">COUNTA($L66:INDIRECT(ADDRESS(ROW(),MATCH("",$4:$4,-1),1,1)))</f>
        <v>1</v>
      </c>
      <c r="G66" s="128">
        <f t="shared" ca="1" si="14"/>
        <v>1</v>
      </c>
      <c r="H66" s="128">
        <f ca="1">COUNTIF($L66:INDIRECT(ADDRESS(ROW(),MATCH("",$4:$4,-1),1,1)),H$5)</f>
        <v>0</v>
      </c>
      <c r="I66" s="128">
        <f ca="1">COUNTIF($L66:INDIRECT(ADDRESS(ROW(),MATCH("",$4:$4,-1),1,1)),I$5)</f>
        <v>0</v>
      </c>
      <c r="J66" s="128">
        <f ca="1">COUNTIF($L66:INDIRECT(ADDRESS(ROW(),MATCH("",$4:$4,-1),1,1)),J$5)</f>
        <v>0</v>
      </c>
      <c r="K66" s="128">
        <f ca="1">COUNTIF($L66:INDIRECT(ADDRESS(ROW(),MATCH("",$4:$4,-1),1,1)),"N/A")</f>
        <v>0</v>
      </c>
      <c r="L66" s="129" t="str">
        <f t="shared" ca="1" si="0"/>
        <v/>
      </c>
    </row>
    <row r="67" spans="1:12" x14ac:dyDescent="0.3">
      <c r="A67" s="216"/>
      <c r="B67" s="140" t="s">
        <v>180</v>
      </c>
      <c r="C67" s="87" t="s">
        <v>347</v>
      </c>
      <c r="D67" s="128" t="s">
        <v>93</v>
      </c>
      <c r="E67" s="166">
        <f t="shared" si="1"/>
        <v>6</v>
      </c>
      <c r="F67" s="128">
        <f ca="1">COUNTA($L67:INDIRECT(ADDRESS(ROW(),MATCH("",$4:$4,-1),1,1)))</f>
        <v>1</v>
      </c>
      <c r="G67" s="128">
        <f t="shared" ca="1" si="14"/>
        <v>1</v>
      </c>
      <c r="H67" s="128">
        <f ca="1">COUNTIF($L67:INDIRECT(ADDRESS(ROW(),MATCH("",$4:$4,-1),1,1)),H$5)</f>
        <v>0</v>
      </c>
      <c r="I67" s="128">
        <f ca="1">COUNTIF($L67:INDIRECT(ADDRESS(ROW(),MATCH("",$4:$4,-1),1,1)),I$5)</f>
        <v>0</v>
      </c>
      <c r="J67" s="128">
        <f ca="1">COUNTIF($L67:INDIRECT(ADDRESS(ROW(),MATCH("",$4:$4,-1),1,1)),J$5)</f>
        <v>0</v>
      </c>
      <c r="K67" s="128">
        <f ca="1">COUNTIF($L67:INDIRECT(ADDRESS(ROW(),MATCH("",$4:$4,-1),1,1)),"N/A")</f>
        <v>0</v>
      </c>
      <c r="L67" s="129" t="str">
        <f t="shared" ca="1" si="0"/>
        <v/>
      </c>
    </row>
    <row r="68" spans="1:12" ht="17.25" thickBot="1" x14ac:dyDescent="0.35">
      <c r="A68" s="217"/>
      <c r="B68" s="141" t="s">
        <v>182</v>
      </c>
      <c r="C68" s="134" t="s">
        <v>403</v>
      </c>
      <c r="D68" s="135" t="s">
        <v>91</v>
      </c>
      <c r="E68" s="163">
        <f t="shared" si="1"/>
        <v>8</v>
      </c>
      <c r="F68" s="135">
        <f ca="1">COUNTA($L68:INDIRECT(ADDRESS(ROW(),MATCH("",$4:$4,-1),1,1)))</f>
        <v>1</v>
      </c>
      <c r="G68" s="135">
        <f t="shared" ca="1" si="14"/>
        <v>1</v>
      </c>
      <c r="H68" s="135">
        <f ca="1">COUNTIF($L68:INDIRECT(ADDRESS(ROW(),MATCH("",$4:$4,-1),1,1)),H$5)</f>
        <v>0</v>
      </c>
      <c r="I68" s="135">
        <f ca="1">COUNTIF($L68:INDIRECT(ADDRESS(ROW(),MATCH("",$4:$4,-1),1,1)),I$5)</f>
        <v>0</v>
      </c>
      <c r="J68" s="135">
        <f ca="1">COUNTIF($L68:INDIRECT(ADDRESS(ROW(),MATCH("",$4:$4,-1),1,1)),J$5)</f>
        <v>0</v>
      </c>
      <c r="K68" s="135">
        <f ca="1">COUNTIF($L68:INDIRECT(ADDRESS(ROW(),MATCH("",$4:$4,-1),1,1)),"N/A")</f>
        <v>0</v>
      </c>
      <c r="L68" s="150" t="str">
        <f t="shared" ca="1" si="0"/>
        <v/>
      </c>
    </row>
    <row r="69" spans="1:12" ht="17.25" thickBot="1" x14ac:dyDescent="0.35">
      <c r="A69" s="142" t="s">
        <v>55</v>
      </c>
      <c r="B69" s="143" t="s">
        <v>183</v>
      </c>
      <c r="C69" s="144" t="s">
        <v>404</v>
      </c>
      <c r="D69" s="145" t="s">
        <v>85</v>
      </c>
      <c r="E69" s="164">
        <f t="shared" si="1"/>
        <v>10</v>
      </c>
      <c r="F69" s="145">
        <f ca="1">COUNTA($L69:INDIRECT(ADDRESS(ROW(),MATCH("",$4:$4,-1),1,1)))</f>
        <v>1</v>
      </c>
      <c r="G69" s="145">
        <f t="shared" ca="1" si="14"/>
        <v>1</v>
      </c>
      <c r="H69" s="145">
        <f ca="1">COUNTIF($L69:INDIRECT(ADDRESS(ROW(),MATCH("",$4:$4,-1),1,1)),H$5)</f>
        <v>0</v>
      </c>
      <c r="I69" s="145">
        <f ca="1">COUNTIF($L69:INDIRECT(ADDRESS(ROW(),MATCH("",$4:$4,-1),1,1)),I$5)</f>
        <v>0</v>
      </c>
      <c r="J69" s="145">
        <f ca="1">COUNTIF($L69:INDIRECT(ADDRESS(ROW(),MATCH("",$4:$4,-1),1,1)),J$5)</f>
        <v>0</v>
      </c>
      <c r="K69" s="146">
        <f ca="1">COUNTIF($L69:INDIRECT(ADDRESS(ROW(),MATCH("",$4:$4,-1),1,1)),"N/A")</f>
        <v>0</v>
      </c>
      <c r="L69" s="151" t="str">
        <f t="shared" ca="1" si="0"/>
        <v/>
      </c>
    </row>
    <row r="70" spans="1:12" x14ac:dyDescent="0.3">
      <c r="A70" s="218" t="s">
        <v>56</v>
      </c>
      <c r="B70" s="109" t="s">
        <v>184</v>
      </c>
      <c r="C70" s="138" t="s">
        <v>405</v>
      </c>
      <c r="D70" s="139" t="s">
        <v>91</v>
      </c>
      <c r="E70" s="166">
        <f t="shared" si="1"/>
        <v>8</v>
      </c>
      <c r="F70" s="139">
        <f ca="1">COUNTA($L70:INDIRECT(ADDRESS(ROW(),MATCH("",$4:$4,-1),1,1)))</f>
        <v>1</v>
      </c>
      <c r="G70" s="139">
        <f t="shared" ref="G70:G72" ca="1" si="15">F70-K70</f>
        <v>1</v>
      </c>
      <c r="H70" s="139">
        <f ca="1">COUNTIF($L70:INDIRECT(ADDRESS(ROW(),MATCH("",$4:$4,-1),1,1)),H$5)</f>
        <v>0</v>
      </c>
      <c r="I70" s="139">
        <f ca="1">COUNTIF($L70:INDIRECT(ADDRESS(ROW(),MATCH("",$4:$4,-1),1,1)),I$5)</f>
        <v>0</v>
      </c>
      <c r="J70" s="139">
        <f ca="1">COUNTIF($L70:INDIRECT(ADDRESS(ROW(),MATCH("",$4:$4,-1),1,1)),J$5)</f>
        <v>0</v>
      </c>
      <c r="K70" s="147">
        <f ca="1">COUNTIF($L70:INDIRECT(ADDRESS(ROW(),MATCH("",$4:$4,-1),1,1)),"N/A")</f>
        <v>0</v>
      </c>
      <c r="L70" s="149" t="str">
        <f t="shared" ref="L70:L72" ca="1" si="16">IFERROR(INDIRECT(ADDRESS(ROW()+22,15,1,TRUE,L$4)),"")</f>
        <v/>
      </c>
    </row>
    <row r="71" spans="1:12" x14ac:dyDescent="0.3">
      <c r="A71" s="219"/>
      <c r="B71" s="100" t="s">
        <v>185</v>
      </c>
      <c r="C71" s="87" t="s">
        <v>188</v>
      </c>
      <c r="D71" s="128" t="s">
        <v>91</v>
      </c>
      <c r="E71" s="166">
        <f t="shared" ref="E71:E72" si="17">IF(D71="상",10,IF(D71="중",8,6))</f>
        <v>8</v>
      </c>
      <c r="F71" s="128">
        <f ca="1">COUNTA($L71:INDIRECT(ADDRESS(ROW(),MATCH("",$4:$4,-1),1,1)))</f>
        <v>1</v>
      </c>
      <c r="G71" s="128">
        <f t="shared" ca="1" si="15"/>
        <v>1</v>
      </c>
      <c r="H71" s="128">
        <f ca="1">COUNTIF($L71:INDIRECT(ADDRESS(ROW(),MATCH("",$4:$4,-1),1,1)),H$5)</f>
        <v>0</v>
      </c>
      <c r="I71" s="128">
        <f ca="1">COUNTIF($L71:INDIRECT(ADDRESS(ROW(),MATCH("",$4:$4,-1),1,1)),I$5)</f>
        <v>0</v>
      </c>
      <c r="J71" s="128">
        <f ca="1">COUNTIF($L71:INDIRECT(ADDRESS(ROW(),MATCH("",$4:$4,-1),1,1)),J$5)</f>
        <v>0</v>
      </c>
      <c r="K71" s="133">
        <f ca="1">COUNTIF($L71:INDIRECT(ADDRESS(ROW(),MATCH("",$4:$4,-1),1,1)),"N/A")</f>
        <v>0</v>
      </c>
      <c r="L71" s="129" t="str">
        <f t="shared" ca="1" si="16"/>
        <v/>
      </c>
    </row>
    <row r="72" spans="1:12" ht="17.25" thickBot="1" x14ac:dyDescent="0.35">
      <c r="A72" s="220"/>
      <c r="B72" s="100" t="s">
        <v>186</v>
      </c>
      <c r="C72" s="134" t="s">
        <v>406</v>
      </c>
      <c r="D72" s="135" t="s">
        <v>91</v>
      </c>
      <c r="E72" s="166">
        <f t="shared" si="17"/>
        <v>8</v>
      </c>
      <c r="F72" s="135">
        <f ca="1">COUNTA($L72:INDIRECT(ADDRESS(ROW(),MATCH("",$4:$4,-1),1,1)))</f>
        <v>1</v>
      </c>
      <c r="G72" s="135">
        <f t="shared" ca="1" si="15"/>
        <v>1</v>
      </c>
      <c r="H72" s="135">
        <f ca="1">COUNTIF($L72:INDIRECT(ADDRESS(ROW(),MATCH("",$4:$4,-1),1,1)),H$5)</f>
        <v>0</v>
      </c>
      <c r="I72" s="135">
        <f ca="1">COUNTIF($L72:INDIRECT(ADDRESS(ROW(),MATCH("",$4:$4,-1),1,1)),I$5)</f>
        <v>0</v>
      </c>
      <c r="J72" s="135">
        <f ca="1">COUNTIF($L72:INDIRECT(ADDRESS(ROW(),MATCH("",$4:$4,-1),1,1)),J$5)</f>
        <v>0</v>
      </c>
      <c r="K72" s="136">
        <f ca="1">COUNTIF($L72:INDIRECT(ADDRESS(ROW(),MATCH("",$4:$4,-1),1,1)),"N/A")</f>
        <v>0</v>
      </c>
      <c r="L72" s="150" t="str">
        <f t="shared" ca="1" si="16"/>
        <v/>
      </c>
    </row>
    <row r="73" spans="1:12" ht="17.25" thickBot="1" x14ac:dyDescent="0.35">
      <c r="A73" s="208" t="s">
        <v>189</v>
      </c>
      <c r="B73" s="209"/>
      <c r="C73" s="210"/>
      <c r="D73" s="211"/>
      <c r="E73" s="148">
        <f t="shared" ref="E73:K73" si="18">SUM(E6:E72)</f>
        <v>598</v>
      </c>
      <c r="F73" s="148">
        <f t="shared" ca="1" si="18"/>
        <v>67</v>
      </c>
      <c r="G73" s="148">
        <f t="shared" ca="1" si="18"/>
        <v>67</v>
      </c>
      <c r="H73" s="148">
        <f t="shared" ca="1" si="18"/>
        <v>0</v>
      </c>
      <c r="I73" s="148">
        <f t="shared" ca="1" si="18"/>
        <v>0</v>
      </c>
      <c r="J73" s="139">
        <f t="shared" ca="1" si="18"/>
        <v>0</v>
      </c>
      <c r="K73" s="139">
        <f t="shared" ca="1" si="18"/>
        <v>0</v>
      </c>
      <c r="L73" s="149">
        <f ca="1">COUNTIF(L6:L72,"양호")+COUNTIF(L6:L72,"취약")+COUNTIF(L6:L72,"부분만족")+COUNTIF(L6:L72,"N/A")</f>
        <v>0</v>
      </c>
    </row>
    <row r="75" spans="1:12" hidden="1" x14ac:dyDescent="0.3">
      <c r="G75" s="201" t="s">
        <v>190</v>
      </c>
      <c r="H75" s="202"/>
      <c r="I75" s="202"/>
      <c r="J75" s="82" t="s">
        <v>80</v>
      </c>
      <c r="K75" s="82">
        <f ca="1">SUM(L75:L75)</f>
        <v>0</v>
      </c>
      <c r="L75" s="82">
        <f ca="1">COUNTIF(L$6:L$72,$J75)</f>
        <v>0</v>
      </c>
    </row>
    <row r="76" spans="1:12" hidden="1" x14ac:dyDescent="0.3">
      <c r="G76" s="203" t="s">
        <v>191</v>
      </c>
      <c r="H76" s="204"/>
      <c r="I76" s="204"/>
      <c r="J76" s="80" t="s">
        <v>81</v>
      </c>
      <c r="K76" s="82">
        <f ca="1">SUM(L76:L76)</f>
        <v>0</v>
      </c>
      <c r="L76" s="79">
        <f ca="1">COUNTIF(L$6:L$72,$J76)</f>
        <v>0</v>
      </c>
    </row>
    <row r="77" spans="1:12" hidden="1" x14ac:dyDescent="0.3">
      <c r="G77" s="205" t="s">
        <v>192</v>
      </c>
      <c r="H77" s="206"/>
      <c r="I77" s="206"/>
      <c r="J77" s="81" t="s">
        <v>193</v>
      </c>
      <c r="K77" s="82">
        <f ca="1">SUM(L77:L77)</f>
        <v>0</v>
      </c>
      <c r="L77" s="79">
        <f ca="1">COUNTIF(L$6:L$72,$J77)</f>
        <v>0</v>
      </c>
    </row>
    <row r="78" spans="1:12" ht="17.25" hidden="1" thickBot="1" x14ac:dyDescent="0.35">
      <c r="G78" s="200" t="s">
        <v>82</v>
      </c>
      <c r="H78" s="207"/>
      <c r="I78" s="207"/>
      <c r="J78" s="83" t="s">
        <v>194</v>
      </c>
      <c r="K78" s="82">
        <f ca="1">SUM(L78:L78)</f>
        <v>0</v>
      </c>
      <c r="L78" s="83">
        <f ca="1">COUNTIF(L$6:L$72,$J78)</f>
        <v>0</v>
      </c>
    </row>
    <row r="79" spans="1:12" hidden="1" x14ac:dyDescent="0.3">
      <c r="K79" s="82"/>
    </row>
    <row r="80" spans="1:12" ht="16.5" hidden="1" customHeight="1" x14ac:dyDescent="0.3">
      <c r="I80" s="201" t="s">
        <v>13</v>
      </c>
      <c r="J80" s="82" t="s">
        <v>80</v>
      </c>
      <c r="K80" s="82">
        <f t="shared" ref="K80:K91" ca="1" si="19">SUM(L80:L80)</f>
        <v>0</v>
      </c>
      <c r="L80" s="82">
        <f ca="1">COUNTIFS($D$6:$D$72,$I$80,L$6:L$72,$J80)</f>
        <v>0</v>
      </c>
    </row>
    <row r="81" spans="9:12" ht="16.5" hidden="1" customHeight="1" x14ac:dyDescent="0.3">
      <c r="I81" s="199"/>
      <c r="J81" s="80" t="s">
        <v>81</v>
      </c>
      <c r="K81" s="82">
        <f t="shared" ca="1" si="19"/>
        <v>0</v>
      </c>
      <c r="L81" s="79">
        <f ca="1">COUNTIFS($D$6:$D$72,$I$80,L$6:L$72,$J81)</f>
        <v>0</v>
      </c>
    </row>
    <row r="82" spans="9:12" ht="16.5" hidden="1" customHeight="1" x14ac:dyDescent="0.3">
      <c r="I82" s="199"/>
      <c r="J82" s="81" t="s">
        <v>193</v>
      </c>
      <c r="K82" s="82">
        <f t="shared" ca="1" si="19"/>
        <v>0</v>
      </c>
      <c r="L82" s="79">
        <f ca="1">COUNTIFS($D$6:$D$72,$I$80,L$6:L$72,$J82)</f>
        <v>0</v>
      </c>
    </row>
    <row r="83" spans="9:12" ht="16.5" hidden="1" customHeight="1" x14ac:dyDescent="0.3">
      <c r="I83" s="199"/>
      <c r="J83" s="79" t="s">
        <v>194</v>
      </c>
      <c r="K83" s="82">
        <f t="shared" ca="1" si="19"/>
        <v>0</v>
      </c>
      <c r="L83" s="79">
        <f ca="1">COUNTIFS($D$6:$D$72,$I$80,L$6:L$72,$J83)</f>
        <v>0</v>
      </c>
    </row>
    <row r="84" spans="9:12" ht="16.5" hidden="1" customHeight="1" x14ac:dyDescent="0.3">
      <c r="I84" s="199" t="s">
        <v>14</v>
      </c>
      <c r="J84" s="79" t="s">
        <v>80</v>
      </c>
      <c r="K84" s="82">
        <f t="shared" ca="1" si="19"/>
        <v>0</v>
      </c>
      <c r="L84" s="79">
        <f ca="1">COUNTIFS($D$6:$D$72,$I$84,L$6:L$72,$J84)</f>
        <v>0</v>
      </c>
    </row>
    <row r="85" spans="9:12" ht="16.5" hidden="1" customHeight="1" x14ac:dyDescent="0.3">
      <c r="I85" s="199"/>
      <c r="J85" s="80" t="s">
        <v>81</v>
      </c>
      <c r="K85" s="82">
        <f t="shared" ca="1" si="19"/>
        <v>0</v>
      </c>
      <c r="L85" s="79">
        <f ca="1">COUNTIFS($D$6:$D$72,$I$84,L$6:L$72,$J85)</f>
        <v>0</v>
      </c>
    </row>
    <row r="86" spans="9:12" ht="16.5" hidden="1" customHeight="1" x14ac:dyDescent="0.3">
      <c r="I86" s="199"/>
      <c r="J86" s="81" t="s">
        <v>193</v>
      </c>
      <c r="K86" s="82">
        <f t="shared" ca="1" si="19"/>
        <v>0</v>
      </c>
      <c r="L86" s="79">
        <f ca="1">COUNTIFS($D$6:$D$72,$I$84,L$6:L$72,$J86)</f>
        <v>0</v>
      </c>
    </row>
    <row r="87" spans="9:12" ht="16.5" hidden="1" customHeight="1" x14ac:dyDescent="0.3">
      <c r="I87" s="199"/>
      <c r="J87" s="79" t="s">
        <v>194</v>
      </c>
      <c r="K87" s="82">
        <f t="shared" ca="1" si="19"/>
        <v>0</v>
      </c>
      <c r="L87" s="79">
        <f ca="1">COUNTIFS($D$6:$D$72,$I$84,L$6:L$72,$J87)</f>
        <v>0</v>
      </c>
    </row>
    <row r="88" spans="9:12" ht="16.5" hidden="1" customHeight="1" x14ac:dyDescent="0.3">
      <c r="I88" s="199" t="s">
        <v>15</v>
      </c>
      <c r="J88" s="79" t="s">
        <v>80</v>
      </c>
      <c r="K88" s="82">
        <f t="shared" ca="1" si="19"/>
        <v>0</v>
      </c>
      <c r="L88" s="79">
        <f ca="1">COUNTIFS($D$6:$D$72,$I$88,L$6:L$72,$J88)</f>
        <v>0</v>
      </c>
    </row>
    <row r="89" spans="9:12" ht="16.5" hidden="1" customHeight="1" x14ac:dyDescent="0.3">
      <c r="I89" s="199"/>
      <c r="J89" s="80" t="s">
        <v>81</v>
      </c>
      <c r="K89" s="82">
        <f t="shared" ca="1" si="19"/>
        <v>0</v>
      </c>
      <c r="L89" s="79">
        <f ca="1">COUNTIFS($D$6:$D$72,$I$88,L$6:L$72,$J89)</f>
        <v>0</v>
      </c>
    </row>
    <row r="90" spans="9:12" ht="16.5" hidden="1" customHeight="1" x14ac:dyDescent="0.3">
      <c r="I90" s="199"/>
      <c r="J90" s="81" t="s">
        <v>193</v>
      </c>
      <c r="K90" s="82">
        <f t="shared" ca="1" si="19"/>
        <v>0</v>
      </c>
      <c r="L90" s="79">
        <f ca="1">COUNTIFS($D$6:$D$72,$I$88,L$6:L$72,$J90)</f>
        <v>0</v>
      </c>
    </row>
    <row r="91" spans="9:12" ht="16.5" hidden="1" customHeight="1" x14ac:dyDescent="0.3">
      <c r="I91" s="200"/>
      <c r="J91" s="83" t="s">
        <v>194</v>
      </c>
      <c r="K91" s="82">
        <f t="shared" ca="1" si="19"/>
        <v>0</v>
      </c>
      <c r="L91" s="83">
        <f ca="1">COUNTIFS($D$6:$D$72,$I$88,L$6:L$72,$J91)</f>
        <v>0</v>
      </c>
    </row>
    <row r="92" spans="9:12" ht="16.5" customHeight="1" x14ac:dyDescent="0.3"/>
    <row r="93" spans="9:12" ht="16.5" customHeight="1" x14ac:dyDescent="0.3"/>
    <row r="94" spans="9:12" ht="16.5" customHeight="1" x14ac:dyDescent="0.3"/>
    <row r="95" spans="9:12" ht="16.5" customHeight="1" x14ac:dyDescent="0.3"/>
    <row r="96" spans="9:12" ht="16.5" customHeight="1" x14ac:dyDescent="0.3"/>
    <row r="97" ht="16.5" customHeight="1" x14ac:dyDescent="0.3"/>
    <row r="98" ht="16.5" customHeight="1" x14ac:dyDescent="0.3"/>
    <row r="99" ht="16.5" customHeight="1" x14ac:dyDescent="0.3"/>
    <row r="100" ht="16.5" customHeight="1" x14ac:dyDescent="0.3"/>
    <row r="101" ht="16.5" customHeight="1" x14ac:dyDescent="0.3"/>
    <row r="102" ht="16.5" customHeight="1" x14ac:dyDescent="0.3"/>
    <row r="103" ht="16.5" customHeight="1" x14ac:dyDescent="0.3"/>
    <row r="104" ht="16.5" customHeight="1" x14ac:dyDescent="0.3"/>
    <row r="105" ht="16.5" customHeight="1" x14ac:dyDescent="0.3"/>
    <row r="106" ht="16.5" customHeight="1" x14ac:dyDescent="0.3"/>
    <row r="107" ht="16.5" customHeight="1" x14ac:dyDescent="0.3"/>
    <row r="108" ht="16.5" customHeight="1" x14ac:dyDescent="0.3"/>
    <row r="109" ht="16.5" customHeight="1" x14ac:dyDescent="0.3"/>
    <row r="110" ht="16.5" customHeight="1" x14ac:dyDescent="0.3"/>
    <row r="111" ht="16.5" customHeight="1" x14ac:dyDescent="0.3"/>
    <row r="112" ht="16.5" customHeight="1" x14ac:dyDescent="0.3"/>
    <row r="113" ht="16.5" customHeight="1" x14ac:dyDescent="0.3"/>
    <row r="114" ht="16.5" customHeight="1" x14ac:dyDescent="0.3"/>
    <row r="115" ht="16.5" customHeight="1" x14ac:dyDescent="0.3"/>
    <row r="116" ht="16.5" customHeight="1" x14ac:dyDescent="0.3"/>
    <row r="117" ht="16.5" customHeight="1" x14ac:dyDescent="0.3"/>
    <row r="118" ht="16.5" customHeight="1" x14ac:dyDescent="0.3"/>
    <row r="119" ht="16.5" customHeight="1" x14ac:dyDescent="0.3"/>
    <row r="120" ht="16.5" customHeight="1" x14ac:dyDescent="0.3"/>
    <row r="121" ht="16.5" customHeight="1" x14ac:dyDescent="0.3"/>
    <row r="122" ht="16.5" customHeight="1" x14ac:dyDescent="0.3"/>
    <row r="123" ht="16.5" customHeight="1" x14ac:dyDescent="0.3"/>
    <row r="124" ht="16.5" customHeight="1" x14ac:dyDescent="0.3"/>
    <row r="125" ht="16.5" customHeight="1" x14ac:dyDescent="0.3"/>
    <row r="126" ht="16.5" customHeight="1" x14ac:dyDescent="0.3"/>
    <row r="127" ht="16.5" customHeight="1" x14ac:dyDescent="0.3"/>
    <row r="128" ht="16.5" customHeight="1" x14ac:dyDescent="0.3"/>
    <row r="129" ht="16.5" customHeight="1" x14ac:dyDescent="0.3"/>
    <row r="130" ht="16.5" customHeight="1" x14ac:dyDescent="0.3"/>
    <row r="131" ht="16.5" customHeight="1" x14ac:dyDescent="0.3"/>
    <row r="132" ht="16.5" customHeight="1" x14ac:dyDescent="0.3"/>
  </sheetData>
  <mergeCells count="17">
    <mergeCell ref="A4:C4"/>
    <mergeCell ref="D4:D5"/>
    <mergeCell ref="E4:E5"/>
    <mergeCell ref="F4:K4"/>
    <mergeCell ref="L4:L5"/>
    <mergeCell ref="A73:D73"/>
    <mergeCell ref="A19:A38"/>
    <mergeCell ref="A39:A68"/>
    <mergeCell ref="A70:A72"/>
    <mergeCell ref="A6:A18"/>
    <mergeCell ref="I88:I91"/>
    <mergeCell ref="G75:I75"/>
    <mergeCell ref="G76:I76"/>
    <mergeCell ref="G77:I77"/>
    <mergeCell ref="G78:I78"/>
    <mergeCell ref="I80:I83"/>
    <mergeCell ref="I84:I87"/>
  </mergeCells>
  <phoneticPr fontId="1" type="noConversion"/>
  <conditionalFormatting sqref="B6:B72">
    <cfRule type="cellIs" dxfId="11" priority="1" stopIfTrue="1" operator="equal">
      <formula>"N/A"</formula>
    </cfRule>
    <cfRule type="cellIs" dxfId="10" priority="2" stopIfTrue="1" operator="equal">
      <formula>"N"</formula>
    </cfRule>
  </conditionalFormatting>
  <conditionalFormatting sqref="L6:L72">
    <cfRule type="cellIs" dxfId="9" priority="3" operator="equal">
      <formula>"인터뷰"</formula>
    </cfRule>
    <cfRule type="cellIs" dxfId="8" priority="4" stopIfTrue="1" operator="equal">
      <formula>"취약"</formula>
    </cfRule>
    <cfRule type="cellIs" dxfId="7" priority="5" stopIfTrue="1" operator="equal">
      <formula>"부분만족"</formula>
    </cfRule>
    <cfRule type="cellIs" dxfId="6" priority="6" stopIfTrue="1" operator="equal">
      <formula>"N/A"</formula>
    </cfRule>
  </conditionalFormatting>
  <pageMargins left="0.39370078740157483" right="0.39370078740157483" top="0.59055118110236227" bottom="0.59055118110236227" header="0.19685039370078741" footer="0.19685039370078741"/>
  <pageSetup paperSize="9" scale="62"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K37"/>
  <sheetViews>
    <sheetView view="pageBreakPreview" zoomScale="75" zoomScaleNormal="85" zoomScaleSheetLayoutView="75" workbookViewId="0">
      <selection activeCell="B36" sqref="B36"/>
    </sheetView>
  </sheetViews>
  <sheetFormatPr defaultColWidth="9" defaultRowHeight="13.5" customHeight="1" x14ac:dyDescent="0.3"/>
  <cols>
    <col min="1" max="1" width="12.5" style="4" customWidth="1"/>
    <col min="2" max="2" width="18.5" style="4" bestFit="1" customWidth="1"/>
    <col min="3" max="3" width="10.75" style="4" customWidth="1"/>
    <col min="4" max="4" width="11.375" style="4" customWidth="1"/>
    <col min="5" max="6" width="9.5" style="4" customWidth="1"/>
    <col min="7" max="7" width="10.875" style="4" customWidth="1"/>
    <col min="8" max="8" width="11.25" style="4" customWidth="1"/>
    <col min="9" max="10" width="10.875" style="4" customWidth="1"/>
    <col min="11" max="11" width="12.25" style="4" customWidth="1"/>
    <col min="12" max="16384" width="9" style="4"/>
  </cols>
  <sheetData>
    <row r="1" spans="1:11" x14ac:dyDescent="0.3">
      <c r="A1" s="3"/>
      <c r="B1" s="3"/>
      <c r="C1" s="3"/>
      <c r="D1" s="3"/>
      <c r="E1" s="3"/>
      <c r="F1" s="3"/>
      <c r="G1" s="3"/>
      <c r="H1" s="3"/>
      <c r="I1" s="3"/>
      <c r="J1" s="3"/>
      <c r="K1" s="3"/>
    </row>
    <row r="2" spans="1:11" ht="17.25" x14ac:dyDescent="0.3">
      <c r="A2" s="244" t="s">
        <v>39</v>
      </c>
      <c r="B2" s="245"/>
      <c r="C2" s="245"/>
      <c r="D2" s="245"/>
      <c r="E2" s="245"/>
      <c r="F2" s="245"/>
      <c r="G2" s="245"/>
      <c r="H2" s="245"/>
      <c r="I2" s="245"/>
      <c r="J2" s="245"/>
      <c r="K2" s="245"/>
    </row>
    <row r="3" spans="1:11" ht="4.5" customHeight="1" thickBot="1" x14ac:dyDescent="0.35">
      <c r="A3" s="230"/>
      <c r="B3" s="230"/>
      <c r="C3" s="230"/>
      <c r="D3" s="230"/>
      <c r="E3" s="230"/>
      <c r="F3" s="230"/>
      <c r="G3" s="230"/>
      <c r="H3" s="230"/>
      <c r="I3" s="230"/>
      <c r="J3" s="230"/>
      <c r="K3" s="230"/>
    </row>
    <row r="4" spans="1:11" x14ac:dyDescent="0.3">
      <c r="A4" s="246" t="s">
        <v>40</v>
      </c>
      <c r="B4" s="247"/>
      <c r="C4" s="234" t="s">
        <v>41</v>
      </c>
      <c r="D4" s="235"/>
      <c r="E4" s="235"/>
      <c r="F4" s="235"/>
      <c r="G4" s="235"/>
      <c r="H4" s="236"/>
      <c r="I4" s="234" t="s">
        <v>42</v>
      </c>
      <c r="J4" s="235"/>
      <c r="K4" s="237"/>
    </row>
    <row r="5" spans="1:11" ht="14.25" thickBot="1" x14ac:dyDescent="0.35">
      <c r="A5" s="248"/>
      <c r="B5" s="249"/>
      <c r="C5" s="161" t="s">
        <v>43</v>
      </c>
      <c r="D5" s="161" t="s">
        <v>44</v>
      </c>
      <c r="E5" s="162" t="s">
        <v>45</v>
      </c>
      <c r="F5" s="162" t="s">
        <v>46</v>
      </c>
      <c r="G5" s="162" t="s">
        <v>47</v>
      </c>
      <c r="H5" s="162" t="s">
        <v>48</v>
      </c>
      <c r="I5" s="162" t="s">
        <v>49</v>
      </c>
      <c r="J5" s="162" t="s">
        <v>50</v>
      </c>
      <c r="K5" s="160" t="s">
        <v>51</v>
      </c>
    </row>
    <row r="6" spans="1:11" x14ac:dyDescent="0.3">
      <c r="A6" s="250" t="s">
        <v>52</v>
      </c>
      <c r="B6" s="251"/>
      <c r="C6" s="19">
        <f>SUM('sample:기준 DB'!D18)</f>
        <v>13</v>
      </c>
      <c r="D6" s="19">
        <f>SUM('sample:기준 DB'!E18)</f>
        <v>12</v>
      </c>
      <c r="E6" s="19">
        <f>SUM('sample:기준 DB'!F18)</f>
        <v>11</v>
      </c>
      <c r="F6" s="19">
        <f>SUM('sample:기준 DB'!G18)</f>
        <v>1</v>
      </c>
      <c r="G6" s="19">
        <f>SUM('sample:기준 DB'!H18)</f>
        <v>0</v>
      </c>
      <c r="H6" s="19">
        <f>SUM('sample:기준 DB'!I18)</f>
        <v>1</v>
      </c>
      <c r="I6" s="19">
        <f>SUM('sample:기준 DB'!J18)</f>
        <v>108</v>
      </c>
      <c r="J6" s="19">
        <f>SUM('sample:기준 DB'!K18)</f>
        <v>10</v>
      </c>
      <c r="K6" s="32">
        <f>IF(I6=0,"N/A",((I6-J6)/I6)*1)</f>
        <v>0.90740740740740744</v>
      </c>
    </row>
    <row r="7" spans="1:11" x14ac:dyDescent="0.3">
      <c r="A7" s="250" t="s">
        <v>53</v>
      </c>
      <c r="B7" s="251"/>
      <c r="C7" s="19">
        <f>SUM('sample:기준 DB'!D19)</f>
        <v>20</v>
      </c>
      <c r="D7" s="19">
        <f>SUM('sample:기준 DB'!E19)</f>
        <v>19</v>
      </c>
      <c r="E7" s="19">
        <f>SUM('sample:기준 DB'!F19)</f>
        <v>18</v>
      </c>
      <c r="F7" s="19">
        <f>SUM('sample:기준 DB'!G19)</f>
        <v>1</v>
      </c>
      <c r="G7" s="19">
        <f>SUM('sample:기준 DB'!H19)</f>
        <v>0</v>
      </c>
      <c r="H7" s="19">
        <f>SUM('sample:기준 DB'!I19)</f>
        <v>1</v>
      </c>
      <c r="I7" s="19">
        <f>SUM('sample:기준 DB'!J19)</f>
        <v>186</v>
      </c>
      <c r="J7" s="19">
        <f>SUM('sample:기준 DB'!K19)</f>
        <v>10</v>
      </c>
      <c r="K7" s="20">
        <f>IF(I7=0,"N/A",((I7-J7)/I7)*1)</f>
        <v>0.94623655913978499</v>
      </c>
    </row>
    <row r="8" spans="1:11" x14ac:dyDescent="0.3">
      <c r="A8" s="250" t="s">
        <v>54</v>
      </c>
      <c r="B8" s="251"/>
      <c r="C8" s="19">
        <f>SUM('sample:기준 DB'!D20)</f>
        <v>30</v>
      </c>
      <c r="D8" s="19">
        <f>SUM('sample:기준 DB'!E20)</f>
        <v>29</v>
      </c>
      <c r="E8" s="19">
        <f>SUM('sample:기준 DB'!F20)</f>
        <v>28</v>
      </c>
      <c r="F8" s="19">
        <f>SUM('sample:기준 DB'!G20)</f>
        <v>1</v>
      </c>
      <c r="G8" s="19">
        <f>SUM('sample:기준 DB'!H20)</f>
        <v>0</v>
      </c>
      <c r="H8" s="19">
        <f>SUM('sample:기준 DB'!I20)</f>
        <v>1</v>
      </c>
      <c r="I8" s="19">
        <f>SUM('sample:기준 DB'!J20)</f>
        <v>270</v>
      </c>
      <c r="J8" s="19">
        <f>SUM('sample:기준 DB'!K20)</f>
        <v>10</v>
      </c>
      <c r="K8" s="20">
        <f>IF(I8=0,"N/A",((I8-J8)/I8)*1)</f>
        <v>0.96296296296296291</v>
      </c>
    </row>
    <row r="9" spans="1:11" x14ac:dyDescent="0.3">
      <c r="A9" s="250" t="s">
        <v>55</v>
      </c>
      <c r="B9" s="251"/>
      <c r="C9" s="19">
        <f>SUM('sample:기준 DB'!D21)</f>
        <v>1</v>
      </c>
      <c r="D9" s="19">
        <f>SUM('sample:기준 DB'!E21)</f>
        <v>1</v>
      </c>
      <c r="E9" s="19">
        <f>SUM('sample:기준 DB'!F21)</f>
        <v>1</v>
      </c>
      <c r="F9" s="19">
        <f>SUM('sample:기준 DB'!G21)</f>
        <v>0</v>
      </c>
      <c r="G9" s="19">
        <f>SUM('sample:기준 DB'!H21)</f>
        <v>0</v>
      </c>
      <c r="H9" s="19">
        <f>SUM('sample:기준 DB'!I21)</f>
        <v>0</v>
      </c>
      <c r="I9" s="19">
        <f>SUM('sample:기준 DB'!J21)</f>
        <v>10</v>
      </c>
      <c r="J9" s="19">
        <f>SUM('sample:기준 DB'!K21)</f>
        <v>0</v>
      </c>
      <c r="K9" s="20">
        <f>IF(I9=0,"N/A",((I9-J9)/I9)*1)</f>
        <v>1</v>
      </c>
    </row>
    <row r="10" spans="1:11" ht="14.25" thickBot="1" x14ac:dyDescent="0.35">
      <c r="A10" s="250" t="s">
        <v>56</v>
      </c>
      <c r="B10" s="251"/>
      <c r="C10" s="19">
        <f>SUM('sample:기준 DB'!D22)</f>
        <v>3</v>
      </c>
      <c r="D10" s="19">
        <f>SUM('sample:기준 DB'!E22)</f>
        <v>2</v>
      </c>
      <c r="E10" s="19">
        <f>SUM('sample:기준 DB'!F22)</f>
        <v>1</v>
      </c>
      <c r="F10" s="19">
        <f>SUM('sample:기준 DB'!G22)</f>
        <v>1</v>
      </c>
      <c r="G10" s="19">
        <f>SUM('sample:기준 DB'!H22)</f>
        <v>0</v>
      </c>
      <c r="H10" s="19">
        <f>SUM('sample:기준 DB'!I22)</f>
        <v>1</v>
      </c>
      <c r="I10" s="19">
        <f>SUM('sample:기준 DB'!J22)</f>
        <v>24</v>
      </c>
      <c r="J10" s="19">
        <f>SUM('sample:기준 DB'!K22)</f>
        <v>8</v>
      </c>
      <c r="K10" s="26">
        <f>IF(I10=0,"N/A",((I10-J10)/I10)*1)</f>
        <v>0.66666666666666663</v>
      </c>
    </row>
    <row r="11" spans="1:11" ht="14.25" thickBot="1" x14ac:dyDescent="0.35">
      <c r="A11" s="242" t="s">
        <v>57</v>
      </c>
      <c r="B11" s="243"/>
      <c r="C11" s="30">
        <f t="shared" ref="C11:J11" si="0">SUM(C6:C10)</f>
        <v>67</v>
      </c>
      <c r="D11" s="30">
        <f>SUM(D6:D10)</f>
        <v>63</v>
      </c>
      <c r="E11" s="30">
        <f>SUM(E6:E10)</f>
        <v>59</v>
      </c>
      <c r="F11" s="30">
        <f t="shared" si="0"/>
        <v>4</v>
      </c>
      <c r="G11" s="30">
        <f t="shared" si="0"/>
        <v>0</v>
      </c>
      <c r="H11" s="30">
        <f t="shared" si="0"/>
        <v>4</v>
      </c>
      <c r="I11" s="30">
        <f t="shared" si="0"/>
        <v>598</v>
      </c>
      <c r="J11" s="30">
        <f t="shared" si="0"/>
        <v>38</v>
      </c>
      <c r="K11" s="21" t="e">
        <f ca="1">K37</f>
        <v>#DIV/0!</v>
      </c>
    </row>
    <row r="12" spans="1:11" x14ac:dyDescent="0.3">
      <c r="A12" s="22"/>
      <c r="B12" s="23"/>
      <c r="C12" s="23"/>
      <c r="D12" s="23"/>
      <c r="E12" s="23"/>
      <c r="F12" s="23"/>
      <c r="G12" s="23"/>
      <c r="H12" s="23"/>
      <c r="I12" s="23"/>
      <c r="J12" s="23"/>
      <c r="K12" s="23"/>
    </row>
    <row r="13" spans="1:11" x14ac:dyDescent="0.3">
      <c r="A13" s="240" t="s">
        <v>58</v>
      </c>
      <c r="B13" s="240"/>
      <c r="C13" s="240"/>
      <c r="D13" s="240"/>
      <c r="E13" s="240"/>
      <c r="F13" s="240"/>
      <c r="G13" s="240"/>
      <c r="H13" s="240"/>
      <c r="I13" s="240"/>
      <c r="J13" s="240"/>
      <c r="K13" s="240"/>
    </row>
    <row r="14" spans="1:11" x14ac:dyDescent="0.3">
      <c r="I14" s="29"/>
      <c r="J14" s="29"/>
      <c r="K14" s="29"/>
    </row>
    <row r="15" spans="1:11" x14ac:dyDescent="0.3">
      <c r="A15" s="3"/>
      <c r="B15" s="3"/>
      <c r="C15" s="3"/>
      <c r="D15" s="3"/>
      <c r="E15" s="3"/>
      <c r="F15" s="3"/>
      <c r="G15" s="3"/>
      <c r="H15" s="3"/>
      <c r="I15" s="29"/>
      <c r="J15" s="29"/>
      <c r="K15" s="29"/>
    </row>
    <row r="16" spans="1:11" x14ac:dyDescent="0.3">
      <c r="A16" s="3"/>
      <c r="B16" s="3"/>
      <c r="C16" s="3"/>
      <c r="D16" s="3"/>
      <c r="E16" s="3"/>
      <c r="F16" s="3"/>
      <c r="G16" s="3"/>
      <c r="H16" s="3"/>
      <c r="I16" s="29"/>
      <c r="J16" s="29"/>
      <c r="K16" s="29"/>
    </row>
    <row r="17" spans="1:11" x14ac:dyDescent="0.3">
      <c r="I17" s="29"/>
      <c r="J17" s="29"/>
      <c r="K17" s="29"/>
    </row>
    <row r="18" spans="1:11" x14ac:dyDescent="0.3">
      <c r="I18" s="29"/>
      <c r="J18" s="29"/>
      <c r="K18" s="29"/>
    </row>
    <row r="19" spans="1:11" x14ac:dyDescent="0.3">
      <c r="I19" s="29"/>
      <c r="J19" s="29"/>
      <c r="K19" s="29"/>
    </row>
    <row r="20" spans="1:11" x14ac:dyDescent="0.3">
      <c r="I20" s="29"/>
      <c r="J20" s="29"/>
      <c r="K20" s="29"/>
    </row>
    <row r="21" spans="1:11" x14ac:dyDescent="0.3">
      <c r="I21" s="29"/>
      <c r="J21" s="29"/>
      <c r="K21" s="29"/>
    </row>
    <row r="22" spans="1:11" x14ac:dyDescent="0.3">
      <c r="I22" s="29"/>
      <c r="J22" s="29"/>
      <c r="K22" s="29"/>
    </row>
    <row r="23" spans="1:11" x14ac:dyDescent="0.3">
      <c r="I23" s="29"/>
      <c r="J23" s="29"/>
      <c r="K23" s="29"/>
    </row>
    <row r="24" spans="1:11" x14ac:dyDescent="0.3">
      <c r="I24" s="29"/>
      <c r="J24" s="29"/>
      <c r="K24" s="29"/>
    </row>
    <row r="25" spans="1:11" x14ac:dyDescent="0.3">
      <c r="I25" s="29"/>
      <c r="J25" s="29"/>
      <c r="K25" s="29"/>
    </row>
    <row r="26" spans="1:11" x14ac:dyDescent="0.3">
      <c r="I26" s="29"/>
      <c r="J26" s="29"/>
      <c r="K26" s="29"/>
    </row>
    <row r="27" spans="1:11" x14ac:dyDescent="0.3">
      <c r="I27" s="29"/>
      <c r="J27" s="29"/>
      <c r="K27" s="29"/>
    </row>
    <row r="28" spans="1:11" x14ac:dyDescent="0.3">
      <c r="I28" s="29"/>
      <c r="J28" s="29"/>
      <c r="K28" s="29"/>
    </row>
    <row r="29" spans="1:11" x14ac:dyDescent="0.3">
      <c r="I29" s="29"/>
      <c r="J29" s="29"/>
      <c r="K29" s="29"/>
    </row>
    <row r="30" spans="1:11" x14ac:dyDescent="0.3">
      <c r="I30" s="29"/>
      <c r="J30" s="29"/>
      <c r="K30" s="29"/>
    </row>
    <row r="31" spans="1:11" x14ac:dyDescent="0.3">
      <c r="A31" s="3"/>
      <c r="B31" s="3"/>
      <c r="C31" s="3"/>
      <c r="D31" s="3"/>
      <c r="E31" s="3"/>
      <c r="F31" s="3"/>
      <c r="G31" s="3"/>
      <c r="H31" s="3"/>
      <c r="I31" s="3"/>
    </row>
    <row r="32" spans="1:11" ht="17.25" x14ac:dyDescent="0.3">
      <c r="A32" s="241" t="s">
        <v>331</v>
      </c>
      <c r="B32" s="241"/>
      <c r="C32" s="241"/>
      <c r="D32" s="241"/>
      <c r="E32" s="241"/>
      <c r="F32" s="241"/>
      <c r="G32" s="241"/>
      <c r="H32" s="241"/>
      <c r="I32" s="241"/>
      <c r="J32" s="241"/>
      <c r="K32" s="241"/>
    </row>
    <row r="33" spans="1:11" ht="4.5" customHeight="1" thickBot="1" x14ac:dyDescent="0.35">
      <c r="A33" s="230"/>
      <c r="B33" s="230"/>
      <c r="C33" s="230"/>
      <c r="D33" s="230"/>
      <c r="E33" s="230"/>
      <c r="F33" s="230"/>
      <c r="G33" s="230"/>
      <c r="H33" s="230"/>
      <c r="I33" s="230"/>
      <c r="J33" s="230"/>
      <c r="K33" s="230"/>
    </row>
    <row r="34" spans="1:11" x14ac:dyDescent="0.3">
      <c r="A34" s="231" t="s">
        <v>59</v>
      </c>
      <c r="B34" s="232"/>
      <c r="C34" s="234" t="s">
        <v>41</v>
      </c>
      <c r="D34" s="235"/>
      <c r="E34" s="235"/>
      <c r="F34" s="235"/>
      <c r="G34" s="235"/>
      <c r="H34" s="236"/>
      <c r="I34" s="234" t="s">
        <v>42</v>
      </c>
      <c r="J34" s="235"/>
      <c r="K34" s="237"/>
    </row>
    <row r="35" spans="1:11" x14ac:dyDescent="0.3">
      <c r="A35" s="233"/>
      <c r="B35" s="184"/>
      <c r="C35" s="31" t="s">
        <v>43</v>
      </c>
      <c r="D35" s="31" t="s">
        <v>44</v>
      </c>
      <c r="E35" s="31" t="s">
        <v>45</v>
      </c>
      <c r="F35" s="31" t="s">
        <v>46</v>
      </c>
      <c r="G35" s="31" t="s">
        <v>47</v>
      </c>
      <c r="H35" s="31" t="s">
        <v>48</v>
      </c>
      <c r="I35" s="31" t="s">
        <v>49</v>
      </c>
      <c r="J35" s="31" t="s">
        <v>50</v>
      </c>
      <c r="K35" s="24" t="s">
        <v>51</v>
      </c>
    </row>
    <row r="36" spans="1:11" x14ac:dyDescent="0.3">
      <c r="A36" s="84" t="s">
        <v>554</v>
      </c>
      <c r="B36" s="25" t="str">
        <f ca="1">INDIRECT(ADDRESS(ROW()-29,2,1,TRUE,"점검대상"))</f>
        <v>test_UNIX</v>
      </c>
      <c r="C36" s="19">
        <f t="shared" ref="C36:J36" ca="1" si="1">IFERROR(INDIRECT(ADDRESS(23,COLUMN()+1,1,TRUE,$B36)),0)</f>
        <v>0</v>
      </c>
      <c r="D36" s="19">
        <f t="shared" ca="1" si="1"/>
        <v>0</v>
      </c>
      <c r="E36" s="19">
        <f t="shared" ca="1" si="1"/>
        <v>0</v>
      </c>
      <c r="F36" s="19">
        <f t="shared" ca="1" si="1"/>
        <v>0</v>
      </c>
      <c r="G36" s="19">
        <f t="shared" ca="1" si="1"/>
        <v>0</v>
      </c>
      <c r="H36" s="19">
        <f t="shared" ca="1" si="1"/>
        <v>0</v>
      </c>
      <c r="I36" s="19">
        <f ca="1">IFERROR(INDIRECT(ADDRESS(23,COLUMN()+1,1,TRUE,$B36)),0)</f>
        <v>0</v>
      </c>
      <c r="J36" s="19">
        <f t="shared" ca="1" si="1"/>
        <v>0</v>
      </c>
      <c r="K36" s="20" t="str">
        <f t="shared" ref="K36" ca="1" si="2">IF(I36=0,"N/A",((I36-J36)/I36)*1)</f>
        <v>N/A</v>
      </c>
    </row>
    <row r="37" spans="1:11" ht="14.25" thickBot="1" x14ac:dyDescent="0.35">
      <c r="A37" s="238" t="s">
        <v>57</v>
      </c>
      <c r="B37" s="239"/>
      <c r="C37" s="77">
        <f t="shared" ref="C37:J37" ca="1" si="3">SUM(C36:C36)</f>
        <v>0</v>
      </c>
      <c r="D37" s="77">
        <f t="shared" ca="1" si="3"/>
        <v>0</v>
      </c>
      <c r="E37" s="77">
        <f t="shared" ca="1" si="3"/>
        <v>0</v>
      </c>
      <c r="F37" s="77">
        <f t="shared" ca="1" si="3"/>
        <v>0</v>
      </c>
      <c r="G37" s="77">
        <f t="shared" ca="1" si="3"/>
        <v>0</v>
      </c>
      <c r="H37" s="77">
        <f t="shared" ca="1" si="3"/>
        <v>0</v>
      </c>
      <c r="I37" s="77">
        <f t="shared" ca="1" si="3"/>
        <v>0</v>
      </c>
      <c r="J37" s="77">
        <f t="shared" ca="1" si="3"/>
        <v>0</v>
      </c>
      <c r="K37" s="78" t="e">
        <f ca="1">SUM(K36:K36)/(COUNTA(K36:K36)-COUNTIF(K36:K36,"N/A"))</f>
        <v>#DIV/0!</v>
      </c>
    </row>
  </sheetData>
  <mergeCells count="18">
    <mergeCell ref="A13:K13"/>
    <mergeCell ref="A32:K32"/>
    <mergeCell ref="A11:B11"/>
    <mergeCell ref="A2:K2"/>
    <mergeCell ref="A3:K3"/>
    <mergeCell ref="A4:B5"/>
    <mergeCell ref="C4:H4"/>
    <mergeCell ref="I4:K4"/>
    <mergeCell ref="A6:B6"/>
    <mergeCell ref="A7:B7"/>
    <mergeCell ref="A8:B8"/>
    <mergeCell ref="A9:B9"/>
    <mergeCell ref="A10:B10"/>
    <mergeCell ref="A33:K33"/>
    <mergeCell ref="A34:B35"/>
    <mergeCell ref="C34:H34"/>
    <mergeCell ref="I34:K34"/>
    <mergeCell ref="A37:B37"/>
  </mergeCells>
  <phoneticPr fontId="1" type="noConversion"/>
  <printOptions horizontalCentered="1"/>
  <pageMargins left="0.39370078740157483" right="0.39370078740157483" top="0.59055118110236227" bottom="0.59055118110236227" header="0.19685039370078741" footer="0.19685039370078741"/>
  <pageSetup paperSize="9" scale="64"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62E64-1466-4F2B-9C45-6BAD766E3D89}">
  <sheetPr>
    <tabColor theme="2"/>
    <pageSetUpPr fitToPage="1"/>
  </sheetPr>
  <dimension ref="A2:W167"/>
  <sheetViews>
    <sheetView tabSelected="1" view="pageBreakPreview" topLeftCell="B16" zoomScale="75" zoomScaleNormal="85" zoomScaleSheetLayoutView="75" workbookViewId="0">
      <selection activeCell="U28" sqref="U28"/>
    </sheetView>
  </sheetViews>
  <sheetFormatPr defaultColWidth="10" defaultRowHeight="13.5" x14ac:dyDescent="0.3"/>
  <cols>
    <col min="1" max="12" width="6.625" style="4" customWidth="1"/>
    <col min="13" max="13" width="7" style="4" customWidth="1"/>
    <col min="14" max="14" width="6.625" style="4" customWidth="1"/>
    <col min="15" max="15" width="10" style="4" customWidth="1"/>
    <col min="16" max="17" width="43.5" style="4" customWidth="1"/>
    <col min="18" max="18" width="2.25" style="4" customWidth="1"/>
    <col min="19" max="19" width="7.5" style="4" customWidth="1"/>
    <col min="20" max="20" width="8.75" style="4" customWidth="1"/>
    <col min="21" max="21" width="11.75" style="4" customWidth="1"/>
    <col min="22" max="22" width="10" style="4" customWidth="1"/>
    <col min="23" max="30" width="10" style="4"/>
    <col min="31" max="31" width="2.625" style="4" customWidth="1"/>
    <col min="32" max="16384" width="10" style="4"/>
  </cols>
  <sheetData>
    <row r="2" spans="1:17" ht="18" customHeight="1" x14ac:dyDescent="0.3">
      <c r="A2" s="50" t="s">
        <v>195</v>
      </c>
      <c r="B2" s="45"/>
      <c r="C2" s="45"/>
      <c r="D2" s="45"/>
      <c r="E2" s="43" t="str">
        <f ca="1">HYPERLINK("[" &amp; MID(CELL("filename"),SEARCH("[",CELL("filename"))+1, SEARCH("]",CELL("filename"))-SEARCH("[",CELL("filename"))-1) &amp; "]'" &amp; "점검대상" &amp; "'!A1","목 차")</f>
        <v>목 차</v>
      </c>
      <c r="F2" s="45"/>
      <c r="G2" s="45"/>
      <c r="H2" s="45"/>
      <c r="I2" s="45"/>
      <c r="J2" s="45"/>
      <c r="K2" s="45"/>
      <c r="L2" s="45"/>
    </row>
    <row r="3" spans="1:17" ht="18" customHeight="1" x14ac:dyDescent="0.3">
      <c r="A3" s="46"/>
      <c r="B3" s="45"/>
      <c r="C3" s="45"/>
      <c r="D3" s="45"/>
      <c r="E3" s="45"/>
      <c r="F3" s="45"/>
      <c r="G3" s="45"/>
      <c r="H3" s="45"/>
      <c r="I3" s="45"/>
      <c r="J3" s="45"/>
      <c r="K3" s="45"/>
      <c r="L3" s="45"/>
      <c r="Q3" s="44"/>
    </row>
    <row r="4" spans="1:17" ht="18" customHeight="1" x14ac:dyDescent="0.3">
      <c r="A4" s="51" t="s">
        <v>196</v>
      </c>
      <c r="B4" s="47"/>
      <c r="C4" s="47"/>
      <c r="D4" s="47"/>
      <c r="E4" s="47"/>
      <c r="F4" s="47"/>
      <c r="L4" s="47"/>
    </row>
    <row r="5" spans="1:17" ht="4.5" customHeight="1" x14ac:dyDescent="0.3">
      <c r="A5" s="47"/>
      <c r="B5" s="47"/>
      <c r="C5" s="47"/>
      <c r="D5" s="47"/>
      <c r="E5" s="47"/>
      <c r="F5" s="47"/>
      <c r="L5" s="47"/>
    </row>
    <row r="6" spans="1:17" ht="16.5" customHeight="1" x14ac:dyDescent="0.3">
      <c r="A6" s="253" t="s">
        <v>197</v>
      </c>
      <c r="B6" s="253"/>
      <c r="C6" s="260" t="str">
        <f ca="1">MID(CELL("filename",$A$1),FIND("]",CELL("filename",$A$1))+1,100)</f>
        <v>sample</v>
      </c>
      <c r="D6" s="260"/>
      <c r="E6" s="260"/>
      <c r="F6" s="260"/>
      <c r="G6" s="253" t="s">
        <v>198</v>
      </c>
      <c r="H6" s="253"/>
      <c r="I6" s="260" t="str">
        <f ca="1">IFERROR(VLOOKUP($C$6,점검대상!$B:$I,2,FALSE),"-")</f>
        <v>-</v>
      </c>
      <c r="J6" s="260"/>
      <c r="K6" s="260"/>
      <c r="L6" s="260"/>
      <c r="P6" s="258" t="s">
        <v>199</v>
      </c>
      <c r="Q6" s="259"/>
    </row>
    <row r="7" spans="1:17" ht="16.5" customHeight="1" x14ac:dyDescent="0.3">
      <c r="A7" s="253" t="s">
        <v>200</v>
      </c>
      <c r="B7" s="253"/>
      <c r="C7" s="260" t="str">
        <f ca="1">IFERROR(VLOOKUP($C$6,점검대상!$B:$I,3,FALSE),"-")</f>
        <v>-</v>
      </c>
      <c r="D7" s="260"/>
      <c r="E7" s="260"/>
      <c r="F7" s="260"/>
      <c r="G7" s="253" t="s">
        <v>201</v>
      </c>
      <c r="H7" s="253"/>
      <c r="I7" s="260" t="str">
        <f ca="1">IFERROR(VLOOKUP($C$6,점검대상!$B:$I,4,FALSE),"-")</f>
        <v>-</v>
      </c>
      <c r="J7" s="260"/>
      <c r="K7" s="260"/>
      <c r="L7" s="260"/>
      <c r="O7" s="48"/>
    </row>
    <row r="9" spans="1:17" ht="17.25" x14ac:dyDescent="0.3">
      <c r="A9" s="52" t="s">
        <v>202</v>
      </c>
    </row>
    <row r="10" spans="1:17" ht="4.5" customHeight="1" x14ac:dyDescent="0.3">
      <c r="A10" s="47"/>
    </row>
    <row r="11" spans="1:17" x14ac:dyDescent="0.3">
      <c r="A11" s="253" t="s">
        <v>203</v>
      </c>
      <c r="B11" s="253"/>
      <c r="C11" s="40" t="s">
        <v>204</v>
      </c>
      <c r="D11" s="40" t="s">
        <v>205</v>
      </c>
      <c r="E11" s="40" t="s">
        <v>206</v>
      </c>
      <c r="F11" s="253" t="s">
        <v>207</v>
      </c>
      <c r="G11" s="253"/>
      <c r="H11" s="253" t="s">
        <v>208</v>
      </c>
      <c r="I11" s="253"/>
      <c r="J11" s="254" t="s">
        <v>209</v>
      </c>
      <c r="K11" s="255"/>
      <c r="L11" s="256"/>
    </row>
    <row r="12" spans="1:17" x14ac:dyDescent="0.3">
      <c r="A12" s="253"/>
      <c r="B12" s="253"/>
      <c r="C12" s="41" t="str">
        <f ca="1">IFERROR(VLOOKUP($C$6,점검대상!$B:$I,COLUMN()+2,FALSE),"-")</f>
        <v>-</v>
      </c>
      <c r="D12" s="41" t="str">
        <f ca="1">IFERROR(VLOOKUP($C$6,점검대상!$B:$I,COLUMN()+2,FALSE),"-")</f>
        <v>-</v>
      </c>
      <c r="E12" s="41" t="str">
        <f ca="1">IFERROR(VLOOKUP($C$6,점검대상!$B:$I,COLUMN()+2,FALSE),"-")</f>
        <v>-</v>
      </c>
      <c r="F12" s="257">
        <f ca="1">SUM(C12:E12)</f>
        <v>0</v>
      </c>
      <c r="G12" s="257"/>
      <c r="H12" s="257" t="str">
        <f ca="1">IF(F12&gt;=7,"상",IF(F12&gt;=5,"중","하"))</f>
        <v>하</v>
      </c>
      <c r="I12" s="257"/>
      <c r="J12" s="257">
        <f>점검대상!$J$4</f>
        <v>7</v>
      </c>
      <c r="K12" s="257"/>
      <c r="L12" s="257"/>
    </row>
    <row r="14" spans="1:17" ht="17.25" x14ac:dyDescent="0.3">
      <c r="A14" s="51" t="s">
        <v>210</v>
      </c>
    </row>
    <row r="15" spans="1:17" ht="4.5" customHeight="1" x14ac:dyDescent="0.3"/>
    <row r="16" spans="1:17" x14ac:dyDescent="0.3">
      <c r="A16" s="253" t="s">
        <v>211</v>
      </c>
      <c r="B16" s="253"/>
      <c r="C16" s="253"/>
      <c r="D16" s="253" t="s">
        <v>212</v>
      </c>
      <c r="E16" s="253"/>
      <c r="F16" s="253"/>
      <c r="G16" s="253"/>
      <c r="H16" s="253"/>
      <c r="I16" s="253"/>
      <c r="J16" s="253" t="s">
        <v>213</v>
      </c>
      <c r="K16" s="253"/>
      <c r="L16" s="253"/>
    </row>
    <row r="17" spans="1:23" x14ac:dyDescent="0.3">
      <c r="A17" s="253"/>
      <c r="B17" s="253"/>
      <c r="C17" s="253"/>
      <c r="D17" s="40" t="s">
        <v>214</v>
      </c>
      <c r="E17" s="40" t="s">
        <v>215</v>
      </c>
      <c r="F17" s="40" t="s">
        <v>216</v>
      </c>
      <c r="G17" s="40" t="s">
        <v>217</v>
      </c>
      <c r="H17" s="40" t="s">
        <v>47</v>
      </c>
      <c r="I17" s="40" t="s">
        <v>218</v>
      </c>
      <c r="J17" s="40" t="s">
        <v>219</v>
      </c>
      <c r="K17" s="40" t="s">
        <v>220</v>
      </c>
      <c r="L17" s="40" t="s">
        <v>221</v>
      </c>
    </row>
    <row r="18" spans="1:23" x14ac:dyDescent="0.3">
      <c r="A18" s="252" t="s">
        <v>222</v>
      </c>
      <c r="B18" s="252"/>
      <c r="C18" s="252"/>
      <c r="D18" s="34">
        <v>13</v>
      </c>
      <c r="E18" s="34">
        <f>$D18-I18</f>
        <v>12</v>
      </c>
      <c r="F18" s="34">
        <f>COUNTIF(O28:O40,"양호")</f>
        <v>11</v>
      </c>
      <c r="G18" s="34">
        <f>D18-I18-H18-F18</f>
        <v>1</v>
      </c>
      <c r="H18" s="34">
        <v>0</v>
      </c>
      <c r="I18" s="34">
        <f>COUNTIF(O28:O40,"N/A")</f>
        <v>1</v>
      </c>
      <c r="J18" s="33">
        <f>SUM(M28:M40)</f>
        <v>108</v>
      </c>
      <c r="K18" s="33">
        <f>SUM(N28:N40)</f>
        <v>10</v>
      </c>
      <c r="L18" s="35">
        <f t="shared" ref="L18:L23" si="0">IF(J18=0,"N/A",((J18-K18)/J18)*1)</f>
        <v>0.90740740740740744</v>
      </c>
    </row>
    <row r="19" spans="1:23" x14ac:dyDescent="0.3">
      <c r="A19" s="252" t="s">
        <v>223</v>
      </c>
      <c r="B19" s="252"/>
      <c r="C19" s="252"/>
      <c r="D19" s="34">
        <v>20</v>
      </c>
      <c r="E19" s="34">
        <f>$D19-I19</f>
        <v>19</v>
      </c>
      <c r="F19" s="34">
        <f>COUNTIF(O41:O60,"양호")</f>
        <v>18</v>
      </c>
      <c r="G19" s="34">
        <f>D19-I19-H19-F19</f>
        <v>1</v>
      </c>
      <c r="H19" s="34">
        <v>0</v>
      </c>
      <c r="I19" s="34">
        <f>COUNTIF(O41:O60,"N/A")</f>
        <v>1</v>
      </c>
      <c r="J19" s="33">
        <f>SUM(M41:M60)</f>
        <v>186</v>
      </c>
      <c r="K19" s="33">
        <f>SUM(N41:N60)</f>
        <v>10</v>
      </c>
      <c r="L19" s="35">
        <f t="shared" si="0"/>
        <v>0.94623655913978499</v>
      </c>
    </row>
    <row r="20" spans="1:23" x14ac:dyDescent="0.3">
      <c r="A20" s="252" t="s">
        <v>224</v>
      </c>
      <c r="B20" s="252"/>
      <c r="C20" s="252"/>
      <c r="D20" s="34">
        <v>30</v>
      </c>
      <c r="E20" s="34">
        <f>$D20-I20</f>
        <v>29</v>
      </c>
      <c r="F20" s="34">
        <f>COUNTIF(O61:O90,"양호")</f>
        <v>28</v>
      </c>
      <c r="G20" s="34">
        <f>D20-I20-H20-F20</f>
        <v>1</v>
      </c>
      <c r="H20" s="34">
        <v>0</v>
      </c>
      <c r="I20" s="34">
        <f>COUNTIF(O61:O90,"N/A")</f>
        <v>1</v>
      </c>
      <c r="J20" s="33">
        <f>SUM(M61:M90)</f>
        <v>270</v>
      </c>
      <c r="K20" s="33">
        <f>SUM(N61:N90)</f>
        <v>10</v>
      </c>
      <c r="L20" s="35">
        <f t="shared" si="0"/>
        <v>0.96296296296296291</v>
      </c>
    </row>
    <row r="21" spans="1:23" x14ac:dyDescent="0.3">
      <c r="A21" s="252" t="s">
        <v>225</v>
      </c>
      <c r="B21" s="252"/>
      <c r="C21" s="252"/>
      <c r="D21" s="34">
        <v>1</v>
      </c>
      <c r="E21" s="34">
        <f>$D21-I21</f>
        <v>1</v>
      </c>
      <c r="F21" s="34">
        <f>COUNTIF(O91,"양호")</f>
        <v>1</v>
      </c>
      <c r="G21" s="34">
        <f>D21-I21-H21-F21</f>
        <v>0</v>
      </c>
      <c r="H21" s="34">
        <v>0</v>
      </c>
      <c r="I21" s="34">
        <f>COUNTIF(O91,"N/A")</f>
        <v>0</v>
      </c>
      <c r="J21" s="33">
        <f>SUM(M91)</f>
        <v>10</v>
      </c>
      <c r="K21" s="33">
        <f>SUM(N91)</f>
        <v>0</v>
      </c>
      <c r="L21" s="35">
        <f t="shared" si="0"/>
        <v>1</v>
      </c>
    </row>
    <row r="22" spans="1:23" ht="14.25" thickBot="1" x14ac:dyDescent="0.35">
      <c r="A22" s="252" t="s">
        <v>226</v>
      </c>
      <c r="B22" s="252"/>
      <c r="C22" s="252"/>
      <c r="D22" s="34">
        <v>3</v>
      </c>
      <c r="E22" s="34">
        <f>$D22-I22</f>
        <v>2</v>
      </c>
      <c r="F22" s="34">
        <f>COUNTIF(O92:O94,"양호")</f>
        <v>1</v>
      </c>
      <c r="G22" s="34">
        <f>D22-I22-H22-F22</f>
        <v>1</v>
      </c>
      <c r="H22" s="34">
        <v>0</v>
      </c>
      <c r="I22" s="34">
        <f>COUNTIF(O92:O94,"N/A")</f>
        <v>1</v>
      </c>
      <c r="J22" s="33">
        <f>SUM(M92:M94)</f>
        <v>24</v>
      </c>
      <c r="K22" s="33">
        <f>SUM(N92:N94)</f>
        <v>8</v>
      </c>
      <c r="L22" s="35">
        <f t="shared" si="0"/>
        <v>0.66666666666666663</v>
      </c>
    </row>
    <row r="23" spans="1:23" ht="14.25" thickTop="1" x14ac:dyDescent="0.3">
      <c r="A23" s="270" t="s">
        <v>227</v>
      </c>
      <c r="B23" s="270"/>
      <c r="C23" s="270"/>
      <c r="D23" s="39">
        <v>67</v>
      </c>
      <c r="E23" s="39">
        <f t="shared" ref="E23:K23" si="1">SUM(E18:E22)</f>
        <v>63</v>
      </c>
      <c r="F23" s="39">
        <f t="shared" si="1"/>
        <v>59</v>
      </c>
      <c r="G23" s="39">
        <f t="shared" si="1"/>
        <v>4</v>
      </c>
      <c r="H23" s="39">
        <f t="shared" si="1"/>
        <v>0</v>
      </c>
      <c r="I23" s="39">
        <f t="shared" si="1"/>
        <v>4</v>
      </c>
      <c r="J23" s="39">
        <f t="shared" si="1"/>
        <v>598</v>
      </c>
      <c r="K23" s="39">
        <f t="shared" si="1"/>
        <v>38</v>
      </c>
      <c r="L23" s="36">
        <f t="shared" si="0"/>
        <v>0.9364548494983278</v>
      </c>
    </row>
    <row r="25" spans="1:23" ht="17.25" x14ac:dyDescent="0.3">
      <c r="A25" s="52" t="s">
        <v>228</v>
      </c>
      <c r="Q25" s="49" t="s">
        <v>229</v>
      </c>
    </row>
    <row r="26" spans="1:23" ht="4.5" customHeight="1" thickBot="1" x14ac:dyDescent="0.35"/>
    <row r="27" spans="1:23" ht="45" customHeight="1" thickBot="1" x14ac:dyDescent="0.35">
      <c r="A27" s="271" t="s">
        <v>72</v>
      </c>
      <c r="B27" s="272"/>
      <c r="C27" s="273" t="s">
        <v>78</v>
      </c>
      <c r="D27" s="274"/>
      <c r="E27" s="274"/>
      <c r="F27" s="274"/>
      <c r="G27" s="274"/>
      <c r="H27" s="274"/>
      <c r="I27" s="274"/>
      <c r="J27" s="274"/>
      <c r="K27" s="272"/>
      <c r="L27" s="53" t="s">
        <v>73</v>
      </c>
      <c r="M27" s="63" t="s">
        <v>230</v>
      </c>
      <c r="N27" s="63" t="s">
        <v>231</v>
      </c>
      <c r="O27" s="63" t="s">
        <v>232</v>
      </c>
      <c r="P27" s="63" t="s">
        <v>233</v>
      </c>
      <c r="Q27" s="64" t="s">
        <v>234</v>
      </c>
      <c r="U27" s="60" t="s">
        <v>235</v>
      </c>
    </row>
    <row r="28" spans="1:23" ht="69" customHeight="1" x14ac:dyDescent="0.3">
      <c r="A28" s="275" t="s">
        <v>222</v>
      </c>
      <c r="B28" s="276"/>
      <c r="C28" s="100" t="s">
        <v>83</v>
      </c>
      <c r="D28" s="279" t="s">
        <v>307</v>
      </c>
      <c r="E28" s="280"/>
      <c r="F28" s="280"/>
      <c r="G28" s="280"/>
      <c r="H28" s="280"/>
      <c r="I28" s="280"/>
      <c r="J28" s="280"/>
      <c r="K28" s="281"/>
      <c r="L28" s="101" t="s">
        <v>85</v>
      </c>
      <c r="M28" s="128">
        <f>IF(L28="상", 10, IF(L28="중", 8, IF(L28="하", 6, "-")))</f>
        <v>10</v>
      </c>
      <c r="N28" s="153">
        <f>IF(OR(O28="", O28="N/A"), "-", IF(O28="양호", 0, IF(O28="부분만족", M28/2, M28)))</f>
        <v>10</v>
      </c>
      <c r="O28" s="103" t="s">
        <v>46</v>
      </c>
      <c r="P28" s="159" t="str">
        <f>IF(O28="양호",'기준 DB'!C2&amp;U28,IF(O28="취약",'기준 DB'!D2&amp;U28,IF(O28="N/A",'기준 DB'!E2&amp;U28,"-")))</f>
        <v>■ 기준 : root 직접 접속을 허용하고 원격 서비스를 사용하는 경우 "취약"
■ 현황 : TELNET 서비스가 비실행중이고, SSH의 root 원격 접속을 제한하지 않으므로 취약함</v>
      </c>
      <c r="Q28" s="104"/>
      <c r="U28" s="61" t="s">
        <v>351</v>
      </c>
      <c r="W28" s="55"/>
    </row>
    <row r="29" spans="1:23" ht="69" customHeight="1" x14ac:dyDescent="0.3">
      <c r="A29" s="277"/>
      <c r="B29" s="278"/>
      <c r="C29" s="100" t="s">
        <v>86</v>
      </c>
      <c r="D29" s="264" t="s">
        <v>378</v>
      </c>
      <c r="E29" s="265"/>
      <c r="F29" s="265"/>
      <c r="G29" s="265"/>
      <c r="H29" s="265"/>
      <c r="I29" s="265"/>
      <c r="J29" s="265"/>
      <c r="K29" s="266"/>
      <c r="L29" s="105" t="s">
        <v>85</v>
      </c>
      <c r="M29" s="128">
        <f t="shared" ref="M29:M92" si="2">IF(L29="상", 10, IF(L29="중", 8, IF(L29="하", 6, "-")))</f>
        <v>10</v>
      </c>
      <c r="N29" s="153"/>
      <c r="O29" s="103" t="s">
        <v>550</v>
      </c>
      <c r="P29" s="159" t="str">
        <f>IF(O29="양호",'기준 DB'!C3&amp;U29,IF(O29="취약",'기준 DB'!D3&amp;U29,IF(O29="N/A",'기준 DB'!E3&amp;U29,"-")))</f>
        <v>■ 기준 : 
비밀번호 관리 정책이 설정된 경우 "양호"
비밀번호 관리 정책이 설정되지 않은 경우 "취약"
■ 현황 : 패스워드 복잡성 설정이 되어 있지 않으므로 취약함</v>
      </c>
      <c r="Q29" s="104"/>
      <c r="U29" s="61" t="s">
        <v>369</v>
      </c>
      <c r="W29" s="55"/>
    </row>
    <row r="30" spans="1:23" ht="69" customHeight="1" x14ac:dyDescent="0.3">
      <c r="A30" s="277"/>
      <c r="B30" s="278"/>
      <c r="C30" s="100" t="s">
        <v>87</v>
      </c>
      <c r="D30" s="264" t="s">
        <v>308</v>
      </c>
      <c r="E30" s="265"/>
      <c r="F30" s="265"/>
      <c r="G30" s="265"/>
      <c r="H30" s="265"/>
      <c r="I30" s="265"/>
      <c r="J30" s="265"/>
      <c r="K30" s="266"/>
      <c r="L30" s="105" t="s">
        <v>85</v>
      </c>
      <c r="M30" s="128">
        <f t="shared" si="2"/>
        <v>10</v>
      </c>
      <c r="N30" s="153">
        <f t="shared" ref="N30:N92" si="3">IF(OR(O30="", O30="N/A"), "-", IF(O30="양호", 0, IF(O30="부분만족", M30/2, M30)))</f>
        <v>0</v>
      </c>
      <c r="O30" s="103" t="s">
        <v>45</v>
      </c>
      <c r="P30" s="159" t="str">
        <f>IF(O30="양호",'기준 DB'!C4&amp;U30,IF(O30="취약",'기준 DB'!D4&amp;U30,IF(O30="N/A",'기준 DB'!E4&amp;U30,"-")))</f>
        <v xml:space="preserve">■ 기준 : 계정 잠금 임계값이 10회 이하의 값으로 설정되어 있는 경우 "양호"
■ 현황 : 계정 잠금 임계값 설정 파일이 없음으로 취약함 </v>
      </c>
      <c r="Q30" s="104"/>
      <c r="S30" s="65"/>
      <c r="U30" s="61" t="s">
        <v>352</v>
      </c>
      <c r="W30" s="55"/>
    </row>
    <row r="31" spans="1:23" ht="69" customHeight="1" x14ac:dyDescent="0.3">
      <c r="A31" s="277"/>
      <c r="B31" s="278"/>
      <c r="C31" s="100" t="s">
        <v>88</v>
      </c>
      <c r="D31" s="264" t="s">
        <v>379</v>
      </c>
      <c r="E31" s="265"/>
      <c r="F31" s="265"/>
      <c r="G31" s="265"/>
      <c r="H31" s="265"/>
      <c r="I31" s="265"/>
      <c r="J31" s="265"/>
      <c r="K31" s="266"/>
      <c r="L31" s="105" t="s">
        <v>85</v>
      </c>
      <c r="M31" s="128">
        <f t="shared" si="2"/>
        <v>10</v>
      </c>
      <c r="N31" s="153">
        <f t="shared" si="3"/>
        <v>0</v>
      </c>
      <c r="O31" s="103" t="s">
        <v>45</v>
      </c>
      <c r="P31" s="159" t="str">
        <f>IF(O31="양호",'기준 DB'!C5&amp;U31,IF(O31="취약",'기준 DB'!D5&amp;U31,IF(O31="N/A",'기준 DB'!E5&amp;U31,"-")))</f>
        <v>■ 기준 : 쉐도우 비밀번호를 사용하거나, 비밀번호를 암호화하여 저장하는 경우 "양호"
■ 현황 : shadow 파일을 사용하고 있으므로 양호함</v>
      </c>
      <c r="Q31" s="104"/>
      <c r="U31" s="62" t="s">
        <v>353</v>
      </c>
      <c r="W31" s="55"/>
    </row>
    <row r="32" spans="1:23" ht="69" customHeight="1" x14ac:dyDescent="0.3">
      <c r="A32" s="277"/>
      <c r="B32" s="278"/>
      <c r="C32" s="100" t="s">
        <v>89</v>
      </c>
      <c r="D32" s="264" t="s">
        <v>90</v>
      </c>
      <c r="E32" s="265"/>
      <c r="F32" s="265"/>
      <c r="G32" s="265"/>
      <c r="H32" s="265"/>
      <c r="I32" s="265"/>
      <c r="J32" s="265"/>
      <c r="K32" s="266"/>
      <c r="L32" s="105" t="s">
        <v>85</v>
      </c>
      <c r="M32" s="128">
        <f t="shared" si="2"/>
        <v>10</v>
      </c>
      <c r="N32" s="153">
        <f t="shared" si="3"/>
        <v>0</v>
      </c>
      <c r="O32" s="103" t="s">
        <v>45</v>
      </c>
      <c r="P32" s="159" t="str">
        <f>IF(O32="양호",'기준 DB'!C6&amp;U32,IF(O32="취약",'기준 DB'!D6&amp;U32,IF(O32="N/A",'기준 DB'!E6&amp;U32,"-")))</f>
        <v>■ 기준 : root 계정과 동일한 UID를 갖는 계정이 존재하지 않는 경우 "양호"
■ 현황 : root 이외의 UID가 '0'인 계정이 존재하지 않으므로 양호함</v>
      </c>
      <c r="Q32" s="104"/>
      <c r="U32" s="62" t="s">
        <v>354</v>
      </c>
      <c r="W32" s="55"/>
    </row>
    <row r="33" spans="1:23" ht="69" customHeight="1" x14ac:dyDescent="0.3">
      <c r="A33" s="277"/>
      <c r="B33" s="278"/>
      <c r="C33" s="100" t="s">
        <v>92</v>
      </c>
      <c r="D33" s="264" t="s">
        <v>380</v>
      </c>
      <c r="E33" s="265"/>
      <c r="F33" s="265"/>
      <c r="G33" s="265"/>
      <c r="H33" s="265"/>
      <c r="I33" s="265"/>
      <c r="J33" s="265"/>
      <c r="K33" s="266"/>
      <c r="L33" s="105" t="s">
        <v>85</v>
      </c>
      <c r="M33" s="128">
        <f t="shared" si="2"/>
        <v>10</v>
      </c>
      <c r="N33" s="153">
        <f t="shared" si="3"/>
        <v>0</v>
      </c>
      <c r="O33" s="103" t="s">
        <v>45</v>
      </c>
      <c r="P33" s="159" t="str">
        <f>IF(O33="양호",'기준 DB'!C7&amp;U33,IF(O33="취약",'기준 DB'!D7&amp;U33,IF(O33="N/A",'기준 DB'!E7&amp;U33,"-")))</f>
        <v>■ 기준 : su 명령어를 특정 그룹에 속한 사용자만 사용하도록 제한된 경우 "양호"
※ 일반 사용자 계정 없이 root 계정만 사용하는 경우 su 명령어 사용 제한 불필요
■ 현황 : /bin/su 파일의 접근권한이 과도하게 설정되어 있으므로 취약함</v>
      </c>
      <c r="Q33" s="104"/>
      <c r="U33" s="62" t="s">
        <v>332</v>
      </c>
      <c r="W33" s="55"/>
    </row>
    <row r="34" spans="1:23" ht="69" customHeight="1" x14ac:dyDescent="0.3">
      <c r="A34" s="277"/>
      <c r="B34" s="278"/>
      <c r="C34" s="100" t="s">
        <v>94</v>
      </c>
      <c r="D34" s="267" t="s">
        <v>98</v>
      </c>
      <c r="E34" s="268"/>
      <c r="F34" s="268"/>
      <c r="G34" s="268"/>
      <c r="H34" s="268"/>
      <c r="I34" s="268"/>
      <c r="J34" s="268"/>
      <c r="K34" s="269"/>
      <c r="L34" s="105" t="s">
        <v>93</v>
      </c>
      <c r="M34" s="128">
        <f t="shared" si="2"/>
        <v>6</v>
      </c>
      <c r="N34" s="153">
        <f t="shared" si="3"/>
        <v>0</v>
      </c>
      <c r="O34" s="103" t="s">
        <v>45</v>
      </c>
      <c r="P34" s="159" t="str">
        <f>IF(O34="양호",'기준 DB'!C8&amp;U34,IF(O34="취약",'기준 DB'!D8&amp;U34,IF(O34="N/A",'기준 DB'!E8&amp;U34,"-")))</f>
        <v>■ 기준 : 불필요한 계정이 존재하지 않는 경우 "양호"
■ 현황 : 패스워드 최소길이가 설정되어 있지 않으므로 취약함</v>
      </c>
      <c r="Q34" s="104"/>
      <c r="U34" s="62" t="s">
        <v>355</v>
      </c>
      <c r="W34" s="55"/>
    </row>
    <row r="35" spans="1:23" ht="69" customHeight="1" x14ac:dyDescent="0.3">
      <c r="A35" s="277"/>
      <c r="B35" s="278"/>
      <c r="C35" s="100" t="s">
        <v>95</v>
      </c>
      <c r="D35" s="267" t="s">
        <v>100</v>
      </c>
      <c r="E35" s="268"/>
      <c r="F35" s="268"/>
      <c r="G35" s="268"/>
      <c r="H35" s="268"/>
      <c r="I35" s="268"/>
      <c r="J35" s="268"/>
      <c r="K35" s="269"/>
      <c r="L35" s="105" t="s">
        <v>91</v>
      </c>
      <c r="M35" s="128">
        <f t="shared" si="2"/>
        <v>8</v>
      </c>
      <c r="N35" s="153">
        <f t="shared" si="3"/>
        <v>0</v>
      </c>
      <c r="O35" s="103" t="s">
        <v>45</v>
      </c>
      <c r="P35" s="159" t="str">
        <f>IF(O35="양호",'기준 DB'!C9&amp;U35,IF(O35="취약",'기준 DB'!D9&amp;U35,IF(O35="N/A",'기준 DB'!E9&amp;U35,"-")))</f>
        <v>■ 기준 : 관리자 그룹에 불필요한 계정이 등록되어 있지 않은 경우 "양호"
■ 현황 : 패스워드 최대 사용기간이 90일(12주) 이하로 설정되어 있지 않으므로 취약함</v>
      </c>
      <c r="Q35" s="104"/>
      <c r="U35" s="61" t="s">
        <v>333</v>
      </c>
      <c r="W35" s="55"/>
    </row>
    <row r="36" spans="1:23" ht="69" customHeight="1" x14ac:dyDescent="0.3">
      <c r="A36" s="277"/>
      <c r="B36" s="278"/>
      <c r="C36" s="100" t="s">
        <v>96</v>
      </c>
      <c r="D36" s="267" t="s">
        <v>102</v>
      </c>
      <c r="E36" s="268"/>
      <c r="F36" s="268"/>
      <c r="G36" s="268"/>
      <c r="H36" s="268"/>
      <c r="I36" s="268"/>
      <c r="J36" s="268"/>
      <c r="K36" s="269"/>
      <c r="L36" s="105" t="s">
        <v>93</v>
      </c>
      <c r="M36" s="128">
        <f t="shared" si="2"/>
        <v>6</v>
      </c>
      <c r="N36" s="153">
        <f t="shared" si="3"/>
        <v>0</v>
      </c>
      <c r="O36" s="103" t="s">
        <v>45</v>
      </c>
      <c r="P36" s="159" t="str">
        <f>IF(O36="양호",'기준 DB'!C10&amp;U36,IF(O36="취약",'기준 DB'!D10&amp;U36,IF(O36="N/A",'기준 DB'!E10&amp;U36,"-")))</f>
        <v>■ 기준 : 시스템 관리나 운용에 불필요한 그룹이 제거된 경우 "양호"
■ 현황 : 패스워드 최소 사용기간이 1일(1주)로 설정되어 있지 않으므로 취약함</v>
      </c>
      <c r="Q36" s="104"/>
      <c r="U36" s="61" t="s">
        <v>334</v>
      </c>
      <c r="W36" s="55"/>
    </row>
    <row r="37" spans="1:23" ht="69" customHeight="1" x14ac:dyDescent="0.3">
      <c r="A37" s="277"/>
      <c r="B37" s="278"/>
      <c r="C37" s="100" t="s">
        <v>97</v>
      </c>
      <c r="D37" s="267" t="s">
        <v>104</v>
      </c>
      <c r="E37" s="268"/>
      <c r="F37" s="268"/>
      <c r="G37" s="268"/>
      <c r="H37" s="268"/>
      <c r="I37" s="268"/>
      <c r="J37" s="268"/>
      <c r="K37" s="269"/>
      <c r="L37" s="105" t="s">
        <v>91</v>
      </c>
      <c r="M37" s="128">
        <f t="shared" si="2"/>
        <v>8</v>
      </c>
      <c r="N37" s="153">
        <f t="shared" si="3"/>
        <v>0</v>
      </c>
      <c r="O37" s="103" t="s">
        <v>45</v>
      </c>
      <c r="P37" s="159" t="str">
        <f>IF(O37="양호",'기준 DB'!C11&amp;U37,IF(O37="취약",'기준 DB'!D11&amp;U37,IF(O37="N/A",'기준 DB'!E11&amp;U37,"-")))</f>
        <v>■ 기준 : 동일한 UID로 설정된 사용자 계정이 존재하지 않는 경우 "양호"
■ 현황 : 불필요한 계정이 없어 양호함</v>
      </c>
      <c r="Q37" s="104"/>
      <c r="U37" s="61" t="s">
        <v>345</v>
      </c>
      <c r="W37" s="55"/>
    </row>
    <row r="38" spans="1:23" ht="69" customHeight="1" x14ac:dyDescent="0.3">
      <c r="A38" s="277"/>
      <c r="B38" s="278"/>
      <c r="C38" s="100" t="s">
        <v>99</v>
      </c>
      <c r="D38" s="267" t="s">
        <v>106</v>
      </c>
      <c r="E38" s="268"/>
      <c r="F38" s="268"/>
      <c r="G38" s="268"/>
      <c r="H38" s="268"/>
      <c r="I38" s="268"/>
      <c r="J38" s="268"/>
      <c r="K38" s="269"/>
      <c r="L38" s="105" t="s">
        <v>93</v>
      </c>
      <c r="M38" s="128">
        <f t="shared" si="2"/>
        <v>6</v>
      </c>
      <c r="N38" s="153">
        <f t="shared" si="3"/>
        <v>0</v>
      </c>
      <c r="O38" s="103" t="s">
        <v>45</v>
      </c>
      <c r="P38" s="159" t="str">
        <f>IF(O38="양호",'기준 DB'!C12&amp;U38,IF(O38="취약",'기준 DB'!D12&amp;U38,IF(O38="N/A",'기준 DB'!E12&amp;U38,"-")))</f>
        <v>■ 기준 : 로그인이 필요하지 않은 계정에 /bin/false(nologin) 쉘이 부여되어 있는 경우 "양호"
■ 현황 : "root:x:0:" 으로 root 그룹에 최소한의 계정만 설정되어 있음으로 양호</v>
      </c>
      <c r="Q38" s="104"/>
      <c r="U38" s="62" t="s">
        <v>356</v>
      </c>
      <c r="W38" s="55"/>
    </row>
    <row r="39" spans="1:23" ht="69" customHeight="1" x14ac:dyDescent="0.3">
      <c r="A39" s="277"/>
      <c r="B39" s="278"/>
      <c r="C39" s="100" t="s">
        <v>101</v>
      </c>
      <c r="D39" s="267" t="s">
        <v>381</v>
      </c>
      <c r="E39" s="268"/>
      <c r="F39" s="268"/>
      <c r="G39" s="268"/>
      <c r="H39" s="268"/>
      <c r="I39" s="268"/>
      <c r="J39" s="268"/>
      <c r="K39" s="269"/>
      <c r="L39" s="105" t="s">
        <v>93</v>
      </c>
      <c r="M39" s="128">
        <f t="shared" si="2"/>
        <v>6</v>
      </c>
      <c r="N39" s="153">
        <f t="shared" si="3"/>
        <v>0</v>
      </c>
      <c r="O39" s="103" t="s">
        <v>45</v>
      </c>
      <c r="P39" s="159" t="str">
        <f>IF(O39="양호",'기준 DB'!C13&amp;U39,IF(O39="취약",'기준 DB'!D13&amp;U39,IF(O39="N/A",'기준 DB'!E13&amp;U39,"-")))</f>
        <v>■ 기준 : Session Timeout이 600초(10분) 이하로 설정되어 있는 경우 "양호"
■ 현황 : 구성원이 없는 그룹(그룹에 계정이 설정되어 있으나 실제로 계정이 없음)이 없으므로 양호함</v>
      </c>
      <c r="Q39" s="104"/>
      <c r="U39" s="62" t="s">
        <v>335</v>
      </c>
      <c r="W39" s="55"/>
    </row>
    <row r="40" spans="1:23" ht="69" customHeight="1" thickBot="1" x14ac:dyDescent="0.35">
      <c r="A40" s="277"/>
      <c r="B40" s="278"/>
      <c r="C40" s="106" t="s">
        <v>103</v>
      </c>
      <c r="D40" s="267" t="s">
        <v>382</v>
      </c>
      <c r="E40" s="268"/>
      <c r="F40" s="268"/>
      <c r="G40" s="268"/>
      <c r="H40" s="268"/>
      <c r="I40" s="268"/>
      <c r="J40" s="268"/>
      <c r="K40" s="269"/>
      <c r="L40" s="105" t="s">
        <v>91</v>
      </c>
      <c r="M40" s="135">
        <f t="shared" si="2"/>
        <v>8</v>
      </c>
      <c r="N40" s="154">
        <f t="shared" si="3"/>
        <v>0</v>
      </c>
      <c r="O40" s="107" t="s">
        <v>45</v>
      </c>
      <c r="P40" s="159" t="str">
        <f>IF(O40="양호",'기준 DB'!C14&amp;U40,IF(O40="취약",'기준 DB'!D14&amp;U40,IF(O40="N/A",'기준 DB'!E14&amp;U40,"-")))</f>
        <v>■ 기준 :  SHA-2 이상의 안전한 비밀번호 암호화 알고리즘을 사용하는 경우 "양호"
■ 현황 : 동일한 UID로 설정된 사용자 계정이 존재하지 않으므로 양호함</v>
      </c>
      <c r="Q40" s="108"/>
      <c r="U40" s="61" t="s">
        <v>336</v>
      </c>
      <c r="W40" s="55"/>
    </row>
    <row r="41" spans="1:23" ht="69" customHeight="1" x14ac:dyDescent="0.3">
      <c r="A41" s="275" t="s">
        <v>53</v>
      </c>
      <c r="B41" s="276"/>
      <c r="C41" s="109" t="s">
        <v>105</v>
      </c>
      <c r="D41" s="289" t="s">
        <v>109</v>
      </c>
      <c r="E41" s="290"/>
      <c r="F41" s="290"/>
      <c r="G41" s="290"/>
      <c r="H41" s="290"/>
      <c r="I41" s="290"/>
      <c r="J41" s="290"/>
      <c r="K41" s="291"/>
      <c r="L41" s="101" t="s">
        <v>85</v>
      </c>
      <c r="M41" s="139">
        <f t="shared" si="2"/>
        <v>10</v>
      </c>
      <c r="N41" s="152">
        <f t="shared" si="3"/>
        <v>10</v>
      </c>
      <c r="O41" s="110" t="s">
        <v>46</v>
      </c>
      <c r="P41" s="159" t="str">
        <f>IF(O41="양호",'기준 DB'!C15&amp;U41,IF(O41="취약",'기준 DB'!D15&amp;U41,IF(O41="N/A",'기준 DB'!E15&amp;U41,"-")))</f>
        <v>■ 기준 : PATH 환경변수에 “.” 이 맨 앞이나 중간에 포함되어 있는 경우 "취약"
■ 현황 : PATH 설정에 '.'이 맨 앞이나 중간에 포함되어 있지 않으므로 양호함</v>
      </c>
      <c r="Q41" s="111"/>
      <c r="U41" s="61" t="s">
        <v>309</v>
      </c>
      <c r="W41" s="55"/>
    </row>
    <row r="42" spans="1:23" ht="69" customHeight="1" x14ac:dyDescent="0.3">
      <c r="A42" s="277"/>
      <c r="B42" s="278"/>
      <c r="C42" s="109" t="s">
        <v>107</v>
      </c>
      <c r="D42" s="267" t="s">
        <v>111</v>
      </c>
      <c r="E42" s="268"/>
      <c r="F42" s="268"/>
      <c r="G42" s="268"/>
      <c r="H42" s="268"/>
      <c r="I42" s="268"/>
      <c r="J42" s="268"/>
      <c r="K42" s="269"/>
      <c r="L42" s="105" t="s">
        <v>85</v>
      </c>
      <c r="M42" s="128">
        <f t="shared" si="2"/>
        <v>10</v>
      </c>
      <c r="N42" s="153" t="str">
        <f t="shared" si="3"/>
        <v>-</v>
      </c>
      <c r="O42" s="103" t="s">
        <v>550</v>
      </c>
      <c r="P42" s="159" t="str">
        <f>IF(O42="양호",'기준 DB'!C16&amp;U42,IF(O42="취약",'기준 DB'!D16&amp;U42,IF(O42="N/A",'기준 DB'!E16&amp;U42,"-")))</f>
        <v>■ 기준 : 
소유자가 존재하지 않은 파일 및 디렉터리가 존재하지 않는 경우"양호"
소유자가 존재하지 않은 파일 및 디렉터리가 존재하는 경우 "취약"
■ 현황 : 소유자가 존재하지 않은 파일 및 디렉터리가 존재하지 않음</v>
      </c>
      <c r="Q42" s="104"/>
      <c r="U42" s="61" t="s">
        <v>337</v>
      </c>
      <c r="W42" s="55"/>
    </row>
    <row r="43" spans="1:23" ht="69" customHeight="1" x14ac:dyDescent="0.3">
      <c r="A43" s="277"/>
      <c r="B43" s="278"/>
      <c r="C43" s="109" t="s">
        <v>108</v>
      </c>
      <c r="D43" s="267" t="s">
        <v>113</v>
      </c>
      <c r="E43" s="268"/>
      <c r="F43" s="268"/>
      <c r="G43" s="268"/>
      <c r="H43" s="268"/>
      <c r="I43" s="268"/>
      <c r="J43" s="268"/>
      <c r="K43" s="269"/>
      <c r="L43" s="105" t="s">
        <v>85</v>
      </c>
      <c r="M43" s="128">
        <f t="shared" si="2"/>
        <v>10</v>
      </c>
      <c r="N43" s="153">
        <f t="shared" si="3"/>
        <v>0</v>
      </c>
      <c r="O43" s="103" t="s">
        <v>45</v>
      </c>
      <c r="P43" s="159" t="str">
        <f>IF(O43="양호",'기준 DB'!C17&amp;U43,IF(O43="취약",'기준 DB'!D17&amp;U43,IF(O43="N/A",'기준 DB'!E17&amp;U43,"-")))</f>
        <v>■ 기준 : /etc/passwd 파일의 소유자가 root이고, 권한이 644 이하인 경우 "양호"
■ 현황 : /etc/passwd 파일의 접근권한이 적절하게 설정되어 있어 양호함</v>
      </c>
      <c r="Q43" s="104"/>
      <c r="S43" s="65"/>
      <c r="U43" s="61" t="s">
        <v>310</v>
      </c>
      <c r="W43" s="55"/>
    </row>
    <row r="44" spans="1:23" ht="69" customHeight="1" x14ac:dyDescent="0.3">
      <c r="A44" s="277"/>
      <c r="B44" s="278"/>
      <c r="C44" s="109" t="s">
        <v>110</v>
      </c>
      <c r="D44" s="282" t="s">
        <v>383</v>
      </c>
      <c r="E44" s="283"/>
      <c r="F44" s="283"/>
      <c r="G44" s="283"/>
      <c r="H44" s="283"/>
      <c r="I44" s="283"/>
      <c r="J44" s="283"/>
      <c r="K44" s="284"/>
      <c r="L44" s="105" t="s">
        <v>85</v>
      </c>
      <c r="M44" s="128">
        <f t="shared" si="2"/>
        <v>10</v>
      </c>
      <c r="N44" s="153">
        <f t="shared" si="3"/>
        <v>0</v>
      </c>
      <c r="O44" s="103" t="s">
        <v>45</v>
      </c>
      <c r="P44" s="159" t="str">
        <f>IF(O44="양호",'기준 DB'!C18&amp;U44,IF(O44="취약",'기준 DB'!D18&amp;U44,IF(O44="N/A",'기준 DB'!E18&amp;U44,"-")))</f>
        <v>■ 기준 : 시스템 시작 스크립트 파일의 소유자가 root이고, 일반 사용자의 쓰기 권한이 제거된 경우 "양호"
■ 현황 : /etc/shadow 파일의 접근권한이 과도하게 설정되어 있으므로 취약함</v>
      </c>
      <c r="Q44" s="104"/>
      <c r="S44" s="65"/>
      <c r="U44" s="61" t="s">
        <v>357</v>
      </c>
      <c r="W44" s="55"/>
    </row>
    <row r="45" spans="1:23" ht="69" customHeight="1" x14ac:dyDescent="0.3">
      <c r="A45" s="277"/>
      <c r="B45" s="278"/>
      <c r="C45" s="109" t="s">
        <v>112</v>
      </c>
      <c r="D45" s="267" t="s">
        <v>371</v>
      </c>
      <c r="E45" s="268"/>
      <c r="F45" s="268"/>
      <c r="G45" s="268"/>
      <c r="H45" s="268"/>
      <c r="I45" s="268"/>
      <c r="J45" s="268"/>
      <c r="K45" s="269"/>
      <c r="L45" s="105" t="s">
        <v>85</v>
      </c>
      <c r="M45" s="128">
        <f t="shared" si="2"/>
        <v>10</v>
      </c>
      <c r="N45" s="153">
        <f t="shared" si="3"/>
        <v>0</v>
      </c>
      <c r="O45" s="103" t="s">
        <v>45</v>
      </c>
      <c r="P45" s="159" t="str">
        <f>IF(O45="양호",'기준 DB'!C19&amp;U45,IF(O45="취약",'기준 DB'!D19&amp;U45,IF(O45="N/A",'기준 DB'!E19&amp;U45,"-")))</f>
        <v>■ 기준 : /etc/shadow 파일의 소유자가 root이고, 권한이 400인 경우 "양호"
■ 현황 : /etc/hosts 파일의 접근권한이 과도하게 설정되어 있으므로 취약함(운영환경에 따른 판단 필요)</v>
      </c>
      <c r="Q45" s="104"/>
      <c r="S45" s="65"/>
      <c r="U45" s="61" t="s">
        <v>358</v>
      </c>
      <c r="W45" s="55"/>
    </row>
    <row r="46" spans="1:23" ht="69" customHeight="1" x14ac:dyDescent="0.3">
      <c r="A46" s="277"/>
      <c r="B46" s="278"/>
      <c r="C46" s="109" t="s">
        <v>114</v>
      </c>
      <c r="D46" s="267" t="s">
        <v>346</v>
      </c>
      <c r="E46" s="268"/>
      <c r="F46" s="268"/>
      <c r="G46" s="268"/>
      <c r="H46" s="268"/>
      <c r="I46" s="268"/>
      <c r="J46" s="268"/>
      <c r="K46" s="269"/>
      <c r="L46" s="105" t="s">
        <v>85</v>
      </c>
      <c r="M46" s="128">
        <f t="shared" si="2"/>
        <v>10</v>
      </c>
      <c r="N46" s="153">
        <f t="shared" si="3"/>
        <v>0</v>
      </c>
      <c r="O46" s="110" t="s">
        <v>45</v>
      </c>
      <c r="P46" s="159" t="str">
        <f>IF(O46="양호",'기준 DB'!C20&amp;U46,IF(O46="취약",'기준 DB'!D20&amp;U46,IF(O46="N/A",'기준 DB'!E20&amp;U46,"-")))</f>
        <v>■ 기준 : /etc/hosts 파일의 소유자가 root이고, 권한이 600인 경우 "양호"
■ 현황 : /etc/inetd.conf or /etc/xinetd.conf 파일이 존재하지 않으므로 양호함</v>
      </c>
      <c r="Q46" s="104"/>
      <c r="U46" s="61" t="s">
        <v>311</v>
      </c>
      <c r="W46" s="55"/>
    </row>
    <row r="47" spans="1:23" ht="69" customHeight="1" x14ac:dyDescent="0.3">
      <c r="A47" s="277"/>
      <c r="B47" s="278"/>
      <c r="C47" s="109" t="s">
        <v>116</v>
      </c>
      <c r="D47" s="267" t="s">
        <v>119</v>
      </c>
      <c r="E47" s="268"/>
      <c r="F47" s="268"/>
      <c r="G47" s="268"/>
      <c r="H47" s="268"/>
      <c r="I47" s="268"/>
      <c r="J47" s="268"/>
      <c r="K47" s="269"/>
      <c r="L47" s="105" t="s">
        <v>85</v>
      </c>
      <c r="M47" s="128">
        <f t="shared" si="2"/>
        <v>10</v>
      </c>
      <c r="N47" s="153">
        <f t="shared" si="3"/>
        <v>0</v>
      </c>
      <c r="O47" s="103" t="s">
        <v>45</v>
      </c>
      <c r="P47" s="159" t="str">
        <f>IF(O47="양호",'기준 DB'!C21&amp;U47,IF(O47="취약",'기준 DB'!D21&amp;U47,IF(O47="N/A",'기준 DB'!E21&amp;U47,"-")))</f>
        <v>■ 기준 : /etc/(x)inetd.conf 파일의 소유자가 root이고, 권한이 600인 경우 "양호"
■ 현황 : /etc/syslog.conf 파일의 접근권한이 과도하게 설정되어 있으므로 취약함</v>
      </c>
      <c r="Q47" s="104"/>
      <c r="S47" s="65"/>
      <c r="U47" s="61" t="s">
        <v>359</v>
      </c>
      <c r="W47" s="55"/>
    </row>
    <row r="48" spans="1:23" ht="69" customHeight="1" x14ac:dyDescent="0.3">
      <c r="A48" s="277"/>
      <c r="B48" s="278"/>
      <c r="C48" s="109" t="s">
        <v>118</v>
      </c>
      <c r="D48" s="267" t="s">
        <v>384</v>
      </c>
      <c r="E48" s="268"/>
      <c r="F48" s="268"/>
      <c r="G48" s="268"/>
      <c r="H48" s="268"/>
      <c r="I48" s="268"/>
      <c r="J48" s="268"/>
      <c r="K48" s="269"/>
      <c r="L48" s="105" t="s">
        <v>85</v>
      </c>
      <c r="M48" s="128">
        <f t="shared" si="2"/>
        <v>10</v>
      </c>
      <c r="N48" s="153">
        <f t="shared" si="3"/>
        <v>0</v>
      </c>
      <c r="O48" s="103" t="s">
        <v>45</v>
      </c>
      <c r="P48" s="159" t="str">
        <f>IF(O48="양호",'기준 DB'!C22&amp;U48,IF(O48="취약",'기준 DB'!D22&amp;U48,IF(O48="N/A",'기준 DB'!E22&amp;U48,"-")))</f>
        <v>■ 기준 : /etc/(r)syslog.conf 파일의 소유자가 root이고, 권한이 640인 경우 "양호"
■ 현황 : /etc/services 파일의 접근권한이 적절하게 설정되어 있으므로 양호함</v>
      </c>
      <c r="Q48" s="104"/>
      <c r="U48" s="61" t="s">
        <v>312</v>
      </c>
      <c r="W48" s="55"/>
    </row>
    <row r="49" spans="1:23" ht="69" customHeight="1" x14ac:dyDescent="0.3">
      <c r="A49" s="277"/>
      <c r="B49" s="278"/>
      <c r="C49" s="109" t="s">
        <v>120</v>
      </c>
      <c r="D49" s="267" t="s">
        <v>122</v>
      </c>
      <c r="E49" s="268"/>
      <c r="F49" s="268"/>
      <c r="G49" s="268"/>
      <c r="H49" s="268"/>
      <c r="I49" s="268"/>
      <c r="J49" s="268"/>
      <c r="K49" s="269"/>
      <c r="L49" s="105" t="s">
        <v>85</v>
      </c>
      <c r="M49" s="128">
        <f t="shared" si="2"/>
        <v>10</v>
      </c>
      <c r="N49" s="153">
        <f t="shared" si="3"/>
        <v>0</v>
      </c>
      <c r="O49" s="103" t="s">
        <v>45</v>
      </c>
      <c r="P49" s="159" t="str">
        <f>IF(O49="양호",'기준 DB'!C23&amp;U49,IF(O49="취약",'기준 DB'!D23&amp;U49,IF(O49="N/A",'기준 DB'!E23&amp;U49,"-")))</f>
        <v xml:space="preserve">■ 기준 : /etc/services 파일의 소유자가 root이고, 권한이 644인 경우 "양호"
■ 현황 : 주요 파일이 존재하지 않음으로 양호함 </v>
      </c>
      <c r="Q49" s="104"/>
      <c r="U49" s="61" t="s">
        <v>314</v>
      </c>
      <c r="W49" s="55"/>
    </row>
    <row r="50" spans="1:23" ht="69" customHeight="1" x14ac:dyDescent="0.3">
      <c r="A50" s="277"/>
      <c r="B50" s="278"/>
      <c r="C50" s="109" t="s">
        <v>121</v>
      </c>
      <c r="D50" s="267" t="s">
        <v>313</v>
      </c>
      <c r="E50" s="268"/>
      <c r="F50" s="268"/>
      <c r="G50" s="268"/>
      <c r="H50" s="268"/>
      <c r="I50" s="268"/>
      <c r="J50" s="268"/>
      <c r="K50" s="269"/>
      <c r="L50" s="105" t="s">
        <v>85</v>
      </c>
      <c r="M50" s="128">
        <f t="shared" si="2"/>
        <v>10</v>
      </c>
      <c r="N50" s="153">
        <f t="shared" si="3"/>
        <v>0</v>
      </c>
      <c r="O50" s="103" t="s">
        <v>45</v>
      </c>
      <c r="P50" s="159" t="str">
        <f>IF(O50="양호",'기준 DB'!C24&amp;U50,IF(O50="취약",'기준 DB'!D24&amp;U50,IF(O50="N/A",'기준 DB'!E24&amp;U50,"-")))</f>
        <v>■ 기준 : 주요 실행 파일의 권한에 SUID와 SGID에 대한 설정이 부여되어 있지 않은 경우 "양호"
■ 현황 : /etc/profile 파일의 접근권한이 적절하게 설정되어 있으므로 양호함</v>
      </c>
      <c r="Q50" s="104"/>
      <c r="U50" s="61" t="s">
        <v>315</v>
      </c>
      <c r="W50" s="55"/>
    </row>
    <row r="51" spans="1:23" ht="69" customHeight="1" x14ac:dyDescent="0.3">
      <c r="A51" s="277"/>
      <c r="B51" s="278"/>
      <c r="C51" s="109" t="s">
        <v>123</v>
      </c>
      <c r="D51" s="282" t="s">
        <v>385</v>
      </c>
      <c r="E51" s="283"/>
      <c r="F51" s="283"/>
      <c r="G51" s="283"/>
      <c r="H51" s="283"/>
      <c r="I51" s="283"/>
      <c r="J51" s="283"/>
      <c r="K51" s="284"/>
      <c r="L51" s="105" t="s">
        <v>85</v>
      </c>
      <c r="M51" s="128">
        <f t="shared" si="2"/>
        <v>10</v>
      </c>
      <c r="N51" s="153">
        <f t="shared" si="3"/>
        <v>0</v>
      </c>
      <c r="O51" s="103" t="s">
        <v>45</v>
      </c>
      <c r="P51" s="159" t="str">
        <f>IF(O51="양호",'기준 DB'!C25&amp;U51,IF(O51="취약",'기준 DB'!D25&amp;U51,IF(O51="N/A",'기준 DB'!E25&amp;U51,"-")))</f>
        <v>■ 기준 : 홈 디렉터리 환경변수 파일 소유자가 root 또는 해당 계정으로 지정되어 있고, 홈 디렉터리 
환경변수 파일에 root 계정과 소유자만 쓰기 권한이 부여된 경우 "양호"
■ 현황 : world writable 파일이 존재하지 않아 시스템에 영향을 미치지 않음으로 양호함</v>
      </c>
      <c r="Q51" s="104"/>
      <c r="U51" s="61" t="s">
        <v>360</v>
      </c>
      <c r="W51" s="55"/>
    </row>
    <row r="52" spans="1:23" ht="69" customHeight="1" x14ac:dyDescent="0.3">
      <c r="A52" s="277"/>
      <c r="B52" s="278"/>
      <c r="C52" s="109" t="s">
        <v>125</v>
      </c>
      <c r="D52" s="267" t="s">
        <v>127</v>
      </c>
      <c r="E52" s="268"/>
      <c r="F52" s="268"/>
      <c r="G52" s="268"/>
      <c r="H52" s="268"/>
      <c r="I52" s="268"/>
      <c r="J52" s="268"/>
      <c r="K52" s="269"/>
      <c r="L52" s="105" t="s">
        <v>85</v>
      </c>
      <c r="M52" s="128">
        <f t="shared" si="2"/>
        <v>10</v>
      </c>
      <c r="N52" s="153">
        <f t="shared" si="3"/>
        <v>0</v>
      </c>
      <c r="O52" s="103" t="s">
        <v>45</v>
      </c>
      <c r="P52" s="159" t="str">
        <f>IF(O52="양호",'기준 DB'!C26&amp;U52,IF(O52="취약",'기준 DB'!D26&amp;U52,IF(O52="N/A",'기준 DB'!E26&amp;U52,"-")))</f>
        <v>■ 기준 : world writable 파일이 존재하지 않거나, 존재 시 설정 이유를 인지하고 있는 경우 "양호"
■ 현황 : 출력 내용 없어 양호함</v>
      </c>
      <c r="Q52" s="104"/>
      <c r="U52" s="61" t="s">
        <v>316</v>
      </c>
      <c r="W52" s="55"/>
    </row>
    <row r="53" spans="1:23" ht="69" customHeight="1" x14ac:dyDescent="0.3">
      <c r="A53" s="277"/>
      <c r="B53" s="278"/>
      <c r="C53" s="109" t="s">
        <v>126</v>
      </c>
      <c r="D53" s="267" t="s">
        <v>129</v>
      </c>
      <c r="E53" s="268"/>
      <c r="F53" s="268"/>
      <c r="G53" s="268"/>
      <c r="H53" s="268"/>
      <c r="I53" s="268"/>
      <c r="J53" s="268"/>
      <c r="K53" s="269"/>
      <c r="L53" s="105" t="s">
        <v>85</v>
      </c>
      <c r="M53" s="128">
        <f t="shared" si="2"/>
        <v>10</v>
      </c>
      <c r="N53" s="153">
        <f t="shared" si="3"/>
        <v>0</v>
      </c>
      <c r="O53" s="103" t="s">
        <v>45</v>
      </c>
      <c r="P53" s="159" t="str">
        <f>IF(O53="양호",'기준 DB'!C27&amp;U53,IF(O53="취약",'기준 DB'!D27&amp;U53,IF(O53="N/A",'기준 DB'!E27&amp;U53,"-")))</f>
        <v>■ 기준 : /dev 디렉터리에 대한 파일 점검 후 존재하지 않는 device 파일을 제거한 경우 "양호"
■ 현황 : R (rlogin|rsh|rexec) 서비스가 비실행중이므로 양호함</v>
      </c>
      <c r="Q53" s="104"/>
      <c r="U53" s="61" t="s">
        <v>317</v>
      </c>
      <c r="W53" s="55"/>
    </row>
    <row r="54" spans="1:23" ht="69" customHeight="1" x14ac:dyDescent="0.3">
      <c r="A54" s="277"/>
      <c r="B54" s="278"/>
      <c r="C54" s="109" t="s">
        <v>128</v>
      </c>
      <c r="D54" s="267" t="s">
        <v>131</v>
      </c>
      <c r="E54" s="268"/>
      <c r="F54" s="268"/>
      <c r="G54" s="268"/>
      <c r="H54" s="268"/>
      <c r="I54" s="268"/>
      <c r="J54" s="268"/>
      <c r="K54" s="269"/>
      <c r="L54" s="105" t="s">
        <v>85</v>
      </c>
      <c r="M54" s="128">
        <f t="shared" si="2"/>
        <v>10</v>
      </c>
      <c r="N54" s="153">
        <f t="shared" si="3"/>
        <v>0</v>
      </c>
      <c r="O54" s="103" t="s">
        <v>45</v>
      </c>
      <c r="P54" s="159" t="str">
        <f>IF(O54="양호",'기준 DB'!C28&amp;U54,IF(O54="취약",'기준 DB'!D28&amp;U54,IF(O54="N/A",'기준 DB'!E28&amp;U54,"-")))</f>
        <v>■ 기준 :  rlogin, rsh, rexec 서비스를 사용하지 않거나, 사용 시 아래와 같은 설정이 적용된 경우 "양호"
1. /etc/hosts.equiv 및 $HOME/.rhosts 파일 소유자가 root 또는 해당 계정인 경우
2. /etc/hosts.equiv 및 $HOME/.rhosts 파일 권한이 600 이하인 경우
3. /etc/hosts.equiv 및 $HOME/.rhosts 파일 설정에 “+” 설정이 없는 경우
■ 현황 : 허용할 호스트에 대해 방화벽을 통한 접근제어 함으로 양호함</v>
      </c>
      <c r="Q54" s="104"/>
      <c r="U54" s="75" t="s">
        <v>361</v>
      </c>
      <c r="W54" s="55"/>
    </row>
    <row r="55" spans="1:23" ht="69" customHeight="1" x14ac:dyDescent="0.3">
      <c r="A55" s="277"/>
      <c r="B55" s="278"/>
      <c r="C55" s="109" t="s">
        <v>130</v>
      </c>
      <c r="D55" s="267" t="s">
        <v>133</v>
      </c>
      <c r="E55" s="268"/>
      <c r="F55" s="268"/>
      <c r="G55" s="268"/>
      <c r="H55" s="268"/>
      <c r="I55" s="268"/>
      <c r="J55" s="268"/>
      <c r="K55" s="269"/>
      <c r="L55" s="105" t="s">
        <v>85</v>
      </c>
      <c r="M55" s="128">
        <f t="shared" si="2"/>
        <v>10</v>
      </c>
      <c r="N55" s="153">
        <f t="shared" si="3"/>
        <v>0</v>
      </c>
      <c r="O55" s="103" t="s">
        <v>45</v>
      </c>
      <c r="P55" s="159" t="str">
        <f>IF(O55="양호",'기준 DB'!C29&amp;U55,IF(O55="취약",'기준 DB'!D29&amp;U55,IF(O55="N/A",'기준 DB'!E29&amp;U55,"-")))</f>
        <v>■ 기준 : 접속을 허용할 특정 호스트에 대한 IP주소 및 포트 제한을 설정한 경우 "양호"
■ 현황 : /etc/hosts.lpd 파일이 없어 양호함</v>
      </c>
      <c r="Q55" s="104"/>
      <c r="U55" s="61" t="s">
        <v>318</v>
      </c>
      <c r="W55" s="55"/>
    </row>
    <row r="56" spans="1:23" ht="69" customHeight="1" x14ac:dyDescent="0.3">
      <c r="A56" s="277"/>
      <c r="B56" s="278"/>
      <c r="C56" s="109" t="s">
        <v>132</v>
      </c>
      <c r="D56" s="267" t="s">
        <v>135</v>
      </c>
      <c r="E56" s="268"/>
      <c r="F56" s="268"/>
      <c r="G56" s="268"/>
      <c r="H56" s="268"/>
      <c r="I56" s="268"/>
      <c r="J56" s="268"/>
      <c r="K56" s="269"/>
      <c r="L56" s="105" t="s">
        <v>93</v>
      </c>
      <c r="M56" s="128">
        <f t="shared" si="2"/>
        <v>6</v>
      </c>
      <c r="N56" s="153">
        <f t="shared" si="3"/>
        <v>0</v>
      </c>
      <c r="O56" s="103" t="s">
        <v>45</v>
      </c>
      <c r="P56" s="159" t="str">
        <f>IF(O56="양호",'기준 DB'!C30&amp;U56,IF(O56="취약",'기준 DB'!D30&amp;U56,IF(O56="N/A",'기준 DB'!E30&amp;U56,"-")))</f>
        <v>■ 기준 : /etc/hosts.lpd 파일이 존재하지 않거나, 불가피하게 사용 시 /etc/hosts.lpd 파일의 소유자가 
root이고, 권한이 600 이하인 경우 "양호"
■ 현황 : umask 값이 022로 설정되어 있어 양호함</v>
      </c>
      <c r="Q56" s="104"/>
      <c r="U56" s="61" t="s">
        <v>319</v>
      </c>
      <c r="W56" s="55"/>
    </row>
    <row r="57" spans="1:23" ht="69" customHeight="1" x14ac:dyDescent="0.3">
      <c r="A57" s="277"/>
      <c r="B57" s="278"/>
      <c r="C57" s="109" t="s">
        <v>134</v>
      </c>
      <c r="D57" s="267" t="s">
        <v>137</v>
      </c>
      <c r="E57" s="268"/>
      <c r="F57" s="268"/>
      <c r="G57" s="268"/>
      <c r="H57" s="268"/>
      <c r="I57" s="268"/>
      <c r="J57" s="268"/>
      <c r="K57" s="269"/>
      <c r="L57" s="105" t="s">
        <v>91</v>
      </c>
      <c r="M57" s="128">
        <f t="shared" si="2"/>
        <v>8</v>
      </c>
      <c r="N57" s="153">
        <f t="shared" si="3"/>
        <v>0</v>
      </c>
      <c r="O57" s="103" t="s">
        <v>45</v>
      </c>
      <c r="P57" s="159" t="str">
        <f>IF(O57="양호",'기준 DB'!C31&amp;U57,IF(O57="취약",'기준 DB'!D31&amp;U57,IF(O57="N/A",'기준 DB'!E31&amp;U57,"-")))</f>
        <v>■ 기준 : UMASK 값이 022 이상으로 설정된 경우 "양호"
■ 현황 : 홈디렉토리 사용자 및 소유자가 일치하며, 해당 디렉토리 및 파일의 접근권한이 적절하게 부여되어 있어 양호함</v>
      </c>
      <c r="Q57" s="104"/>
      <c r="U57" s="61" t="s">
        <v>320</v>
      </c>
      <c r="W57" s="55"/>
    </row>
    <row r="58" spans="1:23" ht="69" customHeight="1" x14ac:dyDescent="0.3">
      <c r="A58" s="277"/>
      <c r="B58" s="278"/>
      <c r="C58" s="109" t="s">
        <v>136</v>
      </c>
      <c r="D58" s="267" t="s">
        <v>139</v>
      </c>
      <c r="E58" s="268"/>
      <c r="F58" s="268"/>
      <c r="G58" s="268"/>
      <c r="H58" s="268"/>
      <c r="I58" s="268"/>
      <c r="J58" s="268"/>
      <c r="K58" s="269"/>
      <c r="L58" s="105" t="s">
        <v>91</v>
      </c>
      <c r="M58" s="128">
        <f t="shared" si="2"/>
        <v>8</v>
      </c>
      <c r="N58" s="153">
        <f t="shared" si="3"/>
        <v>0</v>
      </c>
      <c r="O58" s="103" t="s">
        <v>45</v>
      </c>
      <c r="P58" s="159" t="str">
        <f>IF(O58="양호",'기준 DB'!C32&amp;U58,IF(O58="취약",'기준 DB'!D32&amp;U58,IF(O58="N/A",'기준 DB'!E32&amp;U58,"-")))</f>
        <v>■ 기준 : 홈 디렉토리 소유자가 해당 계정이고, 타 사용자 쓰기 권한이 제거된 경우 "양호"
■ 현황 : 홈 디렉토리로 지정한 디렉토리 중 존재하지 않는 디렉터리가 없으므로 양호함</v>
      </c>
      <c r="Q58" s="104"/>
      <c r="U58" s="62" t="s">
        <v>343</v>
      </c>
      <c r="W58" s="55"/>
    </row>
    <row r="59" spans="1:23" ht="69" customHeight="1" x14ac:dyDescent="0.3">
      <c r="A59" s="285"/>
      <c r="B59" s="286"/>
      <c r="C59" s="109" t="s">
        <v>138</v>
      </c>
      <c r="D59" s="267" t="s">
        <v>141</v>
      </c>
      <c r="E59" s="268"/>
      <c r="F59" s="268"/>
      <c r="G59" s="268"/>
      <c r="H59" s="268"/>
      <c r="I59" s="268"/>
      <c r="J59" s="268"/>
      <c r="K59" s="269"/>
      <c r="L59" s="105" t="s">
        <v>91</v>
      </c>
      <c r="M59" s="128">
        <f t="shared" si="2"/>
        <v>8</v>
      </c>
      <c r="N59" s="153">
        <f t="shared" si="3"/>
        <v>0</v>
      </c>
      <c r="O59" s="103" t="s">
        <v>45</v>
      </c>
      <c r="P59" s="159" t="str">
        <f>IF(O59="양호",'기준 DB'!C33&amp;U59,IF(O59="취약",'기준 DB'!D33&amp;U59,IF(O59="N/A",'기준 DB'!E33&amp;U59,"-")))</f>
        <v xml:space="preserve">■ 기준 : 홈 디렉터리가 존재하지 않는 계정이 발견되지 않는 경우 "양호"
■ 현황 : </v>
      </c>
      <c r="Q59" s="104"/>
      <c r="U59" s="62"/>
      <c r="W59" s="55"/>
    </row>
    <row r="60" spans="1:23" ht="69" customHeight="1" thickBot="1" x14ac:dyDescent="0.35">
      <c r="A60" s="287"/>
      <c r="B60" s="288"/>
      <c r="C60" s="106" t="s">
        <v>140</v>
      </c>
      <c r="D60" s="261" t="s">
        <v>143</v>
      </c>
      <c r="E60" s="262"/>
      <c r="F60" s="262"/>
      <c r="G60" s="262"/>
      <c r="H60" s="262"/>
      <c r="I60" s="262"/>
      <c r="J60" s="262"/>
      <c r="K60" s="263"/>
      <c r="L60" s="112" t="s">
        <v>93</v>
      </c>
      <c r="M60" s="135">
        <f t="shared" si="2"/>
        <v>6</v>
      </c>
      <c r="N60" s="154">
        <f t="shared" si="3"/>
        <v>0</v>
      </c>
      <c r="O60" s="107" t="s">
        <v>45</v>
      </c>
      <c r="P60" s="159" t="str">
        <f>IF(O60="양호",'기준 DB'!C34&amp;U60,IF(O60="취약",'기준 DB'!D34&amp;U60,IF(O60="N/A",'기준 DB'!E34&amp;U60,"-")))</f>
        <v>■ 기준 : 불필요하거나 의심스러운 숨겨진 파일 및 디렉토리를 제거한 경우 "양호"
■ 현황 : 숨겨진 파일 및 디렉터리 중 불필요하거나 의심스러운 파일이 존재하지 않아 양호함</v>
      </c>
      <c r="Q60" s="108"/>
      <c r="U60" s="61" t="s">
        <v>340</v>
      </c>
      <c r="W60" s="55"/>
    </row>
    <row r="61" spans="1:23" ht="69" customHeight="1" x14ac:dyDescent="0.3">
      <c r="A61" s="292" t="s">
        <v>54</v>
      </c>
      <c r="B61" s="293"/>
      <c r="C61" s="109" t="s">
        <v>142</v>
      </c>
      <c r="D61" s="289" t="s">
        <v>145</v>
      </c>
      <c r="E61" s="290"/>
      <c r="F61" s="290"/>
      <c r="G61" s="290"/>
      <c r="H61" s="290"/>
      <c r="I61" s="290"/>
      <c r="J61" s="290"/>
      <c r="K61" s="291"/>
      <c r="L61" s="113" t="s">
        <v>85</v>
      </c>
      <c r="M61" s="139">
        <f t="shared" si="2"/>
        <v>10</v>
      </c>
      <c r="N61" s="152">
        <f t="shared" si="3"/>
        <v>10</v>
      </c>
      <c r="O61" s="110" t="s">
        <v>46</v>
      </c>
      <c r="P61" s="159" t="str">
        <f>IF(O61="양호",'기준 DB'!C35&amp;U61,IF(O61="취약",'기준 DB'!D35&amp;U61,IF(O61="N/A",'기준 DB'!E35&amp;U61,"-")))</f>
        <v>■ 기준 : Finger 서비스가 활성화 되어 있는 경우 "취약"
■ 현황 : finger 파일이 존재하지 않으므로 양호함</v>
      </c>
      <c r="Q61" s="111"/>
      <c r="U61" s="61" t="s">
        <v>321</v>
      </c>
      <c r="W61" s="55"/>
    </row>
    <row r="62" spans="1:23" ht="69" customHeight="1" x14ac:dyDescent="0.3">
      <c r="A62" s="307"/>
      <c r="B62" s="308"/>
      <c r="C62" s="109" t="s">
        <v>144</v>
      </c>
      <c r="D62" s="282" t="s">
        <v>386</v>
      </c>
      <c r="E62" s="283"/>
      <c r="F62" s="283"/>
      <c r="G62" s="283"/>
      <c r="H62" s="283"/>
      <c r="I62" s="283"/>
      <c r="J62" s="283"/>
      <c r="K62" s="284"/>
      <c r="L62" s="105" t="s">
        <v>85</v>
      </c>
      <c r="M62" s="128">
        <f t="shared" si="2"/>
        <v>10</v>
      </c>
      <c r="N62" s="153" t="str">
        <f t="shared" si="3"/>
        <v>-</v>
      </c>
      <c r="O62" s="103" t="s">
        <v>550</v>
      </c>
      <c r="P62" s="159" t="str">
        <f>IF(O62="양호",'기준 DB'!C36&amp;U62,IF(O62="취약",'기준 DB'!D36&amp;U62,IF(O62="N/A",'기준 DB'!E36&amp;U62,"-")))</f>
        <v>■ 기준 : 
공유 서비스에 대해 익명 접근을 제한한 경우 "양호"
공유 서비스에 대해 익명 접근을 허용한 경우 "취약"
■ 현황 : Anonymous FTP 접속을 anonymous_enable=NO로 차단함으로 양호함</v>
      </c>
      <c r="Q62" s="104"/>
      <c r="U62" s="61" t="s">
        <v>362</v>
      </c>
      <c r="W62" s="55"/>
    </row>
    <row r="63" spans="1:23" ht="69" customHeight="1" x14ac:dyDescent="0.3">
      <c r="A63" s="307"/>
      <c r="B63" s="308"/>
      <c r="C63" s="109" t="s">
        <v>146</v>
      </c>
      <c r="D63" s="282" t="s">
        <v>148</v>
      </c>
      <c r="E63" s="283"/>
      <c r="F63" s="283"/>
      <c r="G63" s="283"/>
      <c r="H63" s="283"/>
      <c r="I63" s="283"/>
      <c r="J63" s="283"/>
      <c r="K63" s="284"/>
      <c r="L63" s="105" t="s">
        <v>85</v>
      </c>
      <c r="M63" s="155">
        <f t="shared" si="2"/>
        <v>10</v>
      </c>
      <c r="N63" s="156">
        <f t="shared" si="3"/>
        <v>0</v>
      </c>
      <c r="O63" s="103" t="s">
        <v>45</v>
      </c>
      <c r="P63" s="159" t="str">
        <f>IF(O63="양호",'기준 DB'!C37&amp;U63,IF(O63="취약",'기준 DB'!D37&amp;U63,IF(O63="N/A",'기준 DB'!E37&amp;U63,"-")))</f>
        <v>■ 기준 : 불필요한 r 계열 서비스가 비활성화 되어 있는 경우 "양호"
■ 현황 : 현재 rsh, rlogin, rexec 서비스가 비실행 중이므로 양호함</v>
      </c>
      <c r="Q63" s="104"/>
      <c r="U63" s="61" t="s">
        <v>322</v>
      </c>
      <c r="W63" s="55"/>
    </row>
    <row r="64" spans="1:23" ht="69" customHeight="1" x14ac:dyDescent="0.3">
      <c r="A64" s="307"/>
      <c r="B64" s="308"/>
      <c r="C64" s="109" t="s">
        <v>147</v>
      </c>
      <c r="D64" s="282" t="s">
        <v>387</v>
      </c>
      <c r="E64" s="283"/>
      <c r="F64" s="283"/>
      <c r="G64" s="283"/>
      <c r="H64" s="283"/>
      <c r="I64" s="283"/>
      <c r="J64" s="283"/>
      <c r="K64" s="284"/>
      <c r="L64" s="105" t="s">
        <v>85</v>
      </c>
      <c r="M64" s="128">
        <f t="shared" si="2"/>
        <v>10</v>
      </c>
      <c r="N64" s="153">
        <f t="shared" si="3"/>
        <v>0</v>
      </c>
      <c r="O64" s="103" t="s">
        <v>45</v>
      </c>
      <c r="P64" s="159" t="str">
        <f>IF(O64="양호",'기준 DB'!C38&amp;U64,IF(O64="취약",'기준 DB'!D38&amp;U64,IF(O64="N/A",'기준 DB'!E38&amp;U64,"-")))</f>
        <v>■ 기준 : crontab 및 at 명령어에 일반 사용자 실행 권한이 제거되어 있으며, cron 및 at 관련 파일 권한이 640 이하인 경우 "양호"
■ 현황 : cron 관련 파일의 권한이 640을 초과하였으므로 취약함</v>
      </c>
      <c r="Q64" s="104"/>
      <c r="U64" s="61" t="s">
        <v>363</v>
      </c>
      <c r="W64" s="55"/>
    </row>
    <row r="65" spans="1:23" ht="69" customHeight="1" x14ac:dyDescent="0.3">
      <c r="A65" s="307"/>
      <c r="B65" s="308"/>
      <c r="C65" s="109" t="s">
        <v>149</v>
      </c>
      <c r="D65" s="282" t="s">
        <v>151</v>
      </c>
      <c r="E65" s="283"/>
      <c r="F65" s="283"/>
      <c r="G65" s="283"/>
      <c r="H65" s="283"/>
      <c r="I65" s="283"/>
      <c r="J65" s="283"/>
      <c r="K65" s="284"/>
      <c r="L65" s="105" t="s">
        <v>85</v>
      </c>
      <c r="M65" s="128">
        <f t="shared" si="2"/>
        <v>10</v>
      </c>
      <c r="N65" s="153">
        <f t="shared" si="3"/>
        <v>0</v>
      </c>
      <c r="O65" s="103" t="s">
        <v>45</v>
      </c>
      <c r="P65" s="159" t="str">
        <f>IF(O65="양호",'기준 DB'!C39&amp;U65,IF(O65="취약",'기준 DB'!D39&amp;U65,IF(O65="N/A",'기준 DB'!E39&amp;U65,"-")))</f>
        <v>■ 기준 : Dos 공격에 취약한 echo, discard, daytime, chargen, ntp, dns, snmp 등의 서비스가 비활성화 된 경우 "양호"
■ 현황 : echo, discard, daytime, chargen 서비스가 비실행 중이므로 양호함</v>
      </c>
      <c r="Q65" s="104"/>
      <c r="S65" s="65"/>
      <c r="U65" s="61" t="s">
        <v>323</v>
      </c>
      <c r="W65" s="55"/>
    </row>
    <row r="66" spans="1:23" ht="69" customHeight="1" x14ac:dyDescent="0.3">
      <c r="A66" s="307"/>
      <c r="B66" s="308"/>
      <c r="C66" s="109" t="s">
        <v>150</v>
      </c>
      <c r="D66" s="282" t="s">
        <v>388</v>
      </c>
      <c r="E66" s="283"/>
      <c r="F66" s="283"/>
      <c r="G66" s="283"/>
      <c r="H66" s="283"/>
      <c r="I66" s="283"/>
      <c r="J66" s="283"/>
      <c r="K66" s="284"/>
      <c r="L66" s="105" t="s">
        <v>85</v>
      </c>
      <c r="M66" s="128">
        <f t="shared" si="2"/>
        <v>10</v>
      </c>
      <c r="N66" s="153">
        <f t="shared" si="3"/>
        <v>0</v>
      </c>
      <c r="O66" s="103" t="s">
        <v>45</v>
      </c>
      <c r="P66" s="159" t="str">
        <f>IF(O66="양호",'기준 DB'!C40&amp;U66,IF(O66="취약",'기준 DB'!D40&amp;U66,IF(O66="N/A",'기준 DB'!E40&amp;U66,"-")))</f>
        <v>■ 기준 : 불필요한 NFS 서비스 관련 데몬이 비활성화 되어 있는 경우 "양호"
■ 현황 : nfs 서비스가 사용중이지 않으므로 양호함</v>
      </c>
      <c r="Q66" s="104"/>
      <c r="U66" s="61" t="s">
        <v>344</v>
      </c>
      <c r="W66" s="55"/>
    </row>
    <row r="67" spans="1:23" ht="69" customHeight="1" x14ac:dyDescent="0.3">
      <c r="A67" s="307"/>
      <c r="B67" s="308"/>
      <c r="C67" s="109" t="s">
        <v>152</v>
      </c>
      <c r="D67" s="282" t="s">
        <v>154</v>
      </c>
      <c r="E67" s="283"/>
      <c r="F67" s="283"/>
      <c r="G67" s="283"/>
      <c r="H67" s="283"/>
      <c r="I67" s="283"/>
      <c r="J67" s="283"/>
      <c r="K67" s="284"/>
      <c r="L67" s="105" t="s">
        <v>85</v>
      </c>
      <c r="M67" s="128">
        <f t="shared" si="2"/>
        <v>10</v>
      </c>
      <c r="N67" s="153">
        <f t="shared" si="3"/>
        <v>0</v>
      </c>
      <c r="O67" s="103" t="s">
        <v>45</v>
      </c>
      <c r="P67" s="159" t="str">
        <f>IF(O67="양호",'기준 DB'!C41&amp;U67,IF(O67="취약",'기준 DB'!D41&amp;U67,IF(O67="N/A",'기준 DB'!E41&amp;U67,"-")))</f>
        <v>■ 기준 : 접근 통제가 설정되어 있으며 NFS 설정 파일 접근 권한이 644 이하인 경우 "양호"
■ 현황 : nfs 서비스가 사용중이지 않으므로 양호함</v>
      </c>
      <c r="Q67" s="104"/>
      <c r="U67" s="61" t="s">
        <v>344</v>
      </c>
      <c r="W67" s="55"/>
    </row>
    <row r="68" spans="1:23" ht="69" customHeight="1" x14ac:dyDescent="0.3">
      <c r="A68" s="307"/>
      <c r="B68" s="308"/>
      <c r="C68" s="109" t="s">
        <v>153</v>
      </c>
      <c r="D68" s="282" t="s">
        <v>389</v>
      </c>
      <c r="E68" s="283"/>
      <c r="F68" s="283"/>
      <c r="G68" s="283"/>
      <c r="H68" s="283"/>
      <c r="I68" s="283"/>
      <c r="J68" s="283"/>
      <c r="K68" s="284"/>
      <c r="L68" s="105" t="s">
        <v>85</v>
      </c>
      <c r="M68" s="128">
        <f t="shared" si="2"/>
        <v>10</v>
      </c>
      <c r="N68" s="153">
        <f t="shared" si="3"/>
        <v>0</v>
      </c>
      <c r="O68" s="103" t="s">
        <v>45</v>
      </c>
      <c r="P68" s="159" t="str">
        <f>IF(O68="양호",'기준 DB'!C42&amp;U68,IF(O68="취약",'기준 DB'!D42&amp;U68,IF(O68="N/A",'기준 DB'!E42&amp;U68,"-")))</f>
        <v>■ 기준 : automountd 서비스가 비활성화 되어 있는 경우 "양호"
■ 현황 : automount 데몬이 없어 양호함</v>
      </c>
      <c r="Q68" s="104"/>
      <c r="U68" s="61" t="s">
        <v>324</v>
      </c>
      <c r="W68" s="55"/>
    </row>
    <row r="69" spans="1:23" ht="69" customHeight="1" x14ac:dyDescent="0.3">
      <c r="A69" s="307"/>
      <c r="B69" s="308"/>
      <c r="C69" s="109" t="s">
        <v>155</v>
      </c>
      <c r="D69" s="282" t="s">
        <v>390</v>
      </c>
      <c r="E69" s="283"/>
      <c r="F69" s="283"/>
      <c r="G69" s="283"/>
      <c r="H69" s="283"/>
      <c r="I69" s="283"/>
      <c r="J69" s="283"/>
      <c r="K69" s="284"/>
      <c r="L69" s="105" t="s">
        <v>85</v>
      </c>
      <c r="M69" s="128">
        <f t="shared" si="2"/>
        <v>10</v>
      </c>
      <c r="N69" s="153">
        <f t="shared" si="3"/>
        <v>0</v>
      </c>
      <c r="O69" s="103" t="s">
        <v>45</v>
      </c>
      <c r="P69" s="159" t="str">
        <f>IF(O69="양호",'기준 DB'!C43&amp;U69,IF(O69="취약",'기준 DB'!D43&amp;U69,IF(O69="N/A",'기준 DB'!E43&amp;U69,"-")))</f>
        <v>■ 기준 : 불필요한 RPC 서비스가 비활성화 되어 있는 경우 "양호"
■ 현황 : 현재 RPC 서비스가 비실행중이므로 양호함</v>
      </c>
      <c r="Q69" s="104"/>
      <c r="U69" s="61" t="s">
        <v>338</v>
      </c>
      <c r="W69" s="55"/>
    </row>
    <row r="70" spans="1:23" ht="69" customHeight="1" x14ac:dyDescent="0.3">
      <c r="A70" s="307"/>
      <c r="B70" s="308"/>
      <c r="C70" s="109" t="s">
        <v>156</v>
      </c>
      <c r="D70" s="282" t="s">
        <v>158</v>
      </c>
      <c r="E70" s="283"/>
      <c r="F70" s="283"/>
      <c r="G70" s="283"/>
      <c r="H70" s="283"/>
      <c r="I70" s="283"/>
      <c r="J70" s="283"/>
      <c r="K70" s="284"/>
      <c r="L70" s="105" t="s">
        <v>85</v>
      </c>
      <c r="M70" s="128">
        <f t="shared" si="2"/>
        <v>10</v>
      </c>
      <c r="N70" s="153">
        <f t="shared" si="3"/>
        <v>0</v>
      </c>
      <c r="O70" s="103" t="s">
        <v>45</v>
      </c>
      <c r="P70" s="159" t="str">
        <f>IF(O70="양호",'기준 DB'!C44&amp;U70,IF(O70="취약",'기준 DB'!D44&amp;U70,IF(O70="N/A",'기준 DB'!E44&amp;U70,"-")))</f>
        <v>■ 기준 : NIS 서비스가 비활성화 되어 있거나, 불가피하게 사용 시 NIS+를 사용하는 경우 "양호"
■ 현황 : 현재 NIS , NIS+ 서비스가 비실행중이므로 양호함</v>
      </c>
      <c r="Q70" s="104"/>
      <c r="U70" s="61" t="s">
        <v>325</v>
      </c>
      <c r="W70" s="55"/>
    </row>
    <row r="71" spans="1:23" ht="69" customHeight="1" x14ac:dyDescent="0.3">
      <c r="A71" s="307"/>
      <c r="B71" s="308"/>
      <c r="C71" s="109" t="s">
        <v>157</v>
      </c>
      <c r="D71" s="282" t="s">
        <v>160</v>
      </c>
      <c r="E71" s="283"/>
      <c r="F71" s="283"/>
      <c r="G71" s="283"/>
      <c r="H71" s="283"/>
      <c r="I71" s="283"/>
      <c r="J71" s="283"/>
      <c r="K71" s="284"/>
      <c r="L71" s="105" t="s">
        <v>85</v>
      </c>
      <c r="M71" s="128">
        <f t="shared" si="2"/>
        <v>10</v>
      </c>
      <c r="N71" s="153">
        <f t="shared" si="3"/>
        <v>0</v>
      </c>
      <c r="O71" s="103" t="s">
        <v>45</v>
      </c>
      <c r="P71" s="159" t="str">
        <f>IF(O71="양호",'기준 DB'!C45&amp;U71,IF(O71="취약",'기준 DB'!D45&amp;U71,IF(O71="N/A",'기준 DB'!E45&amp;U71,"-")))</f>
        <v>■ 기준 : tftp, talk, ntalk 서비스가 비활성화된 경우 "양호"
■ 현황 : 현재 tftp, talk, ntalk 서비스가 비실행중이므로 양호함</v>
      </c>
      <c r="Q71" s="104"/>
      <c r="U71" s="61" t="s">
        <v>326</v>
      </c>
      <c r="W71" s="55"/>
    </row>
    <row r="72" spans="1:23" ht="69" customHeight="1" x14ac:dyDescent="0.3">
      <c r="A72" s="307"/>
      <c r="B72" s="308"/>
      <c r="C72" s="109" t="s">
        <v>159</v>
      </c>
      <c r="D72" s="282" t="s">
        <v>391</v>
      </c>
      <c r="E72" s="283"/>
      <c r="F72" s="283"/>
      <c r="G72" s="283"/>
      <c r="H72" s="283"/>
      <c r="I72" s="283"/>
      <c r="J72" s="283"/>
      <c r="K72" s="284"/>
      <c r="L72" s="105" t="s">
        <v>85</v>
      </c>
      <c r="M72" s="128">
        <f t="shared" si="2"/>
        <v>10</v>
      </c>
      <c r="N72" s="153">
        <f t="shared" si="3"/>
        <v>0</v>
      </c>
      <c r="O72" s="103" t="s">
        <v>45</v>
      </c>
      <c r="P72" s="159" t="str">
        <f>IF(O72="양호",'기준 DB'!C46&amp;U72,IF(O72="취약",'기준 DB'!D46&amp;U72,IF(O72="N/A",'기준 DB'!E46&amp;U72,"-")))</f>
        <v>■ 기준 : 메일 서비스 버전이 최신 버전인 경우 "양호"
■ 현황 : Sendmail 서비스가 비실행중이므로 양호함</v>
      </c>
      <c r="Q72" s="104"/>
      <c r="U72" s="61" t="s">
        <v>327</v>
      </c>
      <c r="W72" s="55"/>
    </row>
    <row r="73" spans="1:23" ht="69" customHeight="1" x14ac:dyDescent="0.3">
      <c r="A73" s="307"/>
      <c r="B73" s="308"/>
      <c r="C73" s="109" t="s">
        <v>161</v>
      </c>
      <c r="D73" s="282" t="s">
        <v>392</v>
      </c>
      <c r="E73" s="283"/>
      <c r="F73" s="283"/>
      <c r="G73" s="283"/>
      <c r="H73" s="283"/>
      <c r="I73" s="283"/>
      <c r="J73" s="283"/>
      <c r="K73" s="284"/>
      <c r="L73" s="105" t="s">
        <v>85</v>
      </c>
      <c r="M73" s="128">
        <f t="shared" si="2"/>
        <v>10</v>
      </c>
      <c r="N73" s="153">
        <f t="shared" si="3"/>
        <v>0</v>
      </c>
      <c r="O73" s="103" t="s">
        <v>45</v>
      </c>
      <c r="P73" s="159" t="str">
        <f>IF(O73="양호",'기준 DB'!C47&amp;U73,IF(O73="취약",'기준 DB'!D47&amp;U73,IF(O73="N/A",'기준 DB'!E47&amp;U73,"-")))</f>
        <v>■ 기준 :  일반 사용자의 메일 서비스 실행 방지가 설정된 경우 "양호"
■ 현황 : Sendmail 서비스가 비실행중이므로 양호함</v>
      </c>
      <c r="Q73" s="104"/>
      <c r="U73" s="61" t="s">
        <v>327</v>
      </c>
      <c r="W73" s="55"/>
    </row>
    <row r="74" spans="1:23" ht="69" customHeight="1" x14ac:dyDescent="0.3">
      <c r="A74" s="307"/>
      <c r="B74" s="308"/>
      <c r="C74" s="109" t="s">
        <v>162</v>
      </c>
      <c r="D74" s="267" t="s">
        <v>163</v>
      </c>
      <c r="E74" s="268"/>
      <c r="F74" s="268"/>
      <c r="G74" s="268"/>
      <c r="H74" s="268"/>
      <c r="I74" s="268"/>
      <c r="J74" s="268"/>
      <c r="K74" s="269"/>
      <c r="L74" s="105" t="s">
        <v>85</v>
      </c>
      <c r="M74" s="128">
        <f t="shared" si="2"/>
        <v>10</v>
      </c>
      <c r="N74" s="153">
        <f t="shared" si="3"/>
        <v>0</v>
      </c>
      <c r="O74" s="103" t="s">
        <v>45</v>
      </c>
      <c r="P74" s="159" t="str">
        <f>IF(O74="양호",'기준 DB'!C48&amp;U74,IF(O74="취약",'기준 DB'!D48&amp;U74,IF(O74="N/A",'기준 DB'!E48&amp;U74,"-")))</f>
        <v>■ 기준 : 릴레이 제한이 설정된 경우 "양호"
■ 현황 : Sendmail 서비스가 비실행중이므로 양호함</v>
      </c>
      <c r="Q74" s="104"/>
      <c r="U74" s="61" t="s">
        <v>327</v>
      </c>
      <c r="W74" s="55"/>
    </row>
    <row r="75" spans="1:23" ht="69" customHeight="1" x14ac:dyDescent="0.3">
      <c r="A75" s="307"/>
      <c r="B75" s="308"/>
      <c r="C75" s="109" t="s">
        <v>164</v>
      </c>
      <c r="D75" s="267" t="s">
        <v>187</v>
      </c>
      <c r="E75" s="268"/>
      <c r="F75" s="268"/>
      <c r="G75" s="268"/>
      <c r="H75" s="268"/>
      <c r="I75" s="268"/>
      <c r="J75" s="268"/>
      <c r="K75" s="269"/>
      <c r="L75" s="105" t="s">
        <v>91</v>
      </c>
      <c r="M75" s="128">
        <f t="shared" si="2"/>
        <v>8</v>
      </c>
      <c r="N75" s="153">
        <f t="shared" si="3"/>
        <v>0</v>
      </c>
      <c r="O75" s="103" t="s">
        <v>45</v>
      </c>
      <c r="P75" s="159" t="str">
        <f>IF(O75="양호",'기준 DB'!C49&amp;U75,IF(O75="취약",'기준 DB'!D49&amp;U75,IF(O75="N/A",'기준 DB'!E49&amp;U75,"-")))</f>
        <v>■ 기준 : noexpn, novrfy 옵션이 설정된 경우 "양호"
■ 현황 : Name server를 사용하지 않으므로 양호함</v>
      </c>
      <c r="Q75" s="104"/>
      <c r="U75" s="61" t="s">
        <v>328</v>
      </c>
      <c r="W75" s="55"/>
    </row>
    <row r="76" spans="1:23" ht="69" customHeight="1" x14ac:dyDescent="0.3">
      <c r="A76" s="307"/>
      <c r="B76" s="308"/>
      <c r="C76" s="109" t="s">
        <v>165</v>
      </c>
      <c r="D76" s="267" t="s">
        <v>166</v>
      </c>
      <c r="E76" s="268"/>
      <c r="F76" s="268"/>
      <c r="G76" s="268"/>
      <c r="H76" s="268"/>
      <c r="I76" s="268"/>
      <c r="J76" s="268"/>
      <c r="K76" s="269"/>
      <c r="L76" s="105" t="s">
        <v>85</v>
      </c>
      <c r="M76" s="128">
        <f t="shared" si="2"/>
        <v>10</v>
      </c>
      <c r="N76" s="153">
        <f t="shared" si="3"/>
        <v>0</v>
      </c>
      <c r="O76" s="103" t="s">
        <v>45</v>
      </c>
      <c r="P76" s="159" t="str">
        <f>IF(O76="양호",'기준 DB'!C50&amp;U76,IF(O76="취약",'기준 DB'!D50&amp;U76,IF(O76="N/A",'기준 DB'!E50&amp;U76,"-")))</f>
        <v>■ 기준 : 주기적으로 패치를 관리하고 있는 경우 "양호"
■ 현황 : Name server를 사용하지 않으므로 양호함</v>
      </c>
      <c r="Q76" s="104"/>
      <c r="U76" s="61" t="s">
        <v>328</v>
      </c>
      <c r="W76" s="55"/>
    </row>
    <row r="77" spans="1:23" ht="69" customHeight="1" x14ac:dyDescent="0.3">
      <c r="A77" s="307"/>
      <c r="B77" s="308"/>
      <c r="C77" s="109" t="s">
        <v>167</v>
      </c>
      <c r="D77" s="267" t="s">
        <v>168</v>
      </c>
      <c r="E77" s="268"/>
      <c r="F77" s="268"/>
      <c r="G77" s="268"/>
      <c r="H77" s="268"/>
      <c r="I77" s="268"/>
      <c r="J77" s="268"/>
      <c r="K77" s="269"/>
      <c r="L77" s="105" t="s">
        <v>85</v>
      </c>
      <c r="M77" s="128">
        <f t="shared" si="2"/>
        <v>10</v>
      </c>
      <c r="N77" s="153">
        <f t="shared" si="3"/>
        <v>0</v>
      </c>
      <c r="O77" s="103" t="s">
        <v>45</v>
      </c>
      <c r="P77" s="159" t="str">
        <f>IF(O77="양호",'기준 DB'!C51&amp;U77,IF(O77="취약",'기준 DB'!D51&amp;U77,IF(O77="N/A",'기준 DB'!E51&amp;U77,"-")))</f>
        <v>■ 기준 : Zone Transfer를 허가된 사용자에게만 허용한 경우 "양호"
■ 현황 : Apache 사용하지 않으므로 양호함</v>
      </c>
      <c r="Q77" s="104"/>
      <c r="U77" s="61" t="s">
        <v>339</v>
      </c>
      <c r="W77" s="55"/>
    </row>
    <row r="78" spans="1:23" ht="69" customHeight="1" x14ac:dyDescent="0.3">
      <c r="A78" s="307"/>
      <c r="B78" s="308"/>
      <c r="C78" s="109" t="s">
        <v>169</v>
      </c>
      <c r="D78" s="282" t="s">
        <v>393</v>
      </c>
      <c r="E78" s="283"/>
      <c r="F78" s="283"/>
      <c r="G78" s="283"/>
      <c r="H78" s="283"/>
      <c r="I78" s="283"/>
      <c r="J78" s="283"/>
      <c r="K78" s="284"/>
      <c r="L78" s="105" t="s">
        <v>91</v>
      </c>
      <c r="M78" s="128">
        <f t="shared" si="2"/>
        <v>8</v>
      </c>
      <c r="N78" s="153">
        <f t="shared" si="3"/>
        <v>0</v>
      </c>
      <c r="O78" s="103" t="s">
        <v>45</v>
      </c>
      <c r="P78" s="159" t="str">
        <f>IF(O78="양호",'기준 DB'!C52&amp;U78,IF(O78="취약",'기준 DB'!D52&amp;U78,IF(O78="N/A",'기준 DB'!E52&amp;U78,"-")))</f>
        <v>■ 기준 : DNS 서비스의 동적 업데이트 기능이 비활성화되었거나, 활성화 시 적절한 접근통제를 수행하고 있는 경우 "양호"
■ 현황 : Apache 사용하지 않으므로 양호함</v>
      </c>
      <c r="Q78" s="104"/>
      <c r="U78" s="61" t="s">
        <v>339</v>
      </c>
      <c r="W78" s="55"/>
    </row>
    <row r="79" spans="1:23" ht="69" customHeight="1" x14ac:dyDescent="0.3">
      <c r="A79" s="307"/>
      <c r="B79" s="308"/>
      <c r="C79" s="109" t="s">
        <v>170</v>
      </c>
      <c r="D79" s="282" t="s">
        <v>394</v>
      </c>
      <c r="E79" s="283"/>
      <c r="F79" s="283"/>
      <c r="G79" s="283"/>
      <c r="H79" s="283"/>
      <c r="I79" s="283"/>
      <c r="J79" s="283"/>
      <c r="K79" s="284"/>
      <c r="L79" s="105" t="s">
        <v>91</v>
      </c>
      <c r="M79" s="128">
        <f t="shared" si="2"/>
        <v>8</v>
      </c>
      <c r="N79" s="153">
        <f t="shared" si="3"/>
        <v>0</v>
      </c>
      <c r="O79" s="103" t="s">
        <v>45</v>
      </c>
      <c r="P79" s="159" t="str">
        <f>IF(O79="양호",'기준 DB'!C53&amp;U79,IF(O79="취약",'기준 DB'!D53&amp;U79,IF(O79="N/A",'기준 DB'!E53&amp;U79,"-")))</f>
        <v>■ 기준 : 원격 접속 시 Telnet 프로토콜을 비활성화하고 있는 경우 "양호"
■ 현황 : Apache 사용하지 않으므로 양호함</v>
      </c>
      <c r="Q79" s="104"/>
      <c r="S79" s="65"/>
      <c r="U79" s="61" t="s">
        <v>339</v>
      </c>
      <c r="W79" s="55"/>
    </row>
    <row r="80" spans="1:23" ht="69" customHeight="1" x14ac:dyDescent="0.3">
      <c r="A80" s="307"/>
      <c r="B80" s="308"/>
      <c r="C80" s="109" t="s">
        <v>171</v>
      </c>
      <c r="D80" s="282" t="s">
        <v>396</v>
      </c>
      <c r="E80" s="283"/>
      <c r="F80" s="283"/>
      <c r="G80" s="283"/>
      <c r="H80" s="283"/>
      <c r="I80" s="283"/>
      <c r="J80" s="283"/>
      <c r="K80" s="284"/>
      <c r="L80" s="105" t="s">
        <v>93</v>
      </c>
      <c r="M80" s="128">
        <f t="shared" si="2"/>
        <v>6</v>
      </c>
      <c r="N80" s="153">
        <f t="shared" si="3"/>
        <v>0</v>
      </c>
      <c r="O80" s="103" t="s">
        <v>45</v>
      </c>
      <c r="P80" s="159" t="str">
        <f>IF(O80="양호",'기준 DB'!C54&amp;U80,IF(O80="취약",'기준 DB'!D54&amp;U80,IF(O80="N/A",'기준 DB'!E54&amp;U80,"-")))</f>
        <v>■ 기준 : FTP 접속 배너에 노출되는 정보가 없는 경우 "양호"
■ 현황 : Apache 사용하지 않으므로 양호함</v>
      </c>
      <c r="Q80" s="104"/>
      <c r="U80" s="61" t="s">
        <v>339</v>
      </c>
      <c r="W80" s="55"/>
    </row>
    <row r="81" spans="1:23" ht="69" customHeight="1" x14ac:dyDescent="0.3">
      <c r="A81" s="307"/>
      <c r="B81" s="308"/>
      <c r="C81" s="109" t="s">
        <v>172</v>
      </c>
      <c r="D81" s="282" t="s">
        <v>395</v>
      </c>
      <c r="E81" s="283"/>
      <c r="F81" s="283"/>
      <c r="G81" s="283"/>
      <c r="H81" s="283"/>
      <c r="I81" s="283"/>
      <c r="J81" s="283"/>
      <c r="K81" s="284"/>
      <c r="L81" s="105" t="s">
        <v>91</v>
      </c>
      <c r="M81" s="128">
        <f t="shared" si="2"/>
        <v>8</v>
      </c>
      <c r="N81" s="153">
        <f t="shared" si="3"/>
        <v>0</v>
      </c>
      <c r="O81" s="103" t="s">
        <v>45</v>
      </c>
      <c r="P81" s="159" t="str">
        <f>IF(O81="양호",'기준 DB'!C55&amp;U81,IF(O81="취약",'기준 DB'!D55&amp;U81,IF(O81="N/A",'기준 DB'!E55&amp;U81,"-")))</f>
        <v>■ 기준 : 암호화되지 않은 FTP 서비스가 비활성화된 경우 "양호"
■ 현황 : Apache 사용하지 않으므로 양호함</v>
      </c>
      <c r="Q81" s="104"/>
      <c r="U81" s="61" t="s">
        <v>339</v>
      </c>
      <c r="W81" s="55"/>
    </row>
    <row r="82" spans="1:23" ht="69" customHeight="1" x14ac:dyDescent="0.3">
      <c r="A82" s="307"/>
      <c r="B82" s="308"/>
      <c r="C82" s="109" t="s">
        <v>173</v>
      </c>
      <c r="D82" s="282" t="s">
        <v>397</v>
      </c>
      <c r="E82" s="283"/>
      <c r="F82" s="283"/>
      <c r="G82" s="283"/>
      <c r="H82" s="283"/>
      <c r="I82" s="283"/>
      <c r="J82" s="283"/>
      <c r="K82" s="284"/>
      <c r="L82" s="105" t="s">
        <v>91</v>
      </c>
      <c r="M82" s="128">
        <f t="shared" si="2"/>
        <v>8</v>
      </c>
      <c r="N82" s="153">
        <f t="shared" si="3"/>
        <v>0</v>
      </c>
      <c r="O82" s="103" t="s">
        <v>45</v>
      </c>
      <c r="P82" s="159" t="str">
        <f>IF(O82="양호",'기준 DB'!C56&amp;U82,IF(O82="취약",'기준 DB'!D56&amp;U82,IF(O82="N/A",'기준 DB'!E56&amp;U82,"-")))</f>
        <v>■ 기준 : FTP 계정에 /bin/false 쉘이 부여되어 있는 경우 "양호"
■ 현황 : Apache 사용하지 않으므로 양호함</v>
      </c>
      <c r="Q82" s="104"/>
      <c r="S82" s="65"/>
      <c r="U82" s="61" t="s">
        <v>339</v>
      </c>
      <c r="W82" s="55"/>
    </row>
    <row r="83" spans="1:23" ht="69" customHeight="1" x14ac:dyDescent="0.3">
      <c r="A83" s="307"/>
      <c r="B83" s="308"/>
      <c r="C83" s="109" t="s">
        <v>174</v>
      </c>
      <c r="D83" s="282" t="s">
        <v>398</v>
      </c>
      <c r="E83" s="283"/>
      <c r="F83" s="283"/>
      <c r="G83" s="283"/>
      <c r="H83" s="283"/>
      <c r="I83" s="283"/>
      <c r="J83" s="283"/>
      <c r="K83" s="284"/>
      <c r="L83" s="105" t="s">
        <v>93</v>
      </c>
      <c r="M83" s="128">
        <f t="shared" si="2"/>
        <v>6</v>
      </c>
      <c r="N83" s="153">
        <f t="shared" si="3"/>
        <v>0</v>
      </c>
      <c r="O83" s="103" t="s">
        <v>45</v>
      </c>
      <c r="P83" s="159" t="str">
        <f>IF(O83="양호",'기준 DB'!C57&amp;U83,IF(O83="취약",'기준 DB'!D57&amp;U83,IF(O83="N/A",'기준 DB'!E57&amp;U83,"-")))</f>
        <v>■ 기준 : 특정 IP주소 또는 호스트에서만 FTP 서버에 접속할 수 있도록 접근 제어 설정을 적용한 경우 "양호"
■ 현황 : Apache 사용하지 않으므로 양호함</v>
      </c>
      <c r="Q83" s="104"/>
      <c r="U83" s="61" t="s">
        <v>339</v>
      </c>
      <c r="W83" s="55"/>
    </row>
    <row r="84" spans="1:23" ht="69" customHeight="1" x14ac:dyDescent="0.3">
      <c r="A84" s="307"/>
      <c r="B84" s="308"/>
      <c r="C84" s="109" t="s">
        <v>175</v>
      </c>
      <c r="D84" s="282" t="s">
        <v>181</v>
      </c>
      <c r="E84" s="283"/>
      <c r="F84" s="283"/>
      <c r="G84" s="283"/>
      <c r="H84" s="283"/>
      <c r="I84" s="283"/>
      <c r="J84" s="283"/>
      <c r="K84" s="284"/>
      <c r="L84" s="105" t="s">
        <v>91</v>
      </c>
      <c r="M84" s="128">
        <f t="shared" si="2"/>
        <v>8</v>
      </c>
      <c r="N84" s="153">
        <f t="shared" si="3"/>
        <v>0</v>
      </c>
      <c r="O84" s="103" t="s">
        <v>45</v>
      </c>
      <c r="P84" s="159" t="str">
        <f>IF(O84="양호",'기준 DB'!C58&amp;U84,IF(O84="취약",'기준 DB'!D58&amp;U84,IF(O84="N/A",'기준 DB'!E58&amp;U84,"-")))</f>
        <v>■ 기준 : root 계정 접속을 차단한 경우 "양호"
■ 현황 : telnet 을 사용하지 않고, ssh를 사용하고 있으므로 양호함</v>
      </c>
      <c r="Q84" s="104"/>
      <c r="U84" s="61" t="s">
        <v>329</v>
      </c>
      <c r="W84" s="55"/>
    </row>
    <row r="85" spans="1:23" ht="69" customHeight="1" x14ac:dyDescent="0.3">
      <c r="A85" s="307"/>
      <c r="B85" s="308"/>
      <c r="C85" s="109" t="s">
        <v>176</v>
      </c>
      <c r="D85" s="282" t="s">
        <v>399</v>
      </c>
      <c r="E85" s="283"/>
      <c r="F85" s="283"/>
      <c r="G85" s="283"/>
      <c r="H85" s="283"/>
      <c r="I85" s="283"/>
      <c r="J85" s="283"/>
      <c r="K85" s="284"/>
      <c r="L85" s="105" t="s">
        <v>91</v>
      </c>
      <c r="M85" s="128">
        <f t="shared" si="2"/>
        <v>8</v>
      </c>
      <c r="N85" s="153">
        <f t="shared" si="3"/>
        <v>0</v>
      </c>
      <c r="O85" s="103" t="s">
        <v>45</v>
      </c>
      <c r="P85" s="159" t="str">
        <f>IF(O85="양호",'기준 DB'!C59&amp;U85,IF(O85="취약",'기준 DB'!D59&amp;U85,IF(O85="N/A",'기준 DB'!E59&amp;U85,"-")))</f>
        <v>■ 기준 : SNMP 서비스를 사용하지 않는 경우 "양호"
■ 현황 : 필요에 의해 ftp 서비스를 실행중이므로 양호함</v>
      </c>
      <c r="Q85" s="104"/>
      <c r="U85" s="62" t="s">
        <v>364</v>
      </c>
      <c r="W85" s="55"/>
    </row>
    <row r="86" spans="1:23" ht="69" customHeight="1" x14ac:dyDescent="0.3">
      <c r="A86" s="307"/>
      <c r="B86" s="308"/>
      <c r="C86" s="109" t="s">
        <v>177</v>
      </c>
      <c r="D86" s="282" t="s">
        <v>400</v>
      </c>
      <c r="E86" s="283"/>
      <c r="F86" s="283"/>
      <c r="G86" s="283"/>
      <c r="H86" s="283"/>
      <c r="I86" s="283"/>
      <c r="J86" s="283"/>
      <c r="K86" s="284"/>
      <c r="L86" s="105" t="s">
        <v>85</v>
      </c>
      <c r="M86" s="128">
        <f t="shared" si="2"/>
        <v>10</v>
      </c>
      <c r="N86" s="153">
        <f t="shared" si="3"/>
        <v>0</v>
      </c>
      <c r="O86" s="103" t="s">
        <v>45</v>
      </c>
      <c r="P86" s="159" t="str">
        <f>IF(O86="양호",'기준 DB'!C60&amp;U86,IF(O86="취약",'기준 DB'!D60&amp;U86,IF(O86="N/A",'기준 DB'!E60&amp;U86,"-")))</f>
        <v>■ 기준 : SNMP 서비스를 v3 이상으로 사용하는 경우 "양호"
■ 현황 : SFTP 서비스에 /bin/bash 쉘을 부여하여 사용하고 있으므로 양호함</v>
      </c>
      <c r="Q86" s="104"/>
      <c r="U86" s="61" t="s">
        <v>365</v>
      </c>
      <c r="W86" s="55"/>
    </row>
    <row r="87" spans="1:23" ht="69" customHeight="1" x14ac:dyDescent="0.3">
      <c r="A87" s="307"/>
      <c r="B87" s="308"/>
      <c r="C87" s="109" t="s">
        <v>178</v>
      </c>
      <c r="D87" s="282" t="s">
        <v>401</v>
      </c>
      <c r="E87" s="283"/>
      <c r="F87" s="283"/>
      <c r="G87" s="283"/>
      <c r="H87" s="283"/>
      <c r="I87" s="283"/>
      <c r="J87" s="283"/>
      <c r="K87" s="284"/>
      <c r="L87" s="105" t="s">
        <v>91</v>
      </c>
      <c r="M87" s="128">
        <f t="shared" si="2"/>
        <v>8</v>
      </c>
      <c r="N87" s="153">
        <f t="shared" si="3"/>
        <v>0</v>
      </c>
      <c r="O87" s="103" t="s">
        <v>45</v>
      </c>
      <c r="P87" s="159" t="str">
        <f>IF(O87="양호",'기준 DB'!C61&amp;U87,IF(O87="취약",'기준 DB'!D61&amp;U87,IF(O87="N/A",'기준 DB'!E61&amp;U87,"-")))</f>
        <v>■ 기준 : SNMP Community String 기본값인 “public”, “private”이 아닌 영문자, 숫자 포함 10자리 이상 또는 영문자, 숫자, 특수문자 포함 8자리 이상인 경우 "양호"
※SNMP v3의 경우 별도 인증 기능을 사용하고, 해당 비밀번호가 복잡도를 만족하는 경우 양호
■ 현황 : ftpusers 파일의 소유자가 root 가 아니거나 접근권한이 640보다 크게 설정되어 있으므로 취약함</v>
      </c>
      <c r="Q87" s="104"/>
      <c r="U87" s="61" t="s">
        <v>366</v>
      </c>
      <c r="W87" s="55"/>
    </row>
    <row r="88" spans="1:23" ht="69" customHeight="1" x14ac:dyDescent="0.3">
      <c r="A88" s="307"/>
      <c r="B88" s="308"/>
      <c r="C88" s="109" t="s">
        <v>179</v>
      </c>
      <c r="D88" s="282" t="s">
        <v>402</v>
      </c>
      <c r="E88" s="283"/>
      <c r="F88" s="283"/>
      <c r="G88" s="283"/>
      <c r="H88" s="283"/>
      <c r="I88" s="283"/>
      <c r="J88" s="283"/>
      <c r="K88" s="284"/>
      <c r="L88" s="105" t="s">
        <v>85</v>
      </c>
      <c r="M88" s="128">
        <f t="shared" si="2"/>
        <v>10</v>
      </c>
      <c r="N88" s="153">
        <f t="shared" si="3"/>
        <v>0</v>
      </c>
      <c r="O88" s="103" t="s">
        <v>45</v>
      </c>
      <c r="P88" s="159" t="str">
        <f>IF(O88="양호",'기준 DB'!C62&amp;U88,IF(O88="취약",'기준 DB'!D62&amp;U88,IF(O88="N/A",'기준 DB'!E62&amp;U88,"-")))</f>
        <v>■ 기준 : SNMP 서비스에 접근 제어 설정이 되어 있는 경우 "양호"
■ 현황 : root 계정 ftp 접속 제한 설정이 되어 있으므로 양호함</v>
      </c>
      <c r="Q88" s="104"/>
      <c r="U88" s="61" t="s">
        <v>367</v>
      </c>
      <c r="W88" s="55"/>
    </row>
    <row r="89" spans="1:23" ht="69" customHeight="1" x14ac:dyDescent="0.3">
      <c r="A89" s="307"/>
      <c r="B89" s="308"/>
      <c r="C89" s="109" t="s">
        <v>180</v>
      </c>
      <c r="D89" s="282" t="s">
        <v>347</v>
      </c>
      <c r="E89" s="283"/>
      <c r="F89" s="283"/>
      <c r="G89" s="283"/>
      <c r="H89" s="283"/>
      <c r="I89" s="283"/>
      <c r="J89" s="283"/>
      <c r="K89" s="284"/>
      <c r="L89" s="105" t="s">
        <v>93</v>
      </c>
      <c r="M89" s="128">
        <f t="shared" si="2"/>
        <v>6</v>
      </c>
      <c r="N89" s="153">
        <f t="shared" si="3"/>
        <v>0</v>
      </c>
      <c r="O89" s="103" t="s">
        <v>45</v>
      </c>
      <c r="P89" s="159" t="str">
        <f>IF(O89="양호",'기준 DB'!C63&amp;U89,IF(O89="취약",'기준 DB'!D63&amp;U89,IF(O89="N/A",'기준 DB'!E63&amp;U89,"-")))</f>
        <v>■ 기준 : 서버 및 Telnet, FTP, SMTP, DNS 서비스에 로그온 시 경고 메시지가 설정된 경우 "양호"
■ 현황 : at 접근제어 파일이 존재하지 않으므로 양호함</v>
      </c>
      <c r="Q89" s="104"/>
      <c r="U89" s="61" t="s">
        <v>330</v>
      </c>
      <c r="W89" s="55"/>
    </row>
    <row r="90" spans="1:23" ht="69" customHeight="1" thickBot="1" x14ac:dyDescent="0.35">
      <c r="A90" s="307"/>
      <c r="B90" s="308"/>
      <c r="C90" s="106" t="s">
        <v>182</v>
      </c>
      <c r="D90" s="301" t="s">
        <v>403</v>
      </c>
      <c r="E90" s="302"/>
      <c r="F90" s="302"/>
      <c r="G90" s="302"/>
      <c r="H90" s="302"/>
      <c r="I90" s="302"/>
      <c r="J90" s="302"/>
      <c r="K90" s="303"/>
      <c r="L90" s="112" t="s">
        <v>91</v>
      </c>
      <c r="M90" s="139">
        <f t="shared" si="2"/>
        <v>8</v>
      </c>
      <c r="N90" s="152">
        <f t="shared" si="3"/>
        <v>0</v>
      </c>
      <c r="O90" s="107" t="s">
        <v>45</v>
      </c>
      <c r="P90" s="159" t="str">
        <f>IF(O90="양호",'기준 DB'!C64&amp;U90,IF(O90="취약",'기준 DB'!D64&amp;U90,IF(O90="N/A",'기준 DB'!E64&amp;U90,"-")))</f>
        <v>■ 기준 : /etc/sudoers 파일 소유자가 root이고, 파일 권한이 640인 경우 "양호"
■ 현황 : SNMP가 비실행중이므로 양호함</v>
      </c>
      <c r="Q90" s="108"/>
      <c r="U90" s="61" t="s">
        <v>368</v>
      </c>
      <c r="W90" s="55"/>
    </row>
    <row r="91" spans="1:23" ht="69" customHeight="1" thickBot="1" x14ac:dyDescent="0.35">
      <c r="A91" s="304" t="s">
        <v>55</v>
      </c>
      <c r="B91" s="305"/>
      <c r="C91" s="114" t="s">
        <v>183</v>
      </c>
      <c r="D91" s="306" t="s">
        <v>404</v>
      </c>
      <c r="E91" s="306"/>
      <c r="F91" s="306"/>
      <c r="G91" s="306"/>
      <c r="H91" s="306"/>
      <c r="I91" s="306"/>
      <c r="J91" s="306"/>
      <c r="K91" s="306"/>
      <c r="L91" s="115" t="s">
        <v>85</v>
      </c>
      <c r="M91" s="145">
        <f t="shared" si="2"/>
        <v>10</v>
      </c>
      <c r="N91" s="157">
        <f t="shared" si="3"/>
        <v>0</v>
      </c>
      <c r="O91" s="158" t="s">
        <v>45</v>
      </c>
      <c r="P91" s="159" t="str">
        <f>IF(O91="양호",'기준 DB'!C65&amp;U91,IF(O91="취약",'기준 DB'!D65&amp;U91,IF(O91="N/A",'기준 DB'!E65&amp;U91,"-")))</f>
        <v>■ 기준 : 패치 적용 정책을 수립하여 주기적으로 패치 관리를 하고 있으며, 패치 관련 내용을 확인하고 적용하였을 경우 "양호"
■ 현황 : 주기적으로 최신 보안패치 하고 있어 양호함</v>
      </c>
      <c r="Q91" s="116"/>
      <c r="U91" s="62" t="s">
        <v>342</v>
      </c>
      <c r="W91" s="55"/>
    </row>
    <row r="92" spans="1:23" ht="69" customHeight="1" x14ac:dyDescent="0.3">
      <c r="A92" s="292" t="s">
        <v>56</v>
      </c>
      <c r="B92" s="293"/>
      <c r="C92" s="109" t="s">
        <v>184</v>
      </c>
      <c r="D92" s="298" t="s">
        <v>405</v>
      </c>
      <c r="E92" s="299"/>
      <c r="F92" s="299"/>
      <c r="G92" s="299"/>
      <c r="H92" s="299"/>
      <c r="I92" s="299"/>
      <c r="J92" s="299"/>
      <c r="K92" s="300"/>
      <c r="L92" s="117" t="s">
        <v>91</v>
      </c>
      <c r="M92" s="139">
        <f t="shared" si="2"/>
        <v>8</v>
      </c>
      <c r="N92" s="152">
        <f t="shared" si="3"/>
        <v>8</v>
      </c>
      <c r="O92" s="110" t="s">
        <v>46</v>
      </c>
      <c r="P92" s="159" t="str">
        <f>IF(O92="양호",'기준 DB'!C66&amp;U92,IF(O92="취약",'기준 DB'!D66&amp;U92,IF(O92="N/A",'기준 DB'!E66&amp;U92,"-")))</f>
        <v>■ 기준 : NTP 및 시각 동기화 설정이 기준에 따라 적용되어 있지 않은 경우 "취약"
■ 현황 : 정기적으로 로그를 검토하고 보고하고 있으므로 양호함</v>
      </c>
      <c r="Q92" s="118"/>
      <c r="U92" s="61" t="s">
        <v>370</v>
      </c>
      <c r="W92" s="55"/>
    </row>
    <row r="93" spans="1:23" ht="69" customHeight="1" x14ac:dyDescent="0.3">
      <c r="A93" s="294"/>
      <c r="B93" s="295"/>
      <c r="C93" s="100" t="s">
        <v>185</v>
      </c>
      <c r="D93" s="282" t="s">
        <v>188</v>
      </c>
      <c r="E93" s="283"/>
      <c r="F93" s="283"/>
      <c r="G93" s="283"/>
      <c r="H93" s="283"/>
      <c r="I93" s="283"/>
      <c r="J93" s="283"/>
      <c r="K93" s="284"/>
      <c r="L93" s="119" t="s">
        <v>91</v>
      </c>
      <c r="M93" s="128">
        <f t="shared" ref="M93:M94" si="4">IF(L93="상", 10, IF(L93="중", 8, IF(L93="하", 6, "-")))</f>
        <v>8</v>
      </c>
      <c r="N93" s="153" t="str">
        <f t="shared" ref="N93:N94" si="5">IF(OR(O93="", O93="N/A"), "-", IF(O93="양호", 0, IF(O93="부분만족", M93/2, M93)))</f>
        <v>-</v>
      </c>
      <c r="O93" s="110" t="s">
        <v>550</v>
      </c>
      <c r="P93" s="159" t="str">
        <f>IF(O93="양호",'기준 DB'!C67&amp;U93,IF(O93="취약",'기준 DB'!D67&amp;U93,IF(O93="N/A",'기준 DB'!E67&amp;U93,"-")))</f>
        <v xml:space="preserve">■ 기준 : 
로그 기록 정책이 보안 정책에 따라 설정되어 수립되어 있으며, 로그를 남기고 있는 경우 "양호"
로그 기록 정책 미수립 또는 정책에 따라 설정되어 있지 않거나, 로그를 남기고 있지 않은 경우 "취약"
■ 현황 : </v>
      </c>
      <c r="Q93" s="120"/>
      <c r="U93" s="61"/>
      <c r="W93" s="55"/>
    </row>
    <row r="94" spans="1:23" ht="69" customHeight="1" thickBot="1" x14ac:dyDescent="0.35">
      <c r="A94" s="296"/>
      <c r="B94" s="297"/>
      <c r="C94" s="100" t="s">
        <v>186</v>
      </c>
      <c r="D94" s="301" t="s">
        <v>406</v>
      </c>
      <c r="E94" s="302"/>
      <c r="F94" s="302"/>
      <c r="G94" s="302"/>
      <c r="H94" s="302"/>
      <c r="I94" s="302"/>
      <c r="J94" s="302"/>
      <c r="K94" s="303"/>
      <c r="L94" s="115" t="s">
        <v>91</v>
      </c>
      <c r="M94" s="139">
        <f t="shared" si="4"/>
        <v>8</v>
      </c>
      <c r="N94" s="152">
        <f t="shared" si="5"/>
        <v>0</v>
      </c>
      <c r="O94" s="103" t="s">
        <v>45</v>
      </c>
      <c r="P94" s="159" t="str">
        <f>IF(O94="양호",'기준 DB'!C68&amp;U94,IF(O94="취약",'기준 DB'!D68&amp;U94,IF(O94="N/A",'기준 DB'!E68&amp;U94,"-")))</f>
        <v>■ 기준 : 디렉터리 내 로그 파일의 소유자가 root이고, 권한이 644 이하인 경우 "양호"
■ 현황 : 내부 정책에 맞게 시스템 로깅 설정 하고 있어 양호함</v>
      </c>
      <c r="Q94" s="121"/>
      <c r="U94" s="61" t="s">
        <v>341</v>
      </c>
      <c r="W94" s="55"/>
    </row>
    <row r="105" ht="16.5" customHeight="1" x14ac:dyDescent="0.3"/>
    <row r="106" ht="16.5" customHeight="1" x14ac:dyDescent="0.3"/>
    <row r="107" ht="16.5" customHeight="1" x14ac:dyDescent="0.3"/>
    <row r="108" ht="16.5" customHeight="1" x14ac:dyDescent="0.3"/>
    <row r="109" ht="16.5" customHeight="1" x14ac:dyDescent="0.3"/>
    <row r="110" ht="16.5" customHeight="1" x14ac:dyDescent="0.3"/>
    <row r="111" ht="16.5" customHeight="1" x14ac:dyDescent="0.3"/>
    <row r="112" ht="16.5" customHeight="1" x14ac:dyDescent="0.3"/>
    <row r="113" ht="16.5" customHeight="1" x14ac:dyDescent="0.3"/>
    <row r="114" ht="16.5" customHeight="1" x14ac:dyDescent="0.3"/>
    <row r="115" ht="16.5" customHeight="1" x14ac:dyDescent="0.3"/>
    <row r="116" ht="16.5" customHeight="1" x14ac:dyDescent="0.3"/>
    <row r="117" ht="16.5" customHeight="1" x14ac:dyDescent="0.3"/>
    <row r="118" ht="16.5" customHeight="1" x14ac:dyDescent="0.3"/>
    <row r="119" ht="16.5" customHeight="1" x14ac:dyDescent="0.3"/>
    <row r="120" ht="16.5" customHeight="1" x14ac:dyDescent="0.3"/>
    <row r="121" ht="16.5" customHeight="1" x14ac:dyDescent="0.3"/>
    <row r="122" ht="16.5" customHeight="1" x14ac:dyDescent="0.3"/>
    <row r="123" ht="16.5" customHeight="1" x14ac:dyDescent="0.3"/>
    <row r="124" ht="16.5" customHeight="1" x14ac:dyDescent="0.3"/>
    <row r="125" ht="16.5" customHeight="1" x14ac:dyDescent="0.3"/>
    <row r="126" ht="16.5" customHeight="1" x14ac:dyDescent="0.3"/>
    <row r="127" ht="16.5" customHeight="1" x14ac:dyDescent="0.3"/>
    <row r="128" ht="16.5" customHeight="1" x14ac:dyDescent="0.3"/>
    <row r="129" ht="16.5" customHeight="1" x14ac:dyDescent="0.3"/>
    <row r="130" ht="16.5" customHeight="1" x14ac:dyDescent="0.3"/>
    <row r="131" ht="16.5" customHeight="1" x14ac:dyDescent="0.3"/>
    <row r="132" ht="16.5" customHeight="1" x14ac:dyDescent="0.3"/>
    <row r="133" ht="16.5" customHeight="1" x14ac:dyDescent="0.3"/>
    <row r="134" ht="16.5" customHeight="1" x14ac:dyDescent="0.3"/>
    <row r="135" ht="16.5" customHeight="1" x14ac:dyDescent="0.3"/>
    <row r="136" ht="16.5" customHeight="1" x14ac:dyDescent="0.3"/>
    <row r="137" ht="16.5" customHeight="1" x14ac:dyDescent="0.3"/>
    <row r="138" ht="16.5" customHeight="1" x14ac:dyDescent="0.3"/>
    <row r="139" ht="16.5" customHeight="1" x14ac:dyDescent="0.3"/>
    <row r="140" ht="16.5" customHeight="1" x14ac:dyDescent="0.3"/>
    <row r="141" ht="16.5" customHeight="1" x14ac:dyDescent="0.3"/>
    <row r="142" ht="16.5" customHeight="1" x14ac:dyDescent="0.3"/>
    <row r="143" ht="16.5" customHeight="1" x14ac:dyDescent="0.3"/>
    <row r="144" ht="16.5" customHeight="1" x14ac:dyDescent="0.3"/>
    <row r="145" ht="16.5" customHeight="1" x14ac:dyDescent="0.3"/>
    <row r="146" ht="16.5" customHeight="1" x14ac:dyDescent="0.3"/>
    <row r="147" ht="16.5" customHeight="1" x14ac:dyDescent="0.3"/>
    <row r="148" ht="16.5" customHeight="1" x14ac:dyDescent="0.3"/>
    <row r="149" ht="16.5" customHeight="1" x14ac:dyDescent="0.3"/>
    <row r="150" ht="16.5" customHeight="1" x14ac:dyDescent="0.3"/>
    <row r="151" ht="16.5" customHeight="1" x14ac:dyDescent="0.3"/>
    <row r="152" ht="16.5" customHeight="1" x14ac:dyDescent="0.3"/>
    <row r="153" ht="16.5" customHeight="1" x14ac:dyDescent="0.3"/>
    <row r="154" ht="16.5" customHeight="1" x14ac:dyDescent="0.3"/>
    <row r="155" ht="16.5" customHeight="1" x14ac:dyDescent="0.3"/>
    <row r="156" ht="16.5" customHeight="1" x14ac:dyDescent="0.3"/>
    <row r="157" ht="16.5" customHeight="1" x14ac:dyDescent="0.3"/>
    <row r="158" ht="16.5" customHeight="1" x14ac:dyDescent="0.3"/>
    <row r="159" ht="16.5" customHeight="1" x14ac:dyDescent="0.3"/>
    <row r="160" ht="16.5" customHeight="1" x14ac:dyDescent="0.3"/>
    <row r="161" ht="16.5" customHeight="1" x14ac:dyDescent="0.3"/>
    <row r="162" ht="16.5" customHeight="1" x14ac:dyDescent="0.3"/>
    <row r="163" ht="16.5" customHeight="1" x14ac:dyDescent="0.3"/>
    <row r="164" ht="16.5" customHeight="1" x14ac:dyDescent="0.3"/>
    <row r="165" ht="16.5" customHeight="1" x14ac:dyDescent="0.3"/>
    <row r="166" ht="16.5" customHeight="1" x14ac:dyDescent="0.3"/>
    <row r="167" ht="16.5" customHeight="1" x14ac:dyDescent="0.3"/>
  </sheetData>
  <mergeCells count="99">
    <mergeCell ref="A61:B90"/>
    <mergeCell ref="D61:K61"/>
    <mergeCell ref="D62:K62"/>
    <mergeCell ref="D63:K63"/>
    <mergeCell ref="D64:K64"/>
    <mergeCell ref="D65:K65"/>
    <mergeCell ref="D66:K66"/>
    <mergeCell ref="D90:K90"/>
    <mergeCell ref="D79:K79"/>
    <mergeCell ref="D80:K80"/>
    <mergeCell ref="D81:K81"/>
    <mergeCell ref="D82:K82"/>
    <mergeCell ref="D83:K83"/>
    <mergeCell ref="D84:K84"/>
    <mergeCell ref="D78:K78"/>
    <mergeCell ref="D67:K67"/>
    <mergeCell ref="A92:B94"/>
    <mergeCell ref="D92:K92"/>
    <mergeCell ref="D94:K94"/>
    <mergeCell ref="A91:B91"/>
    <mergeCell ref="D91:K91"/>
    <mergeCell ref="D93:K93"/>
    <mergeCell ref="D68:K68"/>
    <mergeCell ref="D69:K69"/>
    <mergeCell ref="D70:K70"/>
    <mergeCell ref="D71:K71"/>
    <mergeCell ref="D72:K72"/>
    <mergeCell ref="D73:K73"/>
    <mergeCell ref="D74:K74"/>
    <mergeCell ref="D75:K75"/>
    <mergeCell ref="D76:K76"/>
    <mergeCell ref="D77:K77"/>
    <mergeCell ref="A41:B60"/>
    <mergeCell ref="D41:K41"/>
    <mergeCell ref="D42:K42"/>
    <mergeCell ref="D43:K43"/>
    <mergeCell ref="D44:K44"/>
    <mergeCell ref="D51:K51"/>
    <mergeCell ref="D52:K52"/>
    <mergeCell ref="D53:K53"/>
    <mergeCell ref="D54:K54"/>
    <mergeCell ref="D55:K55"/>
    <mergeCell ref="D56:K56"/>
    <mergeCell ref="D45:K45"/>
    <mergeCell ref="D46:K46"/>
    <mergeCell ref="D47:K47"/>
    <mergeCell ref="D48:K48"/>
    <mergeCell ref="D49:K49"/>
    <mergeCell ref="D85:K85"/>
    <mergeCell ref="D86:K86"/>
    <mergeCell ref="D87:K87"/>
    <mergeCell ref="D88:K88"/>
    <mergeCell ref="D89:K89"/>
    <mergeCell ref="A28:B40"/>
    <mergeCell ref="D28:K28"/>
    <mergeCell ref="D29:K29"/>
    <mergeCell ref="D30:K30"/>
    <mergeCell ref="D31:K31"/>
    <mergeCell ref="D38:K38"/>
    <mergeCell ref="D39:K39"/>
    <mergeCell ref="D40:K40"/>
    <mergeCell ref="A21:C21"/>
    <mergeCell ref="A22:C22"/>
    <mergeCell ref="A23:C23"/>
    <mergeCell ref="A27:B27"/>
    <mergeCell ref="C27:K27"/>
    <mergeCell ref="D60:K60"/>
    <mergeCell ref="D32:K32"/>
    <mergeCell ref="D33:K33"/>
    <mergeCell ref="D34:K34"/>
    <mergeCell ref="D35:K35"/>
    <mergeCell ref="D36:K36"/>
    <mergeCell ref="D37:K37"/>
    <mergeCell ref="D59:K59"/>
    <mergeCell ref="D50:K50"/>
    <mergeCell ref="D57:K57"/>
    <mergeCell ref="D58:K58"/>
    <mergeCell ref="P6:Q6"/>
    <mergeCell ref="A7:B7"/>
    <mergeCell ref="C7:F7"/>
    <mergeCell ref="G7:H7"/>
    <mergeCell ref="I7:L7"/>
    <mergeCell ref="A6:B6"/>
    <mergeCell ref="C6:F6"/>
    <mergeCell ref="G6:H6"/>
    <mergeCell ref="I6:L6"/>
    <mergeCell ref="A20:C20"/>
    <mergeCell ref="A11:B12"/>
    <mergeCell ref="F11:G11"/>
    <mergeCell ref="H11:I11"/>
    <mergeCell ref="J11:L11"/>
    <mergeCell ref="F12:G12"/>
    <mergeCell ref="A16:C17"/>
    <mergeCell ref="D16:I16"/>
    <mergeCell ref="J16:L16"/>
    <mergeCell ref="A18:C18"/>
    <mergeCell ref="A19:C19"/>
    <mergeCell ref="H12:I12"/>
    <mergeCell ref="J12:L12"/>
  </mergeCells>
  <phoneticPr fontId="1" type="noConversion"/>
  <conditionalFormatting sqref="C28:C94">
    <cfRule type="cellIs" dxfId="5" priority="1" stopIfTrue="1" operator="equal">
      <formula>"N/A"</formula>
    </cfRule>
    <cfRule type="cellIs" dxfId="4" priority="2" stopIfTrue="1" operator="equal">
      <formula>"N"</formula>
    </cfRule>
  </conditionalFormatting>
  <conditionalFormatting sqref="O28:O94">
    <cfRule type="cellIs" dxfId="3" priority="3" operator="equal">
      <formula>"인터뷰"</formula>
    </cfRule>
    <cfRule type="cellIs" dxfId="2" priority="4" stopIfTrue="1" operator="equal">
      <formula>"취약"</formula>
    </cfRule>
    <cfRule type="cellIs" dxfId="1" priority="5" stopIfTrue="1" operator="equal">
      <formula>"부분만족"</formula>
    </cfRule>
    <cfRule type="cellIs" dxfId="0" priority="6" stopIfTrue="1" operator="equal">
      <formula>"N/A"</formula>
    </cfRule>
  </conditionalFormatting>
  <dataValidations count="4">
    <dataValidation type="list" showInputMessage="1" showErrorMessage="1" errorTitle="잘못된 입력값" error="&quot;Y&quot;, &quot;N&quot;, &quot;P&quot;, &quot;N/A&quot; 로 입력해 주세요." sqref="N983062:N983134 N65558:N65630 N131094:N131166 N196630:N196702 N262166:N262238 N327702:N327774 N393238:N393310 N458774:N458846 N524310:N524382 N589846:N589918 N655382:N655454 N720918:N720990 N786454:N786526 N851990:N852062 N917526:N917598" xr:uid="{2AC996C6-F94B-407F-B54D-D45899212D09}">
      <formula1>"양호,취약,부분만족,N/A"</formula1>
    </dataValidation>
    <dataValidation allowBlank="1" showInputMessage="1" showErrorMessage="1" errorTitle="잘못된 입력값" error="&quot;Y&quot;, &quot;N&quot;, &quot;P&quot;, &quot;N/A&quot; 로 입력해 주세요." sqref="O983062:O983134 O917526:O917598 O851990:O852062 O786454:O786526 O720918:O720990 O655382:O655454 O589846:O589918 O524310:O524382 O458774:O458846 O393238:O393310 O327702:O327774 O262166:O262238 O196630:O196702 O131094:O131166 O65558:O65630" xr:uid="{D2965D1D-9C1D-4F53-9704-D1685CFFFF50}"/>
    <dataValidation showInputMessage="1" showErrorMessage="1" errorTitle="잘못된 입력값" error="&quot;Y&quot;, &quot;N&quot;, &quot;P&quot;, &quot;N/A&quot; 로 입력해 주세요." sqref="N28:N94" xr:uid="{9F8C62E1-1F42-4F7D-93D2-E620E6BD51F7}"/>
    <dataValidation type="list" showInputMessage="1" showErrorMessage="1" errorTitle="잘못된 입력값" error="양호, 취약, 부분만족, N/A 만 입력 가능합니다." sqref="O28:O94" xr:uid="{4B676932-1379-425D-B94C-577BF1593D64}">
      <formula1>"양호,취약,부분만족,N/A,인터뷰"</formula1>
    </dataValidation>
  </dataValidations>
  <printOptions horizontalCentered="1"/>
  <pageMargins left="0.39370078740157483" right="0.39370078740157483" top="0.59055118110236227" bottom="0.59055118110236227" header="0.19685039370078741" footer="0.19685039370078741"/>
  <pageSetup paperSize="9" scale="45" fitToHeight="0" orientation="portrait" r:id="rId1"/>
  <rowBreaks count="1" manualBreakCount="1">
    <brk id="63" max="16383"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C000"/>
  </sheetPr>
  <dimension ref="A1:E78"/>
  <sheetViews>
    <sheetView view="pageBreakPreview" zoomScale="85" zoomScaleNormal="55" zoomScaleSheetLayoutView="85" workbookViewId="0">
      <pane ySplit="1" topLeftCell="A14" activePane="bottomLeft" state="frozen"/>
      <selection pane="bottomLeft" activeCell="D18" sqref="D18"/>
    </sheetView>
  </sheetViews>
  <sheetFormatPr defaultColWidth="8.625" defaultRowHeight="13.5" x14ac:dyDescent="0.3"/>
  <cols>
    <col min="1" max="1" width="8.625" style="92"/>
    <col min="2" max="2" width="63.5" style="2" customWidth="1"/>
    <col min="3" max="3" width="46" style="2" customWidth="1"/>
    <col min="4" max="4" width="46" style="59" customWidth="1"/>
    <col min="5" max="5" width="52.25" style="97" customWidth="1"/>
    <col min="6" max="6" width="5.5" style="2" customWidth="1"/>
    <col min="7" max="16384" width="8.625" style="2"/>
  </cols>
  <sheetData>
    <row r="1" spans="1:5" ht="31.5" x14ac:dyDescent="0.3">
      <c r="B1" s="57" t="s">
        <v>78</v>
      </c>
      <c r="C1" s="57" t="s">
        <v>80</v>
      </c>
      <c r="D1" s="58" t="s">
        <v>81</v>
      </c>
      <c r="E1" s="58" t="s">
        <v>194</v>
      </c>
    </row>
    <row r="2" spans="1:5" ht="90" customHeight="1" x14ac:dyDescent="0.3">
      <c r="A2" s="93" t="s">
        <v>83</v>
      </c>
      <c r="B2" s="85" t="s">
        <v>84</v>
      </c>
      <c r="C2" s="94" t="s">
        <v>238</v>
      </c>
      <c r="D2" s="94" t="s">
        <v>239</v>
      </c>
      <c r="E2" s="94" t="s">
        <v>240</v>
      </c>
    </row>
    <row r="3" spans="1:5" ht="90" customHeight="1" x14ac:dyDescent="0.3">
      <c r="A3" s="93" t="s">
        <v>86</v>
      </c>
      <c r="B3" s="85" t="s">
        <v>378</v>
      </c>
      <c r="C3" s="94" t="s">
        <v>407</v>
      </c>
      <c r="D3" s="94" t="s">
        <v>408</v>
      </c>
      <c r="E3" s="94" t="s">
        <v>409</v>
      </c>
    </row>
    <row r="4" spans="1:5" ht="90" customHeight="1" x14ac:dyDescent="0.3">
      <c r="A4" s="93" t="s">
        <v>87</v>
      </c>
      <c r="B4" s="85" t="s">
        <v>241</v>
      </c>
      <c r="C4" s="94" t="s">
        <v>410</v>
      </c>
      <c r="D4" s="94" t="s">
        <v>411</v>
      </c>
      <c r="E4" s="94" t="s">
        <v>412</v>
      </c>
    </row>
    <row r="5" spans="1:5" ht="90" customHeight="1" x14ac:dyDescent="0.3">
      <c r="A5" s="93" t="s">
        <v>88</v>
      </c>
      <c r="B5" s="85" t="s">
        <v>379</v>
      </c>
      <c r="C5" s="94" t="s">
        <v>413</v>
      </c>
      <c r="D5" s="94" t="s">
        <v>414</v>
      </c>
      <c r="E5" s="94" t="s">
        <v>415</v>
      </c>
    </row>
    <row r="6" spans="1:5" ht="90" customHeight="1" x14ac:dyDescent="0.3">
      <c r="A6" s="93" t="s">
        <v>89</v>
      </c>
      <c r="B6" s="85" t="s">
        <v>90</v>
      </c>
      <c r="C6" s="94" t="s">
        <v>242</v>
      </c>
      <c r="D6" s="94" t="s">
        <v>243</v>
      </c>
      <c r="E6" s="94" t="s">
        <v>244</v>
      </c>
    </row>
    <row r="7" spans="1:5" ht="90" customHeight="1" x14ac:dyDescent="0.3">
      <c r="A7" s="93" t="s">
        <v>92</v>
      </c>
      <c r="B7" s="85" t="s">
        <v>380</v>
      </c>
      <c r="C7" s="94" t="s">
        <v>416</v>
      </c>
      <c r="D7" s="94" t="s">
        <v>417</v>
      </c>
      <c r="E7" s="94" t="s">
        <v>418</v>
      </c>
    </row>
    <row r="8" spans="1:5" ht="90" customHeight="1" x14ac:dyDescent="0.3">
      <c r="A8" s="93" t="s">
        <v>94</v>
      </c>
      <c r="B8" s="85" t="s">
        <v>236</v>
      </c>
      <c r="C8" s="94" t="s">
        <v>245</v>
      </c>
      <c r="D8" s="94" t="s">
        <v>246</v>
      </c>
      <c r="E8" s="94" t="s">
        <v>247</v>
      </c>
    </row>
    <row r="9" spans="1:5" ht="90" customHeight="1" x14ac:dyDescent="0.3">
      <c r="A9" s="93" t="s">
        <v>95</v>
      </c>
      <c r="B9" s="85" t="s">
        <v>100</v>
      </c>
      <c r="C9" s="94" t="s">
        <v>248</v>
      </c>
      <c r="D9" s="94" t="s">
        <v>249</v>
      </c>
      <c r="E9" s="94" t="s">
        <v>250</v>
      </c>
    </row>
    <row r="10" spans="1:5" ht="90" customHeight="1" x14ac:dyDescent="0.3">
      <c r="A10" s="93" t="s">
        <v>96</v>
      </c>
      <c r="B10" s="85" t="s">
        <v>102</v>
      </c>
      <c r="C10" s="94" t="s">
        <v>419</v>
      </c>
      <c r="D10" s="94" t="s">
        <v>420</v>
      </c>
      <c r="E10" s="94" t="s">
        <v>421</v>
      </c>
    </row>
    <row r="11" spans="1:5" ht="90" customHeight="1" x14ac:dyDescent="0.3">
      <c r="A11" s="93" t="s">
        <v>97</v>
      </c>
      <c r="B11" s="86" t="s">
        <v>104</v>
      </c>
      <c r="C11" s="94" t="s">
        <v>251</v>
      </c>
      <c r="D11" s="94" t="s">
        <v>252</v>
      </c>
      <c r="E11" s="94" t="s">
        <v>253</v>
      </c>
    </row>
    <row r="12" spans="1:5" ht="90" customHeight="1" x14ac:dyDescent="0.3">
      <c r="A12" s="93" t="s">
        <v>99</v>
      </c>
      <c r="B12" s="86" t="s">
        <v>106</v>
      </c>
      <c r="C12" s="94" t="s">
        <v>254</v>
      </c>
      <c r="D12" s="94" t="s">
        <v>255</v>
      </c>
      <c r="E12" s="94" t="s">
        <v>256</v>
      </c>
    </row>
    <row r="13" spans="1:5" ht="90" customHeight="1" x14ac:dyDescent="0.3">
      <c r="A13" s="93" t="s">
        <v>101</v>
      </c>
      <c r="B13" s="89" t="s">
        <v>381</v>
      </c>
      <c r="C13" s="94" t="s">
        <v>257</v>
      </c>
      <c r="D13" s="94" t="s">
        <v>258</v>
      </c>
      <c r="E13" s="94" t="s">
        <v>259</v>
      </c>
    </row>
    <row r="14" spans="1:5" ht="90" customHeight="1" x14ac:dyDescent="0.3">
      <c r="A14" s="93" t="s">
        <v>103</v>
      </c>
      <c r="B14" s="85" t="s">
        <v>382</v>
      </c>
      <c r="C14" s="94" t="s">
        <v>422</v>
      </c>
      <c r="D14" s="94" t="s">
        <v>423</v>
      </c>
      <c r="E14" s="94" t="s">
        <v>424</v>
      </c>
    </row>
    <row r="15" spans="1:5" ht="90" customHeight="1" x14ac:dyDescent="0.3">
      <c r="A15" s="93" t="s">
        <v>105</v>
      </c>
      <c r="B15" s="85" t="s">
        <v>109</v>
      </c>
      <c r="C15" s="94" t="s">
        <v>260</v>
      </c>
      <c r="D15" s="94" t="s">
        <v>261</v>
      </c>
      <c r="E15" s="94" t="s">
        <v>262</v>
      </c>
    </row>
    <row r="16" spans="1:5" ht="90" customHeight="1" x14ac:dyDescent="0.3">
      <c r="A16" s="93" t="s">
        <v>107</v>
      </c>
      <c r="B16" s="85" t="s">
        <v>111</v>
      </c>
      <c r="C16" s="94" t="s">
        <v>263</v>
      </c>
      <c r="D16" s="94" t="s">
        <v>264</v>
      </c>
      <c r="E16" s="94" t="s">
        <v>265</v>
      </c>
    </row>
    <row r="17" spans="1:5" ht="90" customHeight="1" x14ac:dyDescent="0.3">
      <c r="A17" s="93" t="s">
        <v>108</v>
      </c>
      <c r="B17" s="85" t="s">
        <v>113</v>
      </c>
      <c r="C17" s="94" t="s">
        <v>266</v>
      </c>
      <c r="D17" s="94" t="s">
        <v>267</v>
      </c>
      <c r="E17" s="94" t="s">
        <v>268</v>
      </c>
    </row>
    <row r="18" spans="1:5" ht="90" customHeight="1" x14ac:dyDescent="0.3">
      <c r="A18" s="93" t="s">
        <v>110</v>
      </c>
      <c r="B18" s="85" t="s">
        <v>383</v>
      </c>
      <c r="C18" s="94" t="s">
        <v>425</v>
      </c>
      <c r="D18" s="94" t="s">
        <v>426</v>
      </c>
      <c r="E18" s="94" t="s">
        <v>427</v>
      </c>
    </row>
    <row r="19" spans="1:5" ht="90" customHeight="1" x14ac:dyDescent="0.3">
      <c r="A19" s="93" t="s">
        <v>112</v>
      </c>
      <c r="B19" s="85" t="s">
        <v>115</v>
      </c>
      <c r="C19" s="94" t="s">
        <v>269</v>
      </c>
      <c r="D19" s="94" t="s">
        <v>270</v>
      </c>
      <c r="E19" s="94" t="s">
        <v>271</v>
      </c>
    </row>
    <row r="20" spans="1:5" ht="90" customHeight="1" x14ac:dyDescent="0.3">
      <c r="A20" s="93" t="s">
        <v>114</v>
      </c>
      <c r="B20" s="85" t="s">
        <v>117</v>
      </c>
      <c r="C20" s="94" t="s">
        <v>272</v>
      </c>
      <c r="D20" s="94" t="s">
        <v>273</v>
      </c>
      <c r="E20" s="94" t="s">
        <v>274</v>
      </c>
    </row>
    <row r="21" spans="1:5" ht="90" customHeight="1" x14ac:dyDescent="0.3">
      <c r="A21" s="93" t="s">
        <v>116</v>
      </c>
      <c r="B21" s="85" t="s">
        <v>119</v>
      </c>
      <c r="C21" s="94" t="s">
        <v>428</v>
      </c>
      <c r="D21" s="94" t="s">
        <v>429</v>
      </c>
      <c r="E21" s="94" t="s">
        <v>430</v>
      </c>
    </row>
    <row r="22" spans="1:5" ht="90" customHeight="1" x14ac:dyDescent="0.3">
      <c r="A22" s="93" t="s">
        <v>118</v>
      </c>
      <c r="B22" s="85" t="s">
        <v>384</v>
      </c>
      <c r="C22" s="94" t="s">
        <v>431</v>
      </c>
      <c r="D22" s="94" t="s">
        <v>432</v>
      </c>
      <c r="E22" s="94" t="s">
        <v>433</v>
      </c>
    </row>
    <row r="23" spans="1:5" ht="90" customHeight="1" x14ac:dyDescent="0.3">
      <c r="A23" s="93" t="s">
        <v>120</v>
      </c>
      <c r="B23" s="85" t="s">
        <v>122</v>
      </c>
      <c r="C23" s="94" t="s">
        <v>275</v>
      </c>
      <c r="D23" s="94" t="s">
        <v>276</v>
      </c>
      <c r="E23" s="94" t="s">
        <v>277</v>
      </c>
    </row>
    <row r="24" spans="1:5" ht="90" customHeight="1" x14ac:dyDescent="0.3">
      <c r="A24" s="93" t="s">
        <v>121</v>
      </c>
      <c r="B24" s="85" t="s">
        <v>124</v>
      </c>
      <c r="C24" s="94" t="s">
        <v>434</v>
      </c>
      <c r="D24" s="94" t="s">
        <v>435</v>
      </c>
      <c r="E24" s="94" t="s">
        <v>436</v>
      </c>
    </row>
    <row r="25" spans="1:5" ht="90" customHeight="1" x14ac:dyDescent="0.3">
      <c r="A25" s="93" t="s">
        <v>123</v>
      </c>
      <c r="B25" s="85" t="s">
        <v>385</v>
      </c>
      <c r="C25" s="94" t="s">
        <v>437</v>
      </c>
      <c r="D25" s="94" t="s">
        <v>438</v>
      </c>
      <c r="E25" s="94" t="s">
        <v>439</v>
      </c>
    </row>
    <row r="26" spans="1:5" ht="90" customHeight="1" x14ac:dyDescent="0.3">
      <c r="A26" s="93" t="s">
        <v>125</v>
      </c>
      <c r="B26" s="85" t="s">
        <v>237</v>
      </c>
      <c r="C26" s="94" t="s">
        <v>440</v>
      </c>
      <c r="D26" s="94" t="s">
        <v>441</v>
      </c>
      <c r="E26" s="94" t="s">
        <v>442</v>
      </c>
    </row>
    <row r="27" spans="1:5" ht="90" customHeight="1" x14ac:dyDescent="0.3">
      <c r="A27" s="93" t="s">
        <v>126</v>
      </c>
      <c r="B27" s="85" t="s">
        <v>129</v>
      </c>
      <c r="C27" s="94" t="s">
        <v>443</v>
      </c>
      <c r="D27" s="94" t="s">
        <v>444</v>
      </c>
      <c r="E27" s="94" t="s">
        <v>445</v>
      </c>
    </row>
    <row r="28" spans="1:5" ht="90" customHeight="1" x14ac:dyDescent="0.3">
      <c r="A28" s="93" t="s">
        <v>128</v>
      </c>
      <c r="B28" s="85" t="s">
        <v>131</v>
      </c>
      <c r="C28" s="94" t="s">
        <v>446</v>
      </c>
      <c r="D28" s="94" t="s">
        <v>447</v>
      </c>
      <c r="E28" s="94" t="s">
        <v>448</v>
      </c>
    </row>
    <row r="29" spans="1:5" ht="90" customHeight="1" x14ac:dyDescent="0.3">
      <c r="A29" s="93" t="s">
        <v>130</v>
      </c>
      <c r="B29" s="85" t="s">
        <v>133</v>
      </c>
      <c r="C29" s="94" t="s">
        <v>449</v>
      </c>
      <c r="D29" s="94" t="s">
        <v>450</v>
      </c>
      <c r="E29" s="94" t="s">
        <v>451</v>
      </c>
    </row>
    <row r="30" spans="1:5" ht="90" customHeight="1" x14ac:dyDescent="0.3">
      <c r="A30" s="93" t="s">
        <v>132</v>
      </c>
      <c r="B30" s="85" t="s">
        <v>135</v>
      </c>
      <c r="C30" s="94" t="s">
        <v>452</v>
      </c>
      <c r="D30" s="94" t="s">
        <v>453</v>
      </c>
      <c r="E30" s="94" t="s">
        <v>454</v>
      </c>
    </row>
    <row r="31" spans="1:5" ht="90" customHeight="1" x14ac:dyDescent="0.3">
      <c r="A31" s="93" t="s">
        <v>134</v>
      </c>
      <c r="B31" s="85" t="s">
        <v>137</v>
      </c>
      <c r="C31" s="94" t="s">
        <v>278</v>
      </c>
      <c r="D31" s="94" t="s">
        <v>279</v>
      </c>
      <c r="E31" s="94" t="s">
        <v>280</v>
      </c>
    </row>
    <row r="32" spans="1:5" ht="90" customHeight="1" x14ac:dyDescent="0.3">
      <c r="A32" s="93" t="s">
        <v>136</v>
      </c>
      <c r="B32" s="85" t="s">
        <v>139</v>
      </c>
      <c r="C32" s="94" t="s">
        <v>455</v>
      </c>
      <c r="D32" s="94" t="s">
        <v>456</v>
      </c>
      <c r="E32" s="94" t="s">
        <v>457</v>
      </c>
    </row>
    <row r="33" spans="1:5" ht="90" customHeight="1" x14ac:dyDescent="0.3">
      <c r="A33" s="93" t="s">
        <v>138</v>
      </c>
      <c r="B33" s="85" t="s">
        <v>141</v>
      </c>
      <c r="C33" s="94" t="s">
        <v>281</v>
      </c>
      <c r="D33" s="94" t="s">
        <v>282</v>
      </c>
      <c r="E33" s="95" t="s">
        <v>283</v>
      </c>
    </row>
    <row r="34" spans="1:5" ht="90" customHeight="1" x14ac:dyDescent="0.3">
      <c r="A34" s="93" t="s">
        <v>140</v>
      </c>
      <c r="B34" s="85" t="s">
        <v>143</v>
      </c>
      <c r="C34" s="94" t="s">
        <v>458</v>
      </c>
      <c r="D34" s="94" t="s">
        <v>459</v>
      </c>
      <c r="E34" s="95" t="s">
        <v>460</v>
      </c>
    </row>
    <row r="35" spans="1:5" ht="90" customHeight="1" x14ac:dyDescent="0.3">
      <c r="A35" s="93" t="s">
        <v>142</v>
      </c>
      <c r="B35" s="88" t="s">
        <v>145</v>
      </c>
      <c r="C35" s="94" t="s">
        <v>284</v>
      </c>
      <c r="D35" s="94" t="s">
        <v>285</v>
      </c>
      <c r="E35" s="95" t="s">
        <v>286</v>
      </c>
    </row>
    <row r="36" spans="1:5" ht="90" customHeight="1" x14ac:dyDescent="0.3">
      <c r="A36" s="93" t="s">
        <v>144</v>
      </c>
      <c r="B36" s="89" t="s">
        <v>386</v>
      </c>
      <c r="C36" s="94" t="s">
        <v>461</v>
      </c>
      <c r="D36" s="94" t="s">
        <v>462</v>
      </c>
      <c r="E36" s="95" t="s">
        <v>463</v>
      </c>
    </row>
    <row r="37" spans="1:5" ht="90" customHeight="1" x14ac:dyDescent="0.3">
      <c r="A37" s="93" t="s">
        <v>146</v>
      </c>
      <c r="B37" s="89" t="s">
        <v>148</v>
      </c>
      <c r="C37" s="94" t="s">
        <v>464</v>
      </c>
      <c r="D37" s="94" t="s">
        <v>465</v>
      </c>
      <c r="E37" s="95" t="s">
        <v>466</v>
      </c>
    </row>
    <row r="38" spans="1:5" ht="90" customHeight="1" x14ac:dyDescent="0.3">
      <c r="A38" s="93" t="s">
        <v>147</v>
      </c>
      <c r="B38" s="89" t="s">
        <v>387</v>
      </c>
      <c r="C38" s="94" t="s">
        <v>469</v>
      </c>
      <c r="D38" s="94" t="s">
        <v>468</v>
      </c>
      <c r="E38" s="95" t="s">
        <v>467</v>
      </c>
    </row>
    <row r="39" spans="1:5" ht="90" customHeight="1" x14ac:dyDescent="0.3">
      <c r="A39" s="93" t="s">
        <v>149</v>
      </c>
      <c r="B39" s="89" t="s">
        <v>151</v>
      </c>
      <c r="C39" s="94" t="s">
        <v>470</v>
      </c>
      <c r="D39" s="94" t="s">
        <v>471</v>
      </c>
      <c r="E39" s="95" t="s">
        <v>472</v>
      </c>
    </row>
    <row r="40" spans="1:5" ht="90" customHeight="1" x14ac:dyDescent="0.3">
      <c r="A40" s="93" t="s">
        <v>150</v>
      </c>
      <c r="B40" s="89" t="s">
        <v>388</v>
      </c>
      <c r="C40" s="94" t="s">
        <v>473</v>
      </c>
      <c r="D40" s="94" t="s">
        <v>474</v>
      </c>
      <c r="E40" s="95" t="s">
        <v>475</v>
      </c>
    </row>
    <row r="41" spans="1:5" ht="90" customHeight="1" x14ac:dyDescent="0.3">
      <c r="A41" s="93" t="s">
        <v>152</v>
      </c>
      <c r="B41" s="89" t="s">
        <v>154</v>
      </c>
      <c r="C41" s="94" t="s">
        <v>476</v>
      </c>
      <c r="D41" s="94" t="s">
        <v>477</v>
      </c>
      <c r="E41" s="95" t="s">
        <v>478</v>
      </c>
    </row>
    <row r="42" spans="1:5" ht="90" customHeight="1" x14ac:dyDescent="0.3">
      <c r="A42" s="93" t="s">
        <v>153</v>
      </c>
      <c r="B42" s="89" t="s">
        <v>389</v>
      </c>
      <c r="C42" s="94" t="s">
        <v>287</v>
      </c>
      <c r="D42" s="94" t="s">
        <v>288</v>
      </c>
      <c r="E42" s="94" t="s">
        <v>289</v>
      </c>
    </row>
    <row r="43" spans="1:5" ht="90" customHeight="1" x14ac:dyDescent="0.3">
      <c r="A43" s="93" t="s">
        <v>155</v>
      </c>
      <c r="B43" s="89" t="s">
        <v>390</v>
      </c>
      <c r="C43" s="94" t="s">
        <v>290</v>
      </c>
      <c r="D43" s="94" t="s">
        <v>291</v>
      </c>
      <c r="E43" s="94" t="s">
        <v>292</v>
      </c>
    </row>
    <row r="44" spans="1:5" ht="90" customHeight="1" x14ac:dyDescent="0.3">
      <c r="A44" s="93" t="s">
        <v>156</v>
      </c>
      <c r="B44" s="89" t="s">
        <v>158</v>
      </c>
      <c r="C44" s="94" t="s">
        <v>479</v>
      </c>
      <c r="D44" s="94" t="s">
        <v>293</v>
      </c>
      <c r="E44" s="94" t="s">
        <v>480</v>
      </c>
    </row>
    <row r="45" spans="1:5" ht="90" customHeight="1" x14ac:dyDescent="0.3">
      <c r="A45" s="93" t="s">
        <v>157</v>
      </c>
      <c r="B45" s="89" t="s">
        <v>160</v>
      </c>
      <c r="C45" s="94" t="s">
        <v>481</v>
      </c>
      <c r="D45" s="94" t="s">
        <v>482</v>
      </c>
      <c r="E45" s="94" t="s">
        <v>483</v>
      </c>
    </row>
    <row r="46" spans="1:5" ht="90" customHeight="1" x14ac:dyDescent="0.3">
      <c r="A46" s="93" t="s">
        <v>159</v>
      </c>
      <c r="B46" s="89" t="s">
        <v>391</v>
      </c>
      <c r="C46" s="94" t="s">
        <v>484</v>
      </c>
      <c r="D46" s="94" t="s">
        <v>485</v>
      </c>
      <c r="E46" s="94" t="s">
        <v>486</v>
      </c>
    </row>
    <row r="47" spans="1:5" ht="90" customHeight="1" x14ac:dyDescent="0.3">
      <c r="A47" s="93" t="s">
        <v>161</v>
      </c>
      <c r="B47" s="89" t="s">
        <v>392</v>
      </c>
      <c r="C47" s="94" t="s">
        <v>487</v>
      </c>
      <c r="D47" s="94" t="s">
        <v>488</v>
      </c>
      <c r="E47" s="94" t="s">
        <v>489</v>
      </c>
    </row>
    <row r="48" spans="1:5" ht="90" customHeight="1" x14ac:dyDescent="0.3">
      <c r="A48" s="93" t="s">
        <v>162</v>
      </c>
      <c r="B48" s="89" t="s">
        <v>163</v>
      </c>
      <c r="C48" s="94" t="s">
        <v>490</v>
      </c>
      <c r="D48" s="94" t="s">
        <v>491</v>
      </c>
      <c r="E48" s="94" t="s">
        <v>492</v>
      </c>
    </row>
    <row r="49" spans="1:5" ht="90" customHeight="1" x14ac:dyDescent="0.3">
      <c r="A49" s="93" t="s">
        <v>164</v>
      </c>
      <c r="B49" s="89" t="s">
        <v>187</v>
      </c>
      <c r="C49" s="94" t="s">
        <v>493</v>
      </c>
      <c r="D49" s="94" t="s">
        <v>494</v>
      </c>
      <c r="E49" s="94" t="s">
        <v>495</v>
      </c>
    </row>
    <row r="50" spans="1:5" ht="90" customHeight="1" x14ac:dyDescent="0.3">
      <c r="A50" s="93" t="s">
        <v>165</v>
      </c>
      <c r="B50" s="89" t="s">
        <v>166</v>
      </c>
      <c r="C50" s="94" t="s">
        <v>496</v>
      </c>
      <c r="D50" s="94" t="s">
        <v>497</v>
      </c>
      <c r="E50" s="94" t="s">
        <v>498</v>
      </c>
    </row>
    <row r="51" spans="1:5" ht="90" customHeight="1" x14ac:dyDescent="0.3">
      <c r="A51" s="93" t="s">
        <v>167</v>
      </c>
      <c r="B51" s="89" t="s">
        <v>168</v>
      </c>
      <c r="C51" s="94" t="s">
        <v>499</v>
      </c>
      <c r="D51" s="94" t="s">
        <v>500</v>
      </c>
      <c r="E51" s="94" t="s">
        <v>501</v>
      </c>
    </row>
    <row r="52" spans="1:5" ht="90" customHeight="1" x14ac:dyDescent="0.3">
      <c r="A52" s="93" t="s">
        <v>169</v>
      </c>
      <c r="B52" s="89" t="s">
        <v>393</v>
      </c>
      <c r="C52" s="94" t="s">
        <v>504</v>
      </c>
      <c r="D52" s="94" t="s">
        <v>502</v>
      </c>
      <c r="E52" s="94" t="s">
        <v>503</v>
      </c>
    </row>
    <row r="53" spans="1:5" ht="90" customHeight="1" x14ac:dyDescent="0.3">
      <c r="A53" s="93" t="s">
        <v>170</v>
      </c>
      <c r="B53" s="89" t="s">
        <v>394</v>
      </c>
      <c r="C53" s="94" t="s">
        <v>505</v>
      </c>
      <c r="D53" s="94" t="s">
        <v>506</v>
      </c>
      <c r="E53" s="94" t="s">
        <v>507</v>
      </c>
    </row>
    <row r="54" spans="1:5" ht="90" customHeight="1" x14ac:dyDescent="0.3">
      <c r="A54" s="93" t="s">
        <v>171</v>
      </c>
      <c r="B54" s="89" t="s">
        <v>396</v>
      </c>
      <c r="C54" s="94" t="s">
        <v>508</v>
      </c>
      <c r="D54" s="94" t="s">
        <v>509</v>
      </c>
      <c r="E54" s="94" t="s">
        <v>510</v>
      </c>
    </row>
    <row r="55" spans="1:5" ht="90" customHeight="1" x14ac:dyDescent="0.3">
      <c r="A55" s="93" t="s">
        <v>172</v>
      </c>
      <c r="B55" s="89" t="s">
        <v>395</v>
      </c>
      <c r="C55" s="94" t="s">
        <v>511</v>
      </c>
      <c r="D55" s="94" t="s">
        <v>512</v>
      </c>
      <c r="E55" s="94" t="s">
        <v>513</v>
      </c>
    </row>
    <row r="56" spans="1:5" ht="90" customHeight="1" x14ac:dyDescent="0.3">
      <c r="A56" s="93" t="s">
        <v>173</v>
      </c>
      <c r="B56" s="89" t="s">
        <v>397</v>
      </c>
      <c r="C56" s="94" t="s">
        <v>514</v>
      </c>
      <c r="D56" s="94" t="s">
        <v>515</v>
      </c>
      <c r="E56" s="94" t="s">
        <v>516</v>
      </c>
    </row>
    <row r="57" spans="1:5" ht="90" customHeight="1" x14ac:dyDescent="0.3">
      <c r="A57" s="93" t="s">
        <v>174</v>
      </c>
      <c r="B57" s="89" t="s">
        <v>398</v>
      </c>
      <c r="C57" s="94" t="s">
        <v>517</v>
      </c>
      <c r="D57" s="94" t="s">
        <v>518</v>
      </c>
      <c r="E57" s="94" t="s">
        <v>519</v>
      </c>
    </row>
    <row r="58" spans="1:5" ht="90" customHeight="1" x14ac:dyDescent="0.3">
      <c r="A58" s="93" t="s">
        <v>175</v>
      </c>
      <c r="B58" s="89" t="s">
        <v>181</v>
      </c>
      <c r="C58" s="94" t="s">
        <v>520</v>
      </c>
      <c r="D58" s="94" t="s">
        <v>521</v>
      </c>
      <c r="E58" s="94" t="s">
        <v>522</v>
      </c>
    </row>
    <row r="59" spans="1:5" ht="90" customHeight="1" x14ac:dyDescent="0.3">
      <c r="A59" s="93" t="s">
        <v>176</v>
      </c>
      <c r="B59" s="89" t="s">
        <v>399</v>
      </c>
      <c r="C59" s="94" t="s">
        <v>294</v>
      </c>
      <c r="D59" s="94" t="s">
        <v>295</v>
      </c>
      <c r="E59" s="94" t="s">
        <v>296</v>
      </c>
    </row>
    <row r="60" spans="1:5" ht="90" customHeight="1" x14ac:dyDescent="0.3">
      <c r="A60" s="93" t="s">
        <v>177</v>
      </c>
      <c r="B60" s="89" t="s">
        <v>400</v>
      </c>
      <c r="C60" s="94" t="s">
        <v>523</v>
      </c>
      <c r="D60" s="94" t="s">
        <v>524</v>
      </c>
      <c r="E60" s="94" t="s">
        <v>525</v>
      </c>
    </row>
    <row r="61" spans="1:5" ht="90" customHeight="1" x14ac:dyDescent="0.3">
      <c r="A61" s="93" t="s">
        <v>178</v>
      </c>
      <c r="B61" s="89" t="s">
        <v>401</v>
      </c>
      <c r="C61" s="94" t="s">
        <v>526</v>
      </c>
      <c r="D61" s="94" t="s">
        <v>527</v>
      </c>
      <c r="E61" s="94" t="s">
        <v>528</v>
      </c>
    </row>
    <row r="62" spans="1:5" ht="90" customHeight="1" x14ac:dyDescent="0.3">
      <c r="A62" s="93" t="s">
        <v>179</v>
      </c>
      <c r="B62" s="89" t="s">
        <v>402</v>
      </c>
      <c r="C62" s="94" t="s">
        <v>529</v>
      </c>
      <c r="D62" s="94" t="s">
        <v>530</v>
      </c>
      <c r="E62" s="94" t="s">
        <v>531</v>
      </c>
    </row>
    <row r="63" spans="1:5" ht="90" customHeight="1" x14ac:dyDescent="0.3">
      <c r="A63" s="93" t="s">
        <v>180</v>
      </c>
      <c r="B63" s="89" t="s">
        <v>347</v>
      </c>
      <c r="C63" s="94" t="s">
        <v>532</v>
      </c>
      <c r="D63" s="94" t="s">
        <v>533</v>
      </c>
      <c r="E63" s="94" t="s">
        <v>534</v>
      </c>
    </row>
    <row r="64" spans="1:5" ht="90" customHeight="1" x14ac:dyDescent="0.3">
      <c r="A64" s="93" t="s">
        <v>182</v>
      </c>
      <c r="B64" s="89" t="s">
        <v>403</v>
      </c>
      <c r="C64" s="94" t="s">
        <v>535</v>
      </c>
      <c r="D64" s="94" t="s">
        <v>536</v>
      </c>
      <c r="E64" s="94" t="s">
        <v>537</v>
      </c>
    </row>
    <row r="65" spans="1:5" ht="90" customHeight="1" x14ac:dyDescent="0.3">
      <c r="A65" s="93" t="s">
        <v>183</v>
      </c>
      <c r="B65" s="90" t="s">
        <v>404</v>
      </c>
      <c r="C65" s="94" t="s">
        <v>538</v>
      </c>
      <c r="D65" s="94" t="s">
        <v>539</v>
      </c>
      <c r="E65" s="94" t="s">
        <v>540</v>
      </c>
    </row>
    <row r="66" spans="1:5" ht="90" customHeight="1" x14ac:dyDescent="0.3">
      <c r="A66" s="93" t="s">
        <v>184</v>
      </c>
      <c r="B66" s="88" t="s">
        <v>405</v>
      </c>
      <c r="C66" s="94" t="s">
        <v>541</v>
      </c>
      <c r="D66" s="94" t="s">
        <v>542</v>
      </c>
      <c r="E66" s="94" t="s">
        <v>543</v>
      </c>
    </row>
    <row r="67" spans="1:5" ht="90" customHeight="1" x14ac:dyDescent="0.3">
      <c r="A67" s="93" t="s">
        <v>185</v>
      </c>
      <c r="B67" s="89" t="s">
        <v>188</v>
      </c>
      <c r="C67" s="94" t="s">
        <v>544</v>
      </c>
      <c r="D67" s="94" t="s">
        <v>545</v>
      </c>
      <c r="E67" s="94" t="s">
        <v>546</v>
      </c>
    </row>
    <row r="68" spans="1:5" ht="90" customHeight="1" thickBot="1" x14ac:dyDescent="0.35">
      <c r="A68" s="98" t="s">
        <v>186</v>
      </c>
      <c r="B68" s="91" t="s">
        <v>406</v>
      </c>
      <c r="C68" s="99" t="s">
        <v>547</v>
      </c>
      <c r="D68" s="99" t="s">
        <v>548</v>
      </c>
      <c r="E68" s="99" t="s">
        <v>549</v>
      </c>
    </row>
    <row r="69" spans="1:5" x14ac:dyDescent="0.3">
      <c r="D69" s="2"/>
      <c r="E69" s="96"/>
    </row>
    <row r="70" spans="1:5" x14ac:dyDescent="0.3">
      <c r="D70" s="2"/>
      <c r="E70" s="96"/>
    </row>
    <row r="71" spans="1:5" x14ac:dyDescent="0.3">
      <c r="D71" s="2"/>
      <c r="E71" s="96"/>
    </row>
    <row r="72" spans="1:5" x14ac:dyDescent="0.3">
      <c r="D72" s="2"/>
      <c r="E72" s="96"/>
    </row>
    <row r="73" spans="1:5" x14ac:dyDescent="0.3">
      <c r="D73" s="2"/>
      <c r="E73" s="96"/>
    </row>
    <row r="74" spans="1:5" x14ac:dyDescent="0.3">
      <c r="D74" s="2"/>
      <c r="E74" s="96"/>
    </row>
    <row r="75" spans="1:5" x14ac:dyDescent="0.3">
      <c r="D75" s="2"/>
      <c r="E75" s="96"/>
    </row>
    <row r="76" spans="1:5" x14ac:dyDescent="0.3">
      <c r="D76" s="2"/>
      <c r="E76" s="96"/>
    </row>
    <row r="77" spans="1:5" x14ac:dyDescent="0.3">
      <c r="D77" s="2"/>
      <c r="E77" s="96"/>
    </row>
    <row r="78" spans="1:5" x14ac:dyDescent="0.3">
      <c r="D78" s="2"/>
      <c r="E78" s="96"/>
    </row>
  </sheetData>
  <phoneticPr fontId="1" type="noConversion"/>
  <pageMargins left="0.7" right="0.7" top="0.75" bottom="0.75" header="0.3" footer="0.3"/>
  <pageSetup paperSize="9" scale="3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8</vt:i4>
      </vt:variant>
    </vt:vector>
  </HeadingPairs>
  <TitlesOfParts>
    <vt:vector size="16" baseType="lpstr">
      <vt:lpstr>표지</vt:lpstr>
      <vt:lpstr>개정이력</vt:lpstr>
      <vt:lpstr>개요</vt:lpstr>
      <vt:lpstr>점검대상</vt:lpstr>
      <vt:lpstr>요약 통계</vt:lpstr>
      <vt:lpstr>보안수준 통계</vt:lpstr>
      <vt:lpstr>sample</vt:lpstr>
      <vt:lpstr>기준 DB</vt:lpstr>
      <vt:lpstr>sample!Print_Area</vt:lpstr>
      <vt:lpstr>개요!Print_Area</vt:lpstr>
      <vt:lpstr>개정이력!Print_Area</vt:lpstr>
      <vt:lpstr>'기준 DB'!Print_Area</vt:lpstr>
      <vt:lpstr>'보안수준 통계'!Print_Area</vt:lpstr>
      <vt:lpstr>'요약 통계'!Print_Area</vt:lpstr>
      <vt:lpstr>점검대상!Print_Area</vt:lpstr>
      <vt:lpstr>표지!Print_Area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jrseo</dc:creator>
  <cp:keywords/>
  <dc:description/>
  <cp:lastModifiedBy>주식회사 시큐와우</cp:lastModifiedBy>
  <cp:revision/>
  <dcterms:created xsi:type="dcterms:W3CDTF">2017-02-20T08:28:44Z</dcterms:created>
  <dcterms:modified xsi:type="dcterms:W3CDTF">2026-06-09T06:28:56Z</dcterms:modified>
  <cp:category/>
  <cp:contentStatus/>
</cp:coreProperties>
</file>