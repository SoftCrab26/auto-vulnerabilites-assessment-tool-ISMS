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현재_통합_문서"/>
  <mc:AlternateContent xmlns:mc="http://schemas.openxmlformats.org/markup-compatibility/2006">
    <mc:Choice Requires="x15">
      <x15ac:absPath xmlns:x15ac="http://schemas.microsoft.com/office/spreadsheetml/2010/11/ac" url="C:\Users\khkim\Downloads\"/>
    </mc:Choice>
  </mc:AlternateContent>
  <xr:revisionPtr revIDLastSave="0" documentId="13_ncr:1_{3B0B7DF2-358C-41BE-A819-2789CBA528E1}" xr6:coauthVersionLast="47" xr6:coauthVersionMax="47" xr10:uidLastSave="{00000000-0000-0000-0000-000000000000}"/>
  <bookViews>
    <workbookView xWindow="28680" yWindow="-120" windowWidth="29040" windowHeight="17520" tabRatio="889" xr2:uid="{00000000-000D-0000-FFFF-FFFF00000000}"/>
  </bookViews>
  <sheets>
    <sheet name="표지" sheetId="262" r:id="rId1"/>
    <sheet name="위험관리계획기준" sheetId="295" state="hidden" r:id="rId2"/>
    <sheet name="위험분석및평가기준" sheetId="261" r:id="rId3"/>
    <sheet name="개정이력" sheetId="256" r:id="rId4"/>
    <sheet name="요약 통계" sheetId="232" r:id="rId5"/>
    <sheet name="점검대상" sheetId="227" r:id="rId6"/>
    <sheet name="보안수준 통계" sheetId="229" r:id="rId7"/>
    <sheet name="Origin(숨김처리)" sheetId="265" state="hidden" r:id="rId8"/>
    <sheet name="sample" sheetId="305" r:id="rId9"/>
    <sheet name="매크로" sheetId="260" state="hidden" r:id="rId10"/>
    <sheet name="잠재위험 및 대응책 DB" sheetId="264" state="hidden" r:id="rId11"/>
  </sheets>
  <externalReferences>
    <externalReference r:id="rId12"/>
    <externalReference r:id="rId13"/>
    <externalReference r:id="rId14"/>
    <externalReference r:id="rId15"/>
    <externalReference r:id="rId16"/>
    <externalReference r:id="rId17"/>
    <externalReference r:id="rId18"/>
  </externalReferences>
  <definedNames>
    <definedName name="_xlnm._FilterDatabase" localSheetId="7" hidden="1">'Origin(숨김처리)'!$B$20:$Q$87</definedName>
    <definedName name="_xlnm._FilterDatabase" localSheetId="8" hidden="1">sample!$B$20:$Q$87</definedName>
    <definedName name="_xlnm._FilterDatabase" localSheetId="4" hidden="1">'요약 통계'!$A$4:$L$77</definedName>
    <definedName name="_xlnm._FilterDatabase" localSheetId="1" hidden="1">위험관리계획기준!#REF!</definedName>
    <definedName name="aa">#REF!</definedName>
    <definedName name="CASE">[1]코드!$K$35:$K$41</definedName>
    <definedName name="d">#REF!</definedName>
    <definedName name="DBMS">[1]코드!$G$35:$G$49</definedName>
    <definedName name="dd">#REF!</definedName>
    <definedName name="ddd">#REF!</definedName>
    <definedName name="dddd">#REF!</definedName>
    <definedName name="ddddd">#REF!</definedName>
    <definedName name="ddddddd">#REF!</definedName>
    <definedName name="dddfghsfthfsdh">#REF!</definedName>
    <definedName name="dddsadwed">#REF!</definedName>
    <definedName name="dfsdfsaf">#REF!</definedName>
    <definedName name="ds">#REF!</definedName>
    <definedName name="dsf">#REF!</definedName>
    <definedName name="dsfa">#REF!</definedName>
    <definedName name="dsfsf">#REF!</definedName>
    <definedName name="dssd">#REF!</definedName>
    <definedName name="d너뭔데">#REF!</definedName>
    <definedName name="ee">#REF!</definedName>
    <definedName name="EndUser">[1]코드!$D$35:$D$39</definedName>
    <definedName name="Evaluation">#REF!</definedName>
    <definedName name="fsafasdf">#REF!</definedName>
    <definedName name="HA상태">[2]코드표!$C$15:$C$16</definedName>
    <definedName name="HW">[1]코드!$I$35:$I$59</definedName>
    <definedName name="iii">#REF!</definedName>
    <definedName name="Language">[1]코드!$J$35:$J$61</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"&amp;REPT(LOCAL_HOUR_FORMAT,2)&amp;LOCAL_TIME_SEPARATOR&amp;REPT(LOCAL_MINUTE_FORMAT,2)&amp;LOCAL_TIME_SEPARATOR&amp;REPT([0]!LOCAL_SECOND_FORMAT,2)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"&amp;REPT(LOCAL_HOUR_FORMAT,2)&amp;LOCAL_TIME_SEPARATOR&amp;REPT(LOCAL_MINUTE_FORMAT,2)&amp;LOCAL_TIME_SEPARATOR&amp;REPT([0]!LOCAL_SECOND_FORMAT,2)</definedName>
    <definedName name="LOCAL_MYSQL_DATE_FORMAT" localSheetId="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 "</definedName>
    <definedName name="LType">[1]코드!$M$35:$M$37</definedName>
    <definedName name="MW">[1]코드!$H$35:$H$49</definedName>
    <definedName name="NMS관제가능여부">[2]코드표!$C$52:$C$53</definedName>
    <definedName name="no">#REF!</definedName>
    <definedName name="OS">[1]코드!$F$35:$F$42</definedName>
    <definedName name="Platform">[1]코드!$L$35:$L$37</definedName>
    <definedName name="_xlnm.Print_Area" localSheetId="7">'Origin(숨김처리)'!$A$1:$AH$88</definedName>
    <definedName name="_xlnm.Print_Area" localSheetId="8">sample!$A$1:$AH$88</definedName>
    <definedName name="_xlnm.Print_Area" localSheetId="3">개정이력!$A$1:$G$11</definedName>
    <definedName name="_xlnm.Print_Area" localSheetId="9">매크로!$A$1:$C$24</definedName>
    <definedName name="_xlnm.Print_Area" localSheetId="6">'보안수준 통계'!$A$1:$K$50</definedName>
    <definedName name="_xlnm.Print_Area" localSheetId="4">'요약 통계'!$A$1:$Q$78</definedName>
    <definedName name="_xlnm.Print_Area" localSheetId="1">위험관리계획기준!$A$1:$F$54</definedName>
    <definedName name="_xlnm.Print_Area" localSheetId="2">위험분석및평가기준!$A$1:$M$51</definedName>
    <definedName name="_xlnm.Print_Area" localSheetId="5">점검대상!$A$1:$L$13</definedName>
    <definedName name="rr">#REF!</definedName>
    <definedName name="rrrr">#REF!</definedName>
    <definedName name="sasa">#REF!</definedName>
    <definedName name="SASDFSDF">#REF!</definedName>
    <definedName name="sddsd">#REF!</definedName>
    <definedName name="SDF">#REF!</definedName>
    <definedName name="sdkjfa">#REF!</definedName>
    <definedName name="sds">#REF!</definedName>
    <definedName name="sdsds">#REF!</definedName>
    <definedName name="sdsdsds">#REF!</definedName>
    <definedName name="sdsfa">#REF!</definedName>
    <definedName name="sf">#REF!</definedName>
    <definedName name="sfa">#REF!</definedName>
    <definedName name="sfasdfa">#REF!</definedName>
    <definedName name="sfddd">#REF!</definedName>
    <definedName name="sosos">#REF!</definedName>
    <definedName name="ss">#REF!</definedName>
    <definedName name="ssjsjks">#REF!</definedName>
    <definedName name="sss">#REF!</definedName>
    <definedName name="SW용도">[2]코드표!$B$88:$B$90</definedName>
    <definedName name="ui">#REF!</definedName>
    <definedName name="yes">#REF!</definedName>
    <definedName name="YN">'[3]점검표(재분류)'!#REF!</definedName>
    <definedName name="yy">#REF!</definedName>
    <definedName name="ㄱㄱ">#REF!</definedName>
    <definedName name="가" localSheetId="1">#REF!</definedName>
    <definedName name="가">#REF!</definedName>
    <definedName name="가자">#REF!</definedName>
    <definedName name="개발형태">[1]코드!$C$2:$C$7</definedName>
    <definedName name="계약방식">[1]코드!$A$2:$A$10</definedName>
    <definedName name="계약형태">[1]코드!$H$2:$H$4</definedName>
    <definedName name="광전송장치제조사">[4]공통코드!$Y$2:$Y$4</definedName>
    <definedName name="국산여부">[2]코드표!$C$2:$C$3</definedName>
    <definedName name="금칙어">#REF!</definedName>
    <definedName name="기밀성">#REF!</definedName>
    <definedName name="기준반영">#REF!</definedName>
    <definedName name="기타장비타입">[2]코드표!$C$141:$C$143</definedName>
    <definedName name="기ㅣ">#REF!</definedName>
    <definedName name="ㄴㄴ">#REF!</definedName>
    <definedName name="ㄴㄴㄴ">#REF!</definedName>
    <definedName name="ㄴㅇ">#REF!</definedName>
    <definedName name="ㄴㅇㄹㄴ">#REF!</definedName>
    <definedName name="나" localSheetId="1">#REF!</definedName>
    <definedName name="나">#REF!</definedName>
    <definedName name="낙찰구분">[1]코드!$B$2:$B$5</definedName>
    <definedName name="네트워크장비구분">[2]코드표!$C$47:$C$51</definedName>
    <definedName name="ㄷㄷㄱ">#REF!</definedName>
    <definedName name="ㄷㄷㄷ">#REF!</definedName>
    <definedName name="다" localSheetId="1">#REF!</definedName>
    <definedName name="다">#REF!</definedName>
    <definedName name="단">#REF!</definedName>
    <definedName name="답변자">'[3]점검표(재분류)'!#REF!</definedName>
    <definedName name="더">#REF!</definedName>
    <definedName name="도덕">#REF!</definedName>
    <definedName name="도덕성">#REF!</definedName>
    <definedName name="도입형태">[2]코드표!$C$41:$C$44</definedName>
    <definedName name="동의여부">#REF!</definedName>
    <definedName name="등급">'[3]점검표(재분류)'!#REF!</definedName>
    <definedName name="라" localSheetId="1">#REF!</definedName>
    <definedName name="라">#REF!</definedName>
    <definedName name="라우터프로토콜">[4]공통코드!$Y$15:$Y$16</definedName>
    <definedName name="라이선스유형">[2]코드표!$C$137:$C$140</definedName>
    <definedName name="레이드타입">[2]코드표!$C$71:$C$75</definedName>
    <definedName name="ㅁㄹㄴㅇㅇㅇㅇㅇㅇㅇㅇㅇㅇㅇ">#REF!</definedName>
    <definedName name="ㅁㅁㅁㅁ">#REF!</definedName>
    <definedName name="무결성">#REF!</definedName>
    <definedName name="무상유지보수">[4]공통코드!$AC$15:$AC$16</definedName>
    <definedName name="바">#REF!</definedName>
    <definedName name="방법론">[1]코드!$E$35:$E$51</definedName>
    <definedName name="백업매체종류">[2]코드표!$C$76:$C$82</definedName>
    <definedName name="백업장비구분">[2]코드표!$C$83:$C$84</definedName>
    <definedName name="보안장비구분">[2]코드표!$C$60:$C$64</definedName>
    <definedName name="사업부">[1]코드!$J$2:$J$7</definedName>
    <definedName name="사용용도">[2]코드표!$C$4:$C$6</definedName>
    <definedName name="서버구분">[2]코드표!$C$29:$C$31</definedName>
    <definedName name="서버용도">[2]코드표!$C$19:$C$28</definedName>
    <definedName name="서버크기">[2]코드표!$C$34:$C$36</definedName>
    <definedName name="서버타입">[2]코드표!$C$17:$C$18</definedName>
    <definedName name="서비스영역">[1]코드!$K$2:$K$13</definedName>
    <definedName name="선택">[5]분류!$B$27:$B$28</definedName>
    <definedName name="설명">#REF!</definedName>
    <definedName name="설명2">#REF!</definedName>
    <definedName name="소프트웨어소분류">[2]코드표!$C$97:$C$136</definedName>
    <definedName name="소프트웨어중분류">[2]코드표!$C$91:$C$96</definedName>
    <definedName name="손익">#REF!</definedName>
    <definedName name="손익현황">#REF!</definedName>
    <definedName name="스토리지구분">[2]코드표!$C$69:$C$70</definedName>
    <definedName name="ㅇ">'[3]점검표(재분류)'!#REF!</definedName>
    <definedName name="ㅇㄴㄹ">#REF!</definedName>
    <definedName name="ㅇㄴㅁㄹ">#REF!</definedName>
    <definedName name="ㅇㄴㅇ">#REF!</definedName>
    <definedName name="ㅇㅇ">#REF!</definedName>
    <definedName name="ㅇㅇㅇ">#REF!</definedName>
    <definedName name="ㅇㅇㅇㅇㅇ">#REF!</definedName>
    <definedName name="안">#REF!</definedName>
    <definedName name="안녕">#REF!</definedName>
    <definedName name="안녕하세요">#REF!</definedName>
    <definedName name="업종">[1]코드!$D$2:$D$9</definedName>
    <definedName name="업종상세">[1]코드!$E$2:$E$32</definedName>
    <definedName name="영문">#REF!</definedName>
    <definedName name="영문명">#REF!</definedName>
    <definedName name="외장디스크여부">[2]코드표!$C$32:$C$33</definedName>
    <definedName name="원격접속가능여부">[2]코드표!$C$54:$C$55</definedName>
    <definedName name="원천">#REF!</definedName>
    <definedName name="위험조치_적용시기">'[6]위험조치계획 기준'!$B$17:$B$20</definedName>
    <definedName name="유지보수계약구분">[2]코드표!$C$85:$C$87</definedName>
    <definedName name="유지보수구분">[2]코드표!$C$45:$C$46</definedName>
    <definedName name="이력관리팀">" "</definedName>
    <definedName name="이중화여부">[2]코드표!$C$13:$C$14</definedName>
    <definedName name="인락">#REF!</definedName>
    <definedName name="인터페이스타입">[2]코드표!$C$65:$C$68</definedName>
    <definedName name="자산상태">[2]코드표!$C$7:$C$9</definedName>
    <definedName name="작업">#REF!</definedName>
    <definedName name="장착아이오">[2]코드표!$C$37:$C$40</definedName>
    <definedName name="적용사이트">[1]코드!$C$35:$C$38</definedName>
    <definedName name="적정성">#REF!</definedName>
    <definedName name="전략프로젝트">[1]코드!$G$2:$G$3</definedName>
    <definedName name="전원타입">[2]코드표!$C$56:$C$57</definedName>
    <definedName name="조치계획기준점수">'[6]위험조치계획 기준'!$B$7:$B$11</definedName>
    <definedName name="찾기">#REF!</definedName>
    <definedName name="쵀닌">#REF!</definedName>
    <definedName name="쵀성춘">#REF!</definedName>
    <definedName name="침입관리보안등급">[4]공통코드!$AI$2:$AI$6</definedName>
    <definedName name="콘솔타입">[2]코드표!$C$58:$C$59</definedName>
    <definedName name="ㅌㅌㅌ">#REF!</definedName>
    <definedName name="태세">#REF!</definedName>
    <definedName name="팀">[7]코드!$B$2:$B$5</definedName>
    <definedName name="파티션서버여부">[2]코드표!$C$10:$C$12</definedName>
    <definedName name="프로덕트유형">[1]코드!$B$35:$B$39</definedName>
    <definedName name="프로덕트타입">[1]코드!$A$35:$A$49</definedName>
    <definedName name="프로젝트단계">[1]코드!$F$2:$F$7</definedName>
    <definedName name="ㅏㅇ">#REF!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1" i="229" l="1"/>
  <c r="E25" i="305"/>
  <c r="E26" i="305"/>
  <c r="E27" i="305"/>
  <c r="E28" i="305"/>
  <c r="E29" i="305"/>
  <c r="E30" i="305"/>
  <c r="E31" i="305"/>
  <c r="E32" i="305"/>
  <c r="E33" i="305"/>
  <c r="E34" i="305"/>
  <c r="E35" i="305"/>
  <c r="E36" i="305"/>
  <c r="E37" i="305"/>
  <c r="E38" i="305"/>
  <c r="E39" i="305"/>
  <c r="E40" i="305"/>
  <c r="E41" i="305"/>
  <c r="E42" i="305"/>
  <c r="E43" i="305"/>
  <c r="E44" i="305"/>
  <c r="E45" i="305"/>
  <c r="E46" i="305"/>
  <c r="E47" i="305"/>
  <c r="E48" i="305"/>
  <c r="E49" i="305"/>
  <c r="E50" i="305"/>
  <c r="E51" i="305"/>
  <c r="E52" i="305"/>
  <c r="E53" i="305"/>
  <c r="E54" i="305"/>
  <c r="E55" i="305"/>
  <c r="E56" i="305"/>
  <c r="E57" i="305"/>
  <c r="E58" i="305"/>
  <c r="E59" i="305"/>
  <c r="E60" i="305"/>
  <c r="E61" i="305"/>
  <c r="E62" i="305"/>
  <c r="E63" i="305"/>
  <c r="E64" i="305"/>
  <c r="E65" i="305"/>
  <c r="E66" i="305"/>
  <c r="E67" i="305"/>
  <c r="E68" i="305"/>
  <c r="E69" i="305"/>
  <c r="E70" i="305"/>
  <c r="E71" i="305"/>
  <c r="E72" i="305"/>
  <c r="E73" i="305"/>
  <c r="E74" i="305"/>
  <c r="E75" i="305"/>
  <c r="E76" i="305"/>
  <c r="E77" i="305"/>
  <c r="E78" i="305"/>
  <c r="E79" i="305"/>
  <c r="E80" i="305"/>
  <c r="E81" i="305"/>
  <c r="E82" i="305"/>
  <c r="E83" i="305"/>
  <c r="E84" i="305"/>
  <c r="E85" i="305"/>
  <c r="E86" i="305"/>
  <c r="E87" i="305"/>
  <c r="E22" i="305"/>
  <c r="E23" i="305"/>
  <c r="E24" i="305"/>
  <c r="E21" i="305"/>
  <c r="J71" i="305"/>
  <c r="U52" i="265"/>
  <c r="V52" i="265" s="1"/>
  <c r="W52" i="265" l="1"/>
  <c r="X52" i="265" s="1"/>
  <c r="AC86" i="305" l="1"/>
  <c r="AC87" i="305"/>
  <c r="AC53" i="305"/>
  <c r="AC52" i="305"/>
  <c r="AC51" i="305"/>
  <c r="AC85" i="265"/>
  <c r="AC52" i="265"/>
  <c r="J22" i="305"/>
  <c r="J23" i="305"/>
  <c r="J24" i="305"/>
  <c r="J25" i="305"/>
  <c r="J26" i="305"/>
  <c r="J27" i="305"/>
  <c r="J28" i="305"/>
  <c r="J29" i="305"/>
  <c r="J30" i="305"/>
  <c r="J31" i="305"/>
  <c r="J32" i="305"/>
  <c r="J33" i="305"/>
  <c r="J34" i="305"/>
  <c r="J35" i="305"/>
  <c r="J36" i="305"/>
  <c r="J37" i="305"/>
  <c r="J38" i="305"/>
  <c r="J39" i="305"/>
  <c r="J40" i="305"/>
  <c r="J41" i="305"/>
  <c r="J42" i="305"/>
  <c r="J43" i="305"/>
  <c r="J44" i="305"/>
  <c r="J45" i="305"/>
  <c r="S45" i="305" s="1"/>
  <c r="T45" i="305" s="1"/>
  <c r="J46" i="305"/>
  <c r="J47" i="305"/>
  <c r="J48" i="305"/>
  <c r="J49" i="305"/>
  <c r="J50" i="305"/>
  <c r="J51" i="305"/>
  <c r="J52" i="305"/>
  <c r="S52" i="305" s="1"/>
  <c r="T52" i="305" s="1"/>
  <c r="J53" i="305"/>
  <c r="S53" i="305" s="1"/>
  <c r="T53" i="305" s="1"/>
  <c r="J54" i="305"/>
  <c r="J55" i="305"/>
  <c r="J56" i="305"/>
  <c r="J57" i="305"/>
  <c r="J58" i="305"/>
  <c r="J59" i="305"/>
  <c r="J60" i="305"/>
  <c r="J61" i="305"/>
  <c r="J62" i="305"/>
  <c r="J63" i="305"/>
  <c r="J64" i="305"/>
  <c r="J65" i="305"/>
  <c r="J66" i="305"/>
  <c r="S66" i="305" s="1"/>
  <c r="T66" i="305" s="1"/>
  <c r="J67" i="305"/>
  <c r="J68" i="305"/>
  <c r="J69" i="305"/>
  <c r="J70" i="305"/>
  <c r="J72" i="305"/>
  <c r="J73" i="305"/>
  <c r="J74" i="305"/>
  <c r="J75" i="305"/>
  <c r="J76" i="305"/>
  <c r="J77" i="305"/>
  <c r="J78" i="305"/>
  <c r="J79" i="305"/>
  <c r="J80" i="305"/>
  <c r="J81" i="305"/>
  <c r="J82" i="305"/>
  <c r="J83" i="305"/>
  <c r="S83" i="305" s="1"/>
  <c r="J84" i="305"/>
  <c r="J85" i="305"/>
  <c r="J86" i="305"/>
  <c r="S86" i="305" s="1"/>
  <c r="T86" i="305" s="1"/>
  <c r="J87" i="305"/>
  <c r="J21" i="305"/>
  <c r="J22" i="265"/>
  <c r="J23" i="265"/>
  <c r="J24" i="265"/>
  <c r="J25" i="265"/>
  <c r="J26" i="265"/>
  <c r="J27" i="265"/>
  <c r="J28" i="265"/>
  <c r="J29" i="265"/>
  <c r="J30" i="265"/>
  <c r="J31" i="265"/>
  <c r="J32" i="265"/>
  <c r="J33" i="265"/>
  <c r="J34" i="265"/>
  <c r="J35" i="265"/>
  <c r="J36" i="265"/>
  <c r="J37" i="265"/>
  <c r="J38" i="265"/>
  <c r="J39" i="265"/>
  <c r="J40" i="265"/>
  <c r="J41" i="265"/>
  <c r="J42" i="265"/>
  <c r="J43" i="265"/>
  <c r="J44" i="265"/>
  <c r="J45" i="265"/>
  <c r="J46" i="265"/>
  <c r="J47" i="265"/>
  <c r="J48" i="265"/>
  <c r="J49" i="265"/>
  <c r="J50" i="265"/>
  <c r="J51" i="265"/>
  <c r="J52" i="265"/>
  <c r="S52" i="265" s="1"/>
  <c r="T52" i="265" s="1"/>
  <c r="J53" i="265"/>
  <c r="J54" i="265"/>
  <c r="J55" i="265"/>
  <c r="J56" i="265"/>
  <c r="J57" i="265"/>
  <c r="J58" i="265"/>
  <c r="J59" i="265"/>
  <c r="J60" i="265"/>
  <c r="J61" i="265"/>
  <c r="J62" i="265"/>
  <c r="J63" i="265"/>
  <c r="J64" i="265"/>
  <c r="J65" i="265"/>
  <c r="J66" i="265"/>
  <c r="J67" i="265"/>
  <c r="J68" i="265"/>
  <c r="J69" i="265"/>
  <c r="J70" i="265"/>
  <c r="J71" i="265"/>
  <c r="J72" i="265"/>
  <c r="J73" i="265"/>
  <c r="J74" i="265"/>
  <c r="J75" i="265"/>
  <c r="J76" i="265"/>
  <c r="J77" i="265"/>
  <c r="J78" i="265"/>
  <c r="J79" i="265"/>
  <c r="J80" i="265"/>
  <c r="J81" i="265"/>
  <c r="J82" i="265"/>
  <c r="J83" i="265"/>
  <c r="J84" i="265"/>
  <c r="J85" i="265"/>
  <c r="S85" i="265" s="1"/>
  <c r="T85" i="265" s="1"/>
  <c r="J86" i="265"/>
  <c r="J87" i="265"/>
  <c r="L37" i="232"/>
  <c r="L71" i="232"/>
  <c r="K37" i="232" l="1"/>
  <c r="K71" i="232"/>
  <c r="H37" i="232"/>
  <c r="H71" i="232"/>
  <c r="G37" i="232"/>
  <c r="G71" i="232"/>
  <c r="P23" i="305" l="1"/>
  <c r="J7" i="227"/>
  <c r="F7" i="232"/>
  <c r="F8" i="232"/>
  <c r="F9" i="232"/>
  <c r="F10" i="232"/>
  <c r="F11" i="232"/>
  <c r="F12" i="232"/>
  <c r="F13" i="232"/>
  <c r="F14" i="232"/>
  <c r="F15" i="232"/>
  <c r="F16" i="232"/>
  <c r="F17" i="232"/>
  <c r="F18" i="232"/>
  <c r="F19" i="232"/>
  <c r="F20" i="232"/>
  <c r="F21" i="232"/>
  <c r="F22" i="232"/>
  <c r="F23" i="232"/>
  <c r="F24" i="232"/>
  <c r="F25" i="232"/>
  <c r="F26" i="232"/>
  <c r="F27" i="232"/>
  <c r="F28" i="232"/>
  <c r="F29" i="232"/>
  <c r="F30" i="232"/>
  <c r="F31" i="232"/>
  <c r="F32" i="232"/>
  <c r="F33" i="232"/>
  <c r="F34" i="232"/>
  <c r="F35" i="232"/>
  <c r="F36" i="232"/>
  <c r="F37" i="232"/>
  <c r="F38" i="232"/>
  <c r="F39" i="232"/>
  <c r="F40" i="232"/>
  <c r="F41" i="232"/>
  <c r="F42" i="232"/>
  <c r="F43" i="232"/>
  <c r="F44" i="232"/>
  <c r="F45" i="232"/>
  <c r="F46" i="232"/>
  <c r="F47" i="232"/>
  <c r="F48" i="232"/>
  <c r="F49" i="232"/>
  <c r="F50" i="232"/>
  <c r="F51" i="232"/>
  <c r="F52" i="232"/>
  <c r="F53" i="232"/>
  <c r="F54" i="232"/>
  <c r="F55" i="232"/>
  <c r="F56" i="232"/>
  <c r="F57" i="232"/>
  <c r="F58" i="232"/>
  <c r="F59" i="232"/>
  <c r="F60" i="232"/>
  <c r="F61" i="232"/>
  <c r="F62" i="232"/>
  <c r="F63" i="232"/>
  <c r="F64" i="232"/>
  <c r="F65" i="232"/>
  <c r="F66" i="232"/>
  <c r="F67" i="232"/>
  <c r="F68" i="232"/>
  <c r="F69" i="232"/>
  <c r="F70" i="232"/>
  <c r="F71" i="232"/>
  <c r="F72" i="232"/>
  <c r="F6" i="232"/>
  <c r="P22" i="305"/>
  <c r="P24" i="305"/>
  <c r="P25" i="305"/>
  <c r="P26" i="305"/>
  <c r="P27" i="305"/>
  <c r="P28" i="305"/>
  <c r="P29" i="305"/>
  <c r="P30" i="305"/>
  <c r="P31" i="305"/>
  <c r="P32" i="305"/>
  <c r="P33" i="305"/>
  <c r="P34" i="305"/>
  <c r="P35" i="305"/>
  <c r="P36" i="305"/>
  <c r="P37" i="305"/>
  <c r="P38" i="305"/>
  <c r="P39" i="305"/>
  <c r="P40" i="305"/>
  <c r="P41" i="305"/>
  <c r="P42" i="305"/>
  <c r="P43" i="305"/>
  <c r="P44" i="305"/>
  <c r="P45" i="305"/>
  <c r="P46" i="305"/>
  <c r="P47" i="305"/>
  <c r="P48" i="305"/>
  <c r="P49" i="305"/>
  <c r="P50" i="305"/>
  <c r="P51" i="305"/>
  <c r="P52" i="305"/>
  <c r="P53" i="305"/>
  <c r="P54" i="305"/>
  <c r="P55" i="305"/>
  <c r="P56" i="305"/>
  <c r="P57" i="305"/>
  <c r="P58" i="305"/>
  <c r="P59" i="305"/>
  <c r="P60" i="305"/>
  <c r="P61" i="305"/>
  <c r="P62" i="305"/>
  <c r="P63" i="305"/>
  <c r="P64" i="305"/>
  <c r="P65" i="305"/>
  <c r="P66" i="305"/>
  <c r="P67" i="305"/>
  <c r="P68" i="305"/>
  <c r="P69" i="305"/>
  <c r="P70" i="305"/>
  <c r="P71" i="305"/>
  <c r="P72" i="305"/>
  <c r="P73" i="305"/>
  <c r="P74" i="305"/>
  <c r="P75" i="305"/>
  <c r="P76" i="305"/>
  <c r="P77" i="305"/>
  <c r="P78" i="305"/>
  <c r="P79" i="305"/>
  <c r="P80" i="305"/>
  <c r="P81" i="305"/>
  <c r="P82" i="305"/>
  <c r="P83" i="305"/>
  <c r="P84" i="305"/>
  <c r="P85" i="305"/>
  <c r="P86" i="305"/>
  <c r="P87" i="305"/>
  <c r="P21" i="305"/>
  <c r="I37" i="232" l="1"/>
  <c r="I71" i="232"/>
  <c r="K85" i="265"/>
  <c r="N85" i="265" s="1"/>
  <c r="K52" i="265"/>
  <c r="N52" i="265" s="1"/>
  <c r="K86" i="305"/>
  <c r="N86" i="305" s="1"/>
  <c r="K84" i="265"/>
  <c r="J37" i="232"/>
  <c r="J71" i="232"/>
  <c r="K52" i="305"/>
  <c r="N52" i="305" s="1"/>
  <c r="K53" i="305"/>
  <c r="N53" i="305" s="1"/>
  <c r="P85" i="265" l="1"/>
  <c r="P86" i="265"/>
  <c r="P87" i="265"/>
  <c r="P84" i="265"/>
  <c r="P55" i="265"/>
  <c r="P56" i="265"/>
  <c r="P57" i="265"/>
  <c r="P58" i="265"/>
  <c r="P59" i="265"/>
  <c r="P60" i="265"/>
  <c r="P61" i="265"/>
  <c r="P62" i="265"/>
  <c r="P63" i="265"/>
  <c r="P64" i="265"/>
  <c r="P65" i="265"/>
  <c r="P66" i="265"/>
  <c r="P67" i="265"/>
  <c r="P68" i="265"/>
  <c r="P69" i="265"/>
  <c r="P70" i="265"/>
  <c r="P71" i="265"/>
  <c r="P72" i="265"/>
  <c r="P73" i="265"/>
  <c r="P74" i="265"/>
  <c r="P75" i="265"/>
  <c r="P76" i="265"/>
  <c r="P77" i="265"/>
  <c r="P78" i="265"/>
  <c r="P79" i="265"/>
  <c r="P80" i="265"/>
  <c r="P81" i="265"/>
  <c r="P82" i="265"/>
  <c r="P83" i="265"/>
  <c r="P54" i="265"/>
  <c r="P53" i="265"/>
  <c r="P35" i="265"/>
  <c r="P36" i="265"/>
  <c r="P37" i="265"/>
  <c r="P38" i="265"/>
  <c r="P39" i="265"/>
  <c r="P40" i="265"/>
  <c r="P41" i="265"/>
  <c r="P42" i="265"/>
  <c r="P43" i="265"/>
  <c r="P44" i="265"/>
  <c r="P45" i="265"/>
  <c r="P46" i="265"/>
  <c r="P47" i="265"/>
  <c r="P48" i="265"/>
  <c r="P49" i="265"/>
  <c r="P50" i="265"/>
  <c r="P51" i="265"/>
  <c r="P52" i="265"/>
  <c r="Q52" i="265"/>
  <c r="P34" i="265"/>
  <c r="P22" i="265"/>
  <c r="P23" i="265"/>
  <c r="P24" i="265"/>
  <c r="P25" i="265"/>
  <c r="P26" i="265"/>
  <c r="P27" i="265"/>
  <c r="P28" i="265"/>
  <c r="P29" i="265"/>
  <c r="P30" i="265"/>
  <c r="P31" i="265"/>
  <c r="P32" i="265"/>
  <c r="P33" i="265"/>
  <c r="P21" i="265"/>
  <c r="E52" i="265"/>
  <c r="E51" i="265"/>
  <c r="E50" i="265"/>
  <c r="E49" i="265"/>
  <c r="E48" i="265"/>
  <c r="E47" i="265"/>
  <c r="E46" i="265"/>
  <c r="E45" i="265"/>
  <c r="E44" i="265"/>
  <c r="E43" i="265"/>
  <c r="E42" i="265"/>
  <c r="E41" i="265"/>
  <c r="E40" i="265"/>
  <c r="E39" i="265"/>
  <c r="E38" i="265"/>
  <c r="E37" i="265"/>
  <c r="E36" i="265"/>
  <c r="E35" i="265"/>
  <c r="E34" i="265"/>
  <c r="E53" i="265"/>
  <c r="E33" i="265"/>
  <c r="E32" i="265"/>
  <c r="E31" i="265"/>
  <c r="E30" i="265"/>
  <c r="E29" i="265"/>
  <c r="E28" i="265"/>
  <c r="E27" i="265"/>
  <c r="E26" i="265"/>
  <c r="E25" i="265"/>
  <c r="E24" i="265"/>
  <c r="E23" i="265"/>
  <c r="E22" i="265"/>
  <c r="E21" i="265"/>
  <c r="AC83" i="305" l="1"/>
  <c r="AC47" i="305"/>
  <c r="AC44" i="305"/>
  <c r="AC40" i="305"/>
  <c r="AC38" i="305"/>
  <c r="AC29" i="305"/>
  <c r="AC28" i="305"/>
  <c r="AC23" i="305"/>
  <c r="K21" i="305" l="1"/>
  <c r="N21" i="305" s="1"/>
  <c r="K22" i="305"/>
  <c r="N22" i="305" s="1"/>
  <c r="K23" i="305"/>
  <c r="N23" i="305" s="1"/>
  <c r="K24" i="305"/>
  <c r="N24" i="305" s="1"/>
  <c r="K25" i="305"/>
  <c r="N25" i="305" s="1"/>
  <c r="K26" i="305"/>
  <c r="N26" i="305" s="1"/>
  <c r="K27" i="305"/>
  <c r="N27" i="305" s="1"/>
  <c r="K28" i="305"/>
  <c r="N28" i="305" s="1"/>
  <c r="K29" i="305"/>
  <c r="N29" i="305" s="1"/>
  <c r="K30" i="305"/>
  <c r="N30" i="305" s="1"/>
  <c r="K31" i="305"/>
  <c r="N31" i="305" s="1"/>
  <c r="K32" i="305"/>
  <c r="N32" i="305" s="1"/>
  <c r="K33" i="305"/>
  <c r="N33" i="305" s="1"/>
  <c r="K34" i="305"/>
  <c r="N34" i="305" s="1"/>
  <c r="K35" i="305"/>
  <c r="N35" i="305" s="1"/>
  <c r="K36" i="305"/>
  <c r="N36" i="305" s="1"/>
  <c r="K37" i="305"/>
  <c r="N37" i="305" s="1"/>
  <c r="K38" i="305"/>
  <c r="N38" i="305" s="1"/>
  <c r="K39" i="305"/>
  <c r="N39" i="305" s="1"/>
  <c r="K40" i="305"/>
  <c r="N40" i="305" s="1"/>
  <c r="K41" i="305"/>
  <c r="N41" i="305" s="1"/>
  <c r="K42" i="305"/>
  <c r="N42" i="305" s="1"/>
  <c r="K43" i="305"/>
  <c r="N43" i="305" s="1"/>
  <c r="K44" i="305"/>
  <c r="N44" i="305" s="1"/>
  <c r="K45" i="305"/>
  <c r="N45" i="305" s="1"/>
  <c r="K46" i="305"/>
  <c r="N46" i="305" s="1"/>
  <c r="K47" i="305"/>
  <c r="N47" i="305" s="1"/>
  <c r="K48" i="305"/>
  <c r="N48" i="305" s="1"/>
  <c r="K49" i="305"/>
  <c r="N49" i="305" s="1"/>
  <c r="K50" i="305"/>
  <c r="N50" i="305" s="1"/>
  <c r="K51" i="305"/>
  <c r="N51" i="305" s="1"/>
  <c r="K54" i="305"/>
  <c r="N54" i="305" s="1"/>
  <c r="K55" i="305"/>
  <c r="N55" i="305" s="1"/>
  <c r="K56" i="305"/>
  <c r="N56" i="305" s="1"/>
  <c r="K57" i="305"/>
  <c r="N57" i="305" s="1"/>
  <c r="K58" i="305"/>
  <c r="N58" i="305" s="1"/>
  <c r="K59" i="305"/>
  <c r="N59" i="305" s="1"/>
  <c r="K60" i="305"/>
  <c r="N60" i="305" s="1"/>
  <c r="K61" i="305"/>
  <c r="N61" i="305" s="1"/>
  <c r="K62" i="305"/>
  <c r="N62" i="305" s="1"/>
  <c r="K63" i="305"/>
  <c r="N63" i="305" s="1"/>
  <c r="K64" i="305"/>
  <c r="N64" i="305" s="1"/>
  <c r="K65" i="305"/>
  <c r="N65" i="305" s="1"/>
  <c r="K66" i="305"/>
  <c r="N66" i="305" s="1"/>
  <c r="K67" i="305"/>
  <c r="N67" i="305" s="1"/>
  <c r="K68" i="305"/>
  <c r="N68" i="305" s="1"/>
  <c r="K69" i="305"/>
  <c r="N69" i="305" s="1"/>
  <c r="K70" i="305"/>
  <c r="N70" i="305" s="1"/>
  <c r="K71" i="305"/>
  <c r="N71" i="305" s="1"/>
  <c r="K72" i="305"/>
  <c r="N72" i="305" s="1"/>
  <c r="K73" i="305"/>
  <c r="N73" i="305" s="1"/>
  <c r="K74" i="305"/>
  <c r="N74" i="305" s="1"/>
  <c r="K75" i="305"/>
  <c r="N75" i="305" s="1"/>
  <c r="K76" i="305"/>
  <c r="N76" i="305" s="1"/>
  <c r="K77" i="305"/>
  <c r="N77" i="305" s="1"/>
  <c r="K78" i="305"/>
  <c r="N78" i="305" s="1"/>
  <c r="K79" i="305"/>
  <c r="N79" i="305" s="1"/>
  <c r="K80" i="305"/>
  <c r="N80" i="305" s="1"/>
  <c r="K81" i="305"/>
  <c r="N81" i="305" s="1"/>
  <c r="K82" i="305"/>
  <c r="N82" i="305" s="1"/>
  <c r="K83" i="305"/>
  <c r="N83" i="305" s="1"/>
  <c r="K84" i="305"/>
  <c r="N84" i="305" s="1"/>
  <c r="K85" i="305"/>
  <c r="N85" i="305" s="1"/>
  <c r="K87" i="305"/>
  <c r="N87" i="305" s="1"/>
  <c r="L43" i="232"/>
  <c r="L12" i="232"/>
  <c r="L41" i="232"/>
  <c r="L63" i="232"/>
  <c r="L48" i="232"/>
  <c r="L21" i="232"/>
  <c r="L24" i="232"/>
  <c r="L23" i="232"/>
  <c r="L49" i="232"/>
  <c r="L8" i="232"/>
  <c r="L64" i="232"/>
  <c r="L53" i="232"/>
  <c r="L22" i="232"/>
  <c r="L9" i="232"/>
  <c r="L16" i="232"/>
  <c r="L17" i="232"/>
  <c r="L59" i="232"/>
  <c r="L35" i="232"/>
  <c r="L52" i="232"/>
  <c r="L55" i="232"/>
  <c r="L20" i="232"/>
  <c r="L67" i="232"/>
  <c r="L31" i="232"/>
  <c r="L40" i="232"/>
  <c r="L61" i="232"/>
  <c r="L68" i="232"/>
  <c r="L39" i="232"/>
  <c r="L46" i="232"/>
  <c r="L15" i="232"/>
  <c r="L29" i="232"/>
  <c r="L25" i="232"/>
  <c r="L13" i="232"/>
  <c r="L50" i="232"/>
  <c r="L33" i="232"/>
  <c r="L28" i="232"/>
  <c r="L38" i="232"/>
  <c r="L11" i="232"/>
  <c r="L27" i="232"/>
  <c r="L47" i="232"/>
  <c r="L42" i="232"/>
  <c r="L45" i="232"/>
  <c r="L72" i="232"/>
  <c r="L19" i="232"/>
  <c r="L30" i="232"/>
  <c r="L56" i="232"/>
  <c r="L57" i="232"/>
  <c r="L10" i="232"/>
  <c r="L34" i="232"/>
  <c r="L14" i="232"/>
  <c r="L54" i="232"/>
  <c r="L18" i="232"/>
  <c r="L36" i="232"/>
  <c r="L65" i="232"/>
  <c r="L32" i="232"/>
  <c r="L62" i="232"/>
  <c r="L44" i="232"/>
  <c r="L70" i="232"/>
  <c r="L26" i="232"/>
  <c r="L58" i="232"/>
  <c r="L66" i="232"/>
  <c r="L69" i="232"/>
  <c r="L51" i="232"/>
  <c r="L60" i="232"/>
  <c r="L7" i="232"/>
  <c r="L6" i="232"/>
  <c r="G6" i="232" l="1"/>
  <c r="I6" i="232" s="1"/>
  <c r="K15" i="232"/>
  <c r="K14" i="232"/>
  <c r="K13" i="232"/>
  <c r="K64" i="232"/>
  <c r="K30" i="232"/>
  <c r="K16" i="232"/>
  <c r="K38" i="232"/>
  <c r="K12" i="232"/>
  <c r="K51" i="232"/>
  <c r="K66" i="232"/>
  <c r="K23" i="232"/>
  <c r="K61" i="232"/>
  <c r="K27" i="232"/>
  <c r="K68" i="232"/>
  <c r="K52" i="232"/>
  <c r="K26" i="232"/>
  <c r="K47" i="232"/>
  <c r="K24" i="232"/>
  <c r="K58" i="232"/>
  <c r="K59" i="232"/>
  <c r="K35" i="232"/>
  <c r="K36" i="232"/>
  <c r="K41" i="232"/>
  <c r="K20" i="232"/>
  <c r="K54" i="232"/>
  <c r="K33" i="232"/>
  <c r="K21" i="232"/>
  <c r="K69" i="232"/>
  <c r="K67" i="232"/>
  <c r="K17" i="232"/>
  <c r="K55" i="232"/>
  <c r="K22" i="232"/>
  <c r="K34" i="232"/>
  <c r="K43" i="232"/>
  <c r="K56" i="232"/>
  <c r="K50" i="232"/>
  <c r="K18" i="232"/>
  <c r="K42" i="232"/>
  <c r="K46" i="232"/>
  <c r="K25" i="232"/>
  <c r="K49" i="232"/>
  <c r="K60" i="232"/>
  <c r="K53" i="232"/>
  <c r="K48" i="232"/>
  <c r="K32" i="232"/>
  <c r="K29" i="232"/>
  <c r="K44" i="232"/>
  <c r="K65" i="232"/>
  <c r="K72" i="232"/>
  <c r="K9" i="232"/>
  <c r="K8" i="232"/>
  <c r="K31" i="232"/>
  <c r="K11" i="232"/>
  <c r="K7" i="232"/>
  <c r="K70" i="232"/>
  <c r="K28" i="232"/>
  <c r="K39" i="232"/>
  <c r="K40" i="232"/>
  <c r="K10" i="232"/>
  <c r="K19" i="232"/>
  <c r="K45" i="232"/>
  <c r="K57" i="232"/>
  <c r="K62" i="232"/>
  <c r="K63" i="232"/>
  <c r="K6" i="232"/>
  <c r="H15" i="232"/>
  <c r="H14" i="232"/>
  <c r="H13" i="232"/>
  <c r="H64" i="232"/>
  <c r="H30" i="232"/>
  <c r="H16" i="232"/>
  <c r="H38" i="232"/>
  <c r="H12" i="232"/>
  <c r="H51" i="232"/>
  <c r="H66" i="232"/>
  <c r="H23" i="232"/>
  <c r="H61" i="232"/>
  <c r="H27" i="232"/>
  <c r="H68" i="232"/>
  <c r="H52" i="232"/>
  <c r="H26" i="232"/>
  <c r="H47" i="232"/>
  <c r="H24" i="232"/>
  <c r="H58" i="232"/>
  <c r="H59" i="232"/>
  <c r="H35" i="232"/>
  <c r="H36" i="232"/>
  <c r="H41" i="232"/>
  <c r="H20" i="232"/>
  <c r="H54" i="232"/>
  <c r="H33" i="232"/>
  <c r="H21" i="232"/>
  <c r="H69" i="232"/>
  <c r="H67" i="232"/>
  <c r="H17" i="232"/>
  <c r="H55" i="232"/>
  <c r="H22" i="232"/>
  <c r="H34" i="232"/>
  <c r="H43" i="232"/>
  <c r="H56" i="232"/>
  <c r="H50" i="232"/>
  <c r="H18" i="232"/>
  <c r="H42" i="232"/>
  <c r="H46" i="232"/>
  <c r="H25" i="232"/>
  <c r="H49" i="232"/>
  <c r="H60" i="232"/>
  <c r="H53" i="232"/>
  <c r="H48" i="232"/>
  <c r="H32" i="232"/>
  <c r="H29" i="232"/>
  <c r="H44" i="232"/>
  <c r="H65" i="232"/>
  <c r="H72" i="232"/>
  <c r="H9" i="232"/>
  <c r="H8" i="232"/>
  <c r="H31" i="232"/>
  <c r="H11" i="232"/>
  <c r="H7" i="232"/>
  <c r="H70" i="232"/>
  <c r="H28" i="232"/>
  <c r="H39" i="232"/>
  <c r="H40" i="232"/>
  <c r="H10" i="232"/>
  <c r="H19" i="232"/>
  <c r="H45" i="232"/>
  <c r="H57" i="232"/>
  <c r="H62" i="232"/>
  <c r="H63" i="232"/>
  <c r="H6" i="232"/>
  <c r="J6" i="232" s="1"/>
  <c r="G15" i="232"/>
  <c r="G14" i="232"/>
  <c r="G13" i="232"/>
  <c r="G64" i="232"/>
  <c r="G30" i="232"/>
  <c r="G16" i="232"/>
  <c r="G38" i="232"/>
  <c r="G12" i="232"/>
  <c r="G51" i="232"/>
  <c r="G66" i="232"/>
  <c r="G23" i="232"/>
  <c r="G61" i="232"/>
  <c r="G27" i="232"/>
  <c r="G68" i="232"/>
  <c r="G52" i="232"/>
  <c r="G26" i="232"/>
  <c r="G47" i="232"/>
  <c r="G24" i="232"/>
  <c r="G58" i="232"/>
  <c r="G59" i="232"/>
  <c r="G35" i="232"/>
  <c r="G36" i="232"/>
  <c r="G41" i="232"/>
  <c r="G20" i="232"/>
  <c r="G54" i="232"/>
  <c r="G33" i="232"/>
  <c r="G21" i="232"/>
  <c r="G69" i="232"/>
  <c r="G67" i="232"/>
  <c r="G17" i="232"/>
  <c r="G55" i="232"/>
  <c r="G22" i="232"/>
  <c r="G34" i="232"/>
  <c r="G43" i="232"/>
  <c r="G56" i="232"/>
  <c r="G50" i="232"/>
  <c r="G18" i="232"/>
  <c r="G42" i="232"/>
  <c r="G46" i="232"/>
  <c r="G25" i="232"/>
  <c r="G49" i="232"/>
  <c r="G60" i="232"/>
  <c r="G53" i="232"/>
  <c r="G48" i="232"/>
  <c r="G32" i="232"/>
  <c r="G29" i="232"/>
  <c r="G44" i="232"/>
  <c r="G65" i="232"/>
  <c r="G72" i="232"/>
  <c r="G9" i="232"/>
  <c r="G8" i="232"/>
  <c r="G31" i="232"/>
  <c r="G11" i="232"/>
  <c r="G7" i="232"/>
  <c r="G70" i="232"/>
  <c r="G28" i="232"/>
  <c r="G39" i="232"/>
  <c r="G40" i="232"/>
  <c r="G10" i="232"/>
  <c r="G19" i="232"/>
  <c r="G45" i="232"/>
  <c r="G57" i="232"/>
  <c r="G62" i="232"/>
  <c r="G63" i="232"/>
  <c r="L74" i="232" a="1"/>
  <c r="L74" i="232" s="1"/>
  <c r="L75" i="232"/>
  <c r="L76" i="232"/>
  <c r="L77" i="232"/>
  <c r="S87" i="305"/>
  <c r="T87" i="305" s="1"/>
  <c r="AC85" i="305"/>
  <c r="S85" i="305"/>
  <c r="T85" i="305" s="1"/>
  <c r="B85" i="305"/>
  <c r="AC84" i="305"/>
  <c r="S84" i="305"/>
  <c r="T84" i="305" s="1"/>
  <c r="B84" i="305"/>
  <c r="T83" i="305"/>
  <c r="AC82" i="305"/>
  <c r="S82" i="305"/>
  <c r="T82" i="305" s="1"/>
  <c r="AC81" i="305"/>
  <c r="S81" i="305"/>
  <c r="T81" i="305" s="1"/>
  <c r="AC80" i="305"/>
  <c r="S80" i="305"/>
  <c r="T80" i="305" s="1"/>
  <c r="AC79" i="305"/>
  <c r="S79" i="305"/>
  <c r="T79" i="305" s="1"/>
  <c r="AC78" i="305"/>
  <c r="S78" i="305"/>
  <c r="T78" i="305" s="1"/>
  <c r="AC77" i="305"/>
  <c r="S77" i="305"/>
  <c r="T77" i="305" s="1"/>
  <c r="AC76" i="305"/>
  <c r="S76" i="305"/>
  <c r="T76" i="305" s="1"/>
  <c r="AC75" i="305"/>
  <c r="S75" i="305"/>
  <c r="T75" i="305" s="1"/>
  <c r="AC74" i="305"/>
  <c r="S74" i="305"/>
  <c r="T74" i="305" s="1"/>
  <c r="AC73" i="305"/>
  <c r="S73" i="305"/>
  <c r="T73" i="305" s="1"/>
  <c r="AC72" i="305"/>
  <c r="S72" i="305"/>
  <c r="T72" i="305" s="1"/>
  <c r="AC71" i="305"/>
  <c r="S71" i="305"/>
  <c r="T71" i="305" s="1"/>
  <c r="AC70" i="305"/>
  <c r="S70" i="305"/>
  <c r="T70" i="305" s="1"/>
  <c r="AC69" i="305"/>
  <c r="S69" i="305"/>
  <c r="T69" i="305" s="1"/>
  <c r="AC68" i="305"/>
  <c r="S68" i="305"/>
  <c r="T68" i="305" s="1"/>
  <c r="AC67" i="305"/>
  <c r="S67" i="305"/>
  <c r="T67" i="305" s="1"/>
  <c r="AC66" i="305"/>
  <c r="AC65" i="305"/>
  <c r="S65" i="305"/>
  <c r="T65" i="305" s="1"/>
  <c r="AC64" i="305"/>
  <c r="S64" i="305"/>
  <c r="T64" i="305" s="1"/>
  <c r="AC63" i="305"/>
  <c r="S63" i="305"/>
  <c r="T63" i="305" s="1"/>
  <c r="AC62" i="305"/>
  <c r="S62" i="305"/>
  <c r="T62" i="305" s="1"/>
  <c r="AC61" i="305"/>
  <c r="S61" i="305"/>
  <c r="T61" i="305" s="1"/>
  <c r="AC60" i="305"/>
  <c r="S60" i="305"/>
  <c r="T60" i="305" s="1"/>
  <c r="AC59" i="305"/>
  <c r="S59" i="305"/>
  <c r="T59" i="305" s="1"/>
  <c r="AC58" i="305"/>
  <c r="S58" i="305"/>
  <c r="T58" i="305" s="1"/>
  <c r="S57" i="305"/>
  <c r="T57" i="305" s="1"/>
  <c r="AC56" i="305"/>
  <c r="S56" i="305"/>
  <c r="T56" i="305" s="1"/>
  <c r="AC55" i="305"/>
  <c r="S55" i="305"/>
  <c r="T55" i="305" s="1"/>
  <c r="AC54" i="305"/>
  <c r="S54" i="305"/>
  <c r="T54" i="305" s="1"/>
  <c r="B54" i="305"/>
  <c r="S51" i="305"/>
  <c r="T51" i="305" s="1"/>
  <c r="AC50" i="305"/>
  <c r="S50" i="305"/>
  <c r="T50" i="305" s="1"/>
  <c r="AC49" i="305"/>
  <c r="S49" i="305"/>
  <c r="T49" i="305" s="1"/>
  <c r="AC48" i="305"/>
  <c r="S48" i="305"/>
  <c r="T48" i="305" s="1"/>
  <c r="S47" i="305"/>
  <c r="T47" i="305" s="1"/>
  <c r="AC46" i="305"/>
  <c r="S46" i="305"/>
  <c r="T46" i="305" s="1"/>
  <c r="AC45" i="305"/>
  <c r="S44" i="305"/>
  <c r="T44" i="305" s="1"/>
  <c r="AC43" i="305"/>
  <c r="S43" i="305"/>
  <c r="T43" i="305" s="1"/>
  <c r="AC42" i="305"/>
  <c r="S42" i="305"/>
  <c r="T42" i="305" s="1"/>
  <c r="AC41" i="305"/>
  <c r="S41" i="305"/>
  <c r="T41" i="305" s="1"/>
  <c r="S40" i="305"/>
  <c r="T40" i="305" s="1"/>
  <c r="AC39" i="305"/>
  <c r="S39" i="305"/>
  <c r="T39" i="305" s="1"/>
  <c r="S38" i="305"/>
  <c r="T38" i="305" s="1"/>
  <c r="AC37" i="305"/>
  <c r="S37" i="305"/>
  <c r="T37" i="305" s="1"/>
  <c r="AC36" i="305"/>
  <c r="S36" i="305"/>
  <c r="T36" i="305" s="1"/>
  <c r="AC35" i="305"/>
  <c r="S35" i="305"/>
  <c r="T35" i="305" s="1"/>
  <c r="AC34" i="305"/>
  <c r="S34" i="305"/>
  <c r="T34" i="305" s="1"/>
  <c r="B34" i="305"/>
  <c r="AC33" i="305"/>
  <c r="S33" i="305"/>
  <c r="T33" i="305" s="1"/>
  <c r="AC32" i="305"/>
  <c r="S32" i="305"/>
  <c r="T32" i="305" s="1"/>
  <c r="AC31" i="305"/>
  <c r="S31" i="305"/>
  <c r="T31" i="305" s="1"/>
  <c r="AC30" i="305"/>
  <c r="S30" i="305"/>
  <c r="T30" i="305" s="1"/>
  <c r="S29" i="305"/>
  <c r="T29" i="305" s="1"/>
  <c r="S28" i="305"/>
  <c r="T28" i="305" s="1"/>
  <c r="AC27" i="305"/>
  <c r="S27" i="305"/>
  <c r="T27" i="305" s="1"/>
  <c r="AC26" i="305"/>
  <c r="S26" i="305"/>
  <c r="T26" i="305" s="1"/>
  <c r="AC25" i="305"/>
  <c r="S25" i="305"/>
  <c r="T25" i="305" s="1"/>
  <c r="AC24" i="305"/>
  <c r="S24" i="305"/>
  <c r="T24" i="305" s="1"/>
  <c r="S23" i="305"/>
  <c r="T23" i="305" s="1"/>
  <c r="AC22" i="305"/>
  <c r="S22" i="305"/>
  <c r="T22" i="305" s="1"/>
  <c r="AC21" i="305"/>
  <c r="S21" i="305"/>
  <c r="T21" i="305" s="1"/>
  <c r="B21" i="305"/>
  <c r="I10" i="305"/>
  <c r="U9" i="305" s="1"/>
  <c r="D4" i="305"/>
  <c r="H4" i="305" l="1"/>
  <c r="D5" i="305"/>
  <c r="H5" i="305"/>
  <c r="S9" i="305"/>
  <c r="D10" i="305"/>
  <c r="E10" i="305"/>
  <c r="F10" i="305"/>
  <c r="H73" i="232" l="1"/>
  <c r="AC87" i="265" l="1"/>
  <c r="AC86" i="265"/>
  <c r="AC84" i="265"/>
  <c r="AC83" i="265"/>
  <c r="AC82" i="265"/>
  <c r="AC81" i="265"/>
  <c r="AC80" i="265"/>
  <c r="AC79" i="265"/>
  <c r="AC78" i="265"/>
  <c r="AC77" i="265"/>
  <c r="AC76" i="265"/>
  <c r="AC75" i="265"/>
  <c r="AC74" i="265"/>
  <c r="AC73" i="265"/>
  <c r="AC72" i="265"/>
  <c r="AC71" i="265"/>
  <c r="AC70" i="265"/>
  <c r="AC69" i="265"/>
  <c r="AC68" i="265"/>
  <c r="AC67" i="265"/>
  <c r="AC66" i="265"/>
  <c r="AC65" i="265"/>
  <c r="AC64" i="265"/>
  <c r="AC63" i="265"/>
  <c r="AC62" i="265"/>
  <c r="AC61" i="265"/>
  <c r="AC60" i="265"/>
  <c r="AC59" i="265"/>
  <c r="AC58" i="265"/>
  <c r="AC57" i="265"/>
  <c r="AC56" i="265"/>
  <c r="AC55" i="265"/>
  <c r="AC54" i="265"/>
  <c r="AC53" i="265"/>
  <c r="AC51" i="265"/>
  <c r="AC50" i="265"/>
  <c r="AC49" i="265"/>
  <c r="AC48" i="265"/>
  <c r="AC47" i="265"/>
  <c r="AC46" i="265"/>
  <c r="AC45" i="265"/>
  <c r="AC44" i="265"/>
  <c r="AC43" i="265"/>
  <c r="AC42" i="265"/>
  <c r="AC41" i="265"/>
  <c r="AC40" i="265"/>
  <c r="AC39" i="265"/>
  <c r="AC38" i="265"/>
  <c r="AC37" i="265"/>
  <c r="AC36" i="265"/>
  <c r="AC35" i="265"/>
  <c r="AC34" i="265"/>
  <c r="AC33" i="265"/>
  <c r="AC32" i="265"/>
  <c r="AC31" i="265"/>
  <c r="AC30" i="265"/>
  <c r="AC29" i="265"/>
  <c r="AC28" i="265"/>
  <c r="AC27" i="265"/>
  <c r="AC26" i="265"/>
  <c r="AC25" i="265"/>
  <c r="AC24" i="265"/>
  <c r="AC23" i="265"/>
  <c r="AC21" i="265"/>
  <c r="AC22" i="265"/>
  <c r="S87" i="265" l="1"/>
  <c r="S86" i="265"/>
  <c r="B85" i="265"/>
  <c r="S84" i="265"/>
  <c r="E84" i="265"/>
  <c r="B84" i="265"/>
  <c r="S83" i="265"/>
  <c r="E83" i="265"/>
  <c r="S82" i="265"/>
  <c r="E82" i="265"/>
  <c r="S81" i="265"/>
  <c r="E81" i="265"/>
  <c r="S80" i="265"/>
  <c r="E80" i="265"/>
  <c r="S79" i="265"/>
  <c r="E79" i="265"/>
  <c r="S78" i="265"/>
  <c r="E78" i="265"/>
  <c r="S77" i="265"/>
  <c r="E77" i="265"/>
  <c r="S76" i="265"/>
  <c r="E76" i="265"/>
  <c r="S75" i="265"/>
  <c r="E75" i="265"/>
  <c r="S74" i="265"/>
  <c r="E74" i="265"/>
  <c r="S73" i="265"/>
  <c r="E73" i="265"/>
  <c r="S72" i="265"/>
  <c r="E72" i="265"/>
  <c r="S71" i="265"/>
  <c r="E71" i="265"/>
  <c r="S70" i="265"/>
  <c r="E70" i="265"/>
  <c r="S69" i="265"/>
  <c r="E69" i="265"/>
  <c r="S68" i="265"/>
  <c r="E68" i="265"/>
  <c r="S67" i="265"/>
  <c r="E67" i="265"/>
  <c r="S66" i="265"/>
  <c r="E66" i="265"/>
  <c r="S65" i="265"/>
  <c r="E65" i="265"/>
  <c r="S64" i="265"/>
  <c r="E64" i="265"/>
  <c r="S63" i="265"/>
  <c r="E63" i="265"/>
  <c r="S62" i="265"/>
  <c r="E62" i="265"/>
  <c r="S61" i="265"/>
  <c r="E61" i="265"/>
  <c r="S60" i="265"/>
  <c r="E60" i="265"/>
  <c r="S59" i="265"/>
  <c r="E59" i="265"/>
  <c r="S58" i="265"/>
  <c r="E58" i="265"/>
  <c r="S57" i="265"/>
  <c r="E57" i="265"/>
  <c r="S56" i="265"/>
  <c r="E56" i="265"/>
  <c r="S55" i="265"/>
  <c r="E55" i="265"/>
  <c r="S54" i="265"/>
  <c r="E54" i="265"/>
  <c r="B54" i="265"/>
  <c r="S53" i="265"/>
  <c r="S51" i="265"/>
  <c r="S50" i="265"/>
  <c r="S49" i="265"/>
  <c r="S48" i="265"/>
  <c r="S47" i="265"/>
  <c r="S46" i="265"/>
  <c r="S45" i="265"/>
  <c r="S44" i="265"/>
  <c r="S43" i="265"/>
  <c r="S42" i="265"/>
  <c r="S41" i="265"/>
  <c r="S40" i="265"/>
  <c r="S39" i="265"/>
  <c r="S38" i="265"/>
  <c r="S37" i="265"/>
  <c r="S36" i="265"/>
  <c r="S35" i="265"/>
  <c r="S34" i="265"/>
  <c r="B34" i="265"/>
  <c r="S33" i="265"/>
  <c r="S32" i="265"/>
  <c r="S31" i="265"/>
  <c r="S30" i="265"/>
  <c r="S29" i="265"/>
  <c r="S28" i="265"/>
  <c r="S27" i="265"/>
  <c r="S26" i="265"/>
  <c r="S25" i="265"/>
  <c r="S24" i="265"/>
  <c r="S23" i="265"/>
  <c r="S22" i="265"/>
  <c r="J21" i="265"/>
  <c r="S21" i="265" s="1"/>
  <c r="B21" i="265"/>
  <c r="I10" i="265"/>
  <c r="U9" i="265" s="1"/>
  <c r="D4" i="265"/>
  <c r="L4" i="232"/>
  <c r="D10" i="265" l="1"/>
  <c r="S9" i="265"/>
  <c r="E10" i="265"/>
  <c r="T22" i="265"/>
  <c r="K22" i="265"/>
  <c r="N22" i="265" s="1"/>
  <c r="K30" i="265"/>
  <c r="N30" i="265" s="1"/>
  <c r="T30" i="265"/>
  <c r="K36" i="265"/>
  <c r="N36" i="265" s="1"/>
  <c r="T36" i="265"/>
  <c r="K44" i="265"/>
  <c r="N44" i="265" s="1"/>
  <c r="T44" i="265"/>
  <c r="K53" i="265"/>
  <c r="N53" i="265" s="1"/>
  <c r="T53" i="265"/>
  <c r="T61" i="265"/>
  <c r="K61" i="265"/>
  <c r="N61" i="265" s="1"/>
  <c r="T69" i="265"/>
  <c r="K69" i="265"/>
  <c r="N69" i="265" s="1"/>
  <c r="K77" i="265"/>
  <c r="N77" i="265" s="1"/>
  <c r="T77" i="265"/>
  <c r="T29" i="265"/>
  <c r="K29" i="265"/>
  <c r="N29" i="265" s="1"/>
  <c r="T68" i="265"/>
  <c r="K68" i="265"/>
  <c r="N68" i="265" s="1"/>
  <c r="T23" i="265"/>
  <c r="K23" i="265"/>
  <c r="N23" i="265" s="1"/>
  <c r="T31" i="265"/>
  <c r="K31" i="265"/>
  <c r="N31" i="265" s="1"/>
  <c r="K37" i="265"/>
  <c r="N37" i="265" s="1"/>
  <c r="T37" i="265"/>
  <c r="T45" i="265"/>
  <c r="K45" i="265"/>
  <c r="N45" i="265" s="1"/>
  <c r="K54" i="265"/>
  <c r="N54" i="265" s="1"/>
  <c r="T54" i="265"/>
  <c r="K62" i="265"/>
  <c r="N62" i="265" s="1"/>
  <c r="T62" i="265"/>
  <c r="T70" i="265"/>
  <c r="K70" i="265"/>
  <c r="N70" i="265" s="1"/>
  <c r="T78" i="265"/>
  <c r="K78" i="265"/>
  <c r="N78" i="265" s="1"/>
  <c r="T43" i="265"/>
  <c r="K43" i="265"/>
  <c r="N43" i="265" s="1"/>
  <c r="K24" i="265"/>
  <c r="N24" i="265" s="1"/>
  <c r="T24" i="265"/>
  <c r="K32" i="265"/>
  <c r="N32" i="265" s="1"/>
  <c r="T32" i="265"/>
  <c r="K38" i="265"/>
  <c r="N38" i="265" s="1"/>
  <c r="T38" i="265"/>
  <c r="T46" i="265"/>
  <c r="K46" i="265"/>
  <c r="N46" i="265" s="1"/>
  <c r="T55" i="265"/>
  <c r="K55" i="265"/>
  <c r="N55" i="265" s="1"/>
  <c r="K63" i="265"/>
  <c r="N63" i="265" s="1"/>
  <c r="T63" i="265"/>
  <c r="T71" i="265"/>
  <c r="K71" i="265"/>
  <c r="N71" i="265" s="1"/>
  <c r="T79" i="265"/>
  <c r="K79" i="265"/>
  <c r="N79" i="265" s="1"/>
  <c r="K51" i="265"/>
  <c r="N51" i="265" s="1"/>
  <c r="T51" i="265"/>
  <c r="K25" i="265"/>
  <c r="N25" i="265" s="1"/>
  <c r="T25" i="265"/>
  <c r="T33" i="265"/>
  <c r="K33" i="265"/>
  <c r="N33" i="265" s="1"/>
  <c r="T39" i="265"/>
  <c r="K39" i="265"/>
  <c r="N39" i="265" s="1"/>
  <c r="T47" i="265"/>
  <c r="K47" i="265"/>
  <c r="N47" i="265" s="1"/>
  <c r="T56" i="265"/>
  <c r="K56" i="265"/>
  <c r="N56" i="265" s="1"/>
  <c r="K64" i="265"/>
  <c r="N64" i="265" s="1"/>
  <c r="T64" i="265"/>
  <c r="K72" i="265"/>
  <c r="N72" i="265" s="1"/>
  <c r="T72" i="265"/>
  <c r="K80" i="265"/>
  <c r="N80" i="265" s="1"/>
  <c r="T80" i="265"/>
  <c r="K35" i="265"/>
  <c r="N35" i="265" s="1"/>
  <c r="T35" i="265"/>
  <c r="T26" i="265"/>
  <c r="K26" i="265"/>
  <c r="N26" i="265" s="1"/>
  <c r="K40" i="265"/>
  <c r="N40" i="265" s="1"/>
  <c r="T40" i="265"/>
  <c r="T48" i="265"/>
  <c r="K48" i="265"/>
  <c r="N48" i="265" s="1"/>
  <c r="T57" i="265"/>
  <c r="K57" i="265"/>
  <c r="N57" i="265" s="1"/>
  <c r="T65" i="265"/>
  <c r="K65" i="265"/>
  <c r="N65" i="265" s="1"/>
  <c r="T73" i="265"/>
  <c r="K73" i="265"/>
  <c r="N73" i="265" s="1"/>
  <c r="K81" i="265"/>
  <c r="N81" i="265" s="1"/>
  <c r="T81" i="265"/>
  <c r="N84" i="265"/>
  <c r="T84" i="265"/>
  <c r="T60" i="265"/>
  <c r="K60" i="265"/>
  <c r="N60" i="265" s="1"/>
  <c r="T27" i="265"/>
  <c r="K27" i="265"/>
  <c r="N27" i="265" s="1"/>
  <c r="K41" i="265"/>
  <c r="N41" i="265" s="1"/>
  <c r="T41" i="265"/>
  <c r="T49" i="265"/>
  <c r="K49" i="265"/>
  <c r="N49" i="265" s="1"/>
  <c r="K58" i="265"/>
  <c r="N58" i="265" s="1"/>
  <c r="T58" i="265"/>
  <c r="T66" i="265"/>
  <c r="K66" i="265"/>
  <c r="N66" i="265" s="1"/>
  <c r="T74" i="265"/>
  <c r="K74" i="265"/>
  <c r="N74" i="265" s="1"/>
  <c r="T82" i="265"/>
  <c r="K82" i="265"/>
  <c r="N82" i="265" s="1"/>
  <c r="K86" i="265"/>
  <c r="N86" i="265" s="1"/>
  <c r="T86" i="265"/>
  <c r="K21" i="265"/>
  <c r="N21" i="265" s="1"/>
  <c r="T21" i="265"/>
  <c r="K76" i="265"/>
  <c r="N76" i="265" s="1"/>
  <c r="T76" i="265"/>
  <c r="T28" i="265"/>
  <c r="K28" i="265"/>
  <c r="N28" i="265" s="1"/>
  <c r="K34" i="265"/>
  <c r="N34" i="265" s="1"/>
  <c r="T34" i="265"/>
  <c r="T42" i="265"/>
  <c r="K42" i="265"/>
  <c r="N42" i="265" s="1"/>
  <c r="T50" i="265"/>
  <c r="K50" i="265"/>
  <c r="N50" i="265" s="1"/>
  <c r="K59" i="265"/>
  <c r="N59" i="265" s="1"/>
  <c r="T59" i="265"/>
  <c r="T67" i="265"/>
  <c r="K67" i="265"/>
  <c r="N67" i="265" s="1"/>
  <c r="T75" i="265"/>
  <c r="K75" i="265"/>
  <c r="N75" i="265" s="1"/>
  <c r="T83" i="265"/>
  <c r="K83" i="265"/>
  <c r="N83" i="265" s="1"/>
  <c r="T87" i="265"/>
  <c r="K87" i="265"/>
  <c r="N87" i="265" s="1"/>
  <c r="H4" i="265"/>
  <c r="D5" i="265"/>
  <c r="F10" i="265"/>
  <c r="H5" i="265"/>
  <c r="U66" i="265" l="1"/>
  <c r="U39" i="265"/>
  <c r="U71" i="265"/>
  <c r="U24" i="265"/>
  <c r="U64" i="265"/>
  <c r="U43" i="265"/>
  <c r="U37" i="265"/>
  <c r="U68" i="265"/>
  <c r="U69" i="265"/>
  <c r="U27" i="265"/>
  <c r="U73" i="265"/>
  <c r="U63" i="265"/>
  <c r="U70" i="265"/>
  <c r="U67" i="265"/>
  <c r="U44" i="265"/>
  <c r="U72" i="265"/>
  <c r="U41" i="265"/>
  <c r="U25" i="265"/>
  <c r="U29" i="265"/>
  <c r="U65" i="265"/>
  <c r="U40" i="265"/>
  <c r="U46" i="265"/>
  <c r="U60" i="265"/>
  <c r="U55" i="265"/>
  <c r="U51" i="265"/>
  <c r="U74" i="265"/>
  <c r="U59" i="265"/>
  <c r="U48" i="265"/>
  <c r="U58" i="265"/>
  <c r="U45" i="265"/>
  <c r="U30" i="265"/>
  <c r="U36" i="265"/>
  <c r="U50" i="265"/>
  <c r="U31" i="265"/>
  <c r="U47" i="265"/>
  <c r="U83" i="265"/>
  <c r="U81" i="265"/>
  <c r="U80" i="265"/>
  <c r="U79" i="265"/>
  <c r="U78" i="265"/>
  <c r="U77" i="265"/>
  <c r="U53" i="265"/>
  <c r="U76" i="265"/>
  <c r="U75" i="265"/>
  <c r="U61" i="265"/>
  <c r="U56" i="265"/>
  <c r="U33" i="265"/>
  <c r="V65" i="265" l="1"/>
  <c r="W65" i="265"/>
  <c r="Q65" i="265" s="1"/>
  <c r="W44" i="265"/>
  <c r="Q44" i="265" s="1"/>
  <c r="V44" i="265"/>
  <c r="W37" i="265"/>
  <c r="Q37" i="265" s="1"/>
  <c r="V37" i="265"/>
  <c r="V70" i="265"/>
  <c r="W70" i="265"/>
  <c r="Q70" i="265" s="1"/>
  <c r="W43" i="265"/>
  <c r="Q43" i="265" s="1"/>
  <c r="V43" i="265"/>
  <c r="V67" i="265"/>
  <c r="W67" i="265"/>
  <c r="Q67" i="265" s="1"/>
  <c r="V63" i="265"/>
  <c r="W63" i="265"/>
  <c r="Q63" i="265" s="1"/>
  <c r="W29" i="265"/>
  <c r="Q29" i="265" s="1"/>
  <c r="V29" i="265"/>
  <c r="V73" i="265"/>
  <c r="W73" i="265"/>
  <c r="Q73" i="265" s="1"/>
  <c r="W24" i="265"/>
  <c r="Q24" i="265" s="1"/>
  <c r="V24" i="265"/>
  <c r="W25" i="265"/>
  <c r="Q25" i="265" s="1"/>
  <c r="V25" i="265"/>
  <c r="W27" i="265"/>
  <c r="Q27" i="265" s="1"/>
  <c r="V27" i="265"/>
  <c r="W41" i="265"/>
  <c r="Q41" i="265" s="1"/>
  <c r="V41" i="265"/>
  <c r="V71" i="265"/>
  <c r="W71" i="265"/>
  <c r="Q71" i="265" s="1"/>
  <c r="V69" i="265"/>
  <c r="W69" i="265"/>
  <c r="Q69" i="265" s="1"/>
  <c r="V64" i="265"/>
  <c r="W64" i="265"/>
  <c r="Q64" i="265" s="1"/>
  <c r="W39" i="265"/>
  <c r="Q39" i="265" s="1"/>
  <c r="V39" i="265"/>
  <c r="W40" i="265"/>
  <c r="Q40" i="265" s="1"/>
  <c r="V40" i="265"/>
  <c r="V72" i="265"/>
  <c r="W72" i="265"/>
  <c r="Q72" i="265" s="1"/>
  <c r="V68" i="265"/>
  <c r="W68" i="265"/>
  <c r="Q68" i="265" s="1"/>
  <c r="V66" i="265"/>
  <c r="W66" i="265"/>
  <c r="Q66" i="265" s="1"/>
  <c r="V56" i="265"/>
  <c r="W56" i="265"/>
  <c r="Q56" i="265" s="1"/>
  <c r="V79" i="265"/>
  <c r="W79" i="265"/>
  <c r="Q79" i="265" s="1"/>
  <c r="W36" i="265"/>
  <c r="Q36" i="265" s="1"/>
  <c r="V36" i="265"/>
  <c r="W48" i="265"/>
  <c r="Q48" i="265" s="1"/>
  <c r="V48" i="265"/>
  <c r="V60" i="265"/>
  <c r="W60" i="265"/>
  <c r="Q60" i="265" s="1"/>
  <c r="V61" i="265"/>
  <c r="W61" i="265"/>
  <c r="Q61" i="265" s="1"/>
  <c r="V80" i="265"/>
  <c r="W80" i="265"/>
  <c r="Q80" i="265" s="1"/>
  <c r="W46" i="265"/>
  <c r="Q46" i="265" s="1"/>
  <c r="V46" i="265"/>
  <c r="V75" i="265"/>
  <c r="W75" i="265"/>
  <c r="Q75" i="265" s="1"/>
  <c r="V81" i="265"/>
  <c r="W81" i="265"/>
  <c r="Q81" i="265" s="1"/>
  <c r="W47" i="265"/>
  <c r="Q47" i="265" s="1"/>
  <c r="V47" i="265"/>
  <c r="W30" i="265"/>
  <c r="Q30" i="265" s="1"/>
  <c r="V30" i="265"/>
  <c r="V76" i="265"/>
  <c r="W76" i="265"/>
  <c r="Q76" i="265" s="1"/>
  <c r="V59" i="265"/>
  <c r="W59" i="265"/>
  <c r="Q59" i="265" s="1"/>
  <c r="V83" i="265"/>
  <c r="W83" i="265"/>
  <c r="Q83" i="265" s="1"/>
  <c r="W31" i="265"/>
  <c r="Q31" i="265" s="1"/>
  <c r="V31" i="265"/>
  <c r="V74" i="265"/>
  <c r="W74" i="265"/>
  <c r="Q74" i="265" s="1"/>
  <c r="W53" i="265"/>
  <c r="Q53" i="265" s="1"/>
  <c r="V53" i="265"/>
  <c r="W45" i="265"/>
  <c r="Q45" i="265" s="1"/>
  <c r="V45" i="265"/>
  <c r="W33" i="265"/>
  <c r="Q33" i="265" s="1"/>
  <c r="V33" i="265"/>
  <c r="V77" i="265"/>
  <c r="W77" i="265"/>
  <c r="Q77" i="265" s="1"/>
  <c r="W50" i="265"/>
  <c r="Q50" i="265" s="1"/>
  <c r="V50" i="265"/>
  <c r="W51" i="265"/>
  <c r="Q51" i="265" s="1"/>
  <c r="V51" i="265"/>
  <c r="V78" i="265"/>
  <c r="W78" i="265"/>
  <c r="Q78" i="265" s="1"/>
  <c r="V58" i="265"/>
  <c r="W58" i="265"/>
  <c r="Q58" i="265" s="1"/>
  <c r="V55" i="265"/>
  <c r="W55" i="265"/>
  <c r="Q55" i="265" s="1"/>
  <c r="X69" i="265" l="1"/>
  <c r="X25" i="265"/>
  <c r="X73" i="265"/>
  <c r="X70" i="265"/>
  <c r="X44" i="265"/>
  <c r="X40" i="265"/>
  <c r="X64" i="265"/>
  <c r="X27" i="265"/>
  <c r="X71" i="265"/>
  <c r="X63" i="265"/>
  <c r="X66" i="265"/>
  <c r="X72" i="265"/>
  <c r="X41" i="265"/>
  <c r="X67" i="265"/>
  <c r="X68" i="265"/>
  <c r="X65" i="265"/>
  <c r="X39" i="265"/>
  <c r="X24" i="265"/>
  <c r="X29" i="265"/>
  <c r="X43" i="265"/>
  <c r="X37" i="265"/>
  <c r="X55" i="265"/>
  <c r="X78" i="265"/>
  <c r="X51" i="265"/>
  <c r="X45" i="265"/>
  <c r="X74" i="265"/>
  <c r="X81" i="265"/>
  <c r="X60" i="265"/>
  <c r="X79" i="265"/>
  <c r="X58" i="265"/>
  <c r="X33" i="265"/>
  <c r="X75" i="265"/>
  <c r="X59" i="265"/>
  <c r="X76" i="265"/>
  <c r="X56" i="265"/>
  <c r="X50" i="265"/>
  <c r="X80" i="265"/>
  <c r="X48" i="265"/>
  <c r="X31" i="265"/>
  <c r="X30" i="265"/>
  <c r="X46" i="265"/>
  <c r="X53" i="265"/>
  <c r="X83" i="265"/>
  <c r="X61" i="265"/>
  <c r="X36" i="265"/>
  <c r="X77" i="265"/>
  <c r="X47" i="265"/>
  <c r="F73" i="232" l="1"/>
  <c r="H10" i="305" l="1"/>
  <c r="G10" i="305" s="1"/>
  <c r="U86" i="305" l="1"/>
  <c r="V86" i="305" s="1"/>
  <c r="U52" i="305"/>
  <c r="U53" i="305"/>
  <c r="W86" i="305"/>
  <c r="X86" i="305" s="1"/>
  <c r="U85" i="305"/>
  <c r="V85" i="305" s="1"/>
  <c r="U84" i="305"/>
  <c r="U83" i="305"/>
  <c r="U74" i="305"/>
  <c r="U66" i="305"/>
  <c r="U42" i="305"/>
  <c r="U40" i="305"/>
  <c r="U34" i="305"/>
  <c r="U33" i="305"/>
  <c r="U31" i="305"/>
  <c r="U25" i="305"/>
  <c r="U21" i="305"/>
  <c r="U82" i="305"/>
  <c r="U75" i="305"/>
  <c r="U67" i="305"/>
  <c r="U65" i="305"/>
  <c r="U57" i="305"/>
  <c r="U43" i="305"/>
  <c r="U41" i="305"/>
  <c r="U35" i="305"/>
  <c r="U32" i="305"/>
  <c r="U26" i="305"/>
  <c r="U24" i="305"/>
  <c r="U22" i="305"/>
  <c r="U61" i="305"/>
  <c r="U55" i="305"/>
  <c r="U87" i="305"/>
  <c r="U58" i="305"/>
  <c r="U46" i="305"/>
  <c r="U44" i="305"/>
  <c r="U36" i="305"/>
  <c r="U27" i="305"/>
  <c r="U63" i="305"/>
  <c r="U49" i="305"/>
  <c r="U64" i="305"/>
  <c r="U78" i="305"/>
  <c r="U76" i="305"/>
  <c r="U70" i="305"/>
  <c r="U68" i="305"/>
  <c r="U59" i="305"/>
  <c r="U47" i="305"/>
  <c r="U45" i="305"/>
  <c r="U23" i="305"/>
  <c r="U51" i="305"/>
  <c r="U30" i="305"/>
  <c r="U73" i="305"/>
  <c r="U79" i="305"/>
  <c r="U77" i="305"/>
  <c r="U71" i="305"/>
  <c r="U69" i="305"/>
  <c r="U37" i="305"/>
  <c r="U28" i="305"/>
  <c r="U80" i="305"/>
  <c r="U72" i="305"/>
  <c r="U62" i="305"/>
  <c r="U60" i="305"/>
  <c r="U54" i="305"/>
  <c r="U50" i="305"/>
  <c r="U48" i="305"/>
  <c r="U38" i="305"/>
  <c r="U29" i="305"/>
  <c r="U81" i="305"/>
  <c r="U39" i="305"/>
  <c r="U56" i="305"/>
  <c r="H10" i="265"/>
  <c r="G10" i="265" s="1"/>
  <c r="U35" i="265" s="1"/>
  <c r="U62" i="265"/>
  <c r="U38" i="265"/>
  <c r="U26" i="265"/>
  <c r="U32" i="265"/>
  <c r="U57" i="265"/>
  <c r="U82" i="265"/>
  <c r="U84" i="265"/>
  <c r="U42" i="265"/>
  <c r="U28" i="265"/>
  <c r="U23" i="265"/>
  <c r="U49" i="265"/>
  <c r="V53" i="305" l="1"/>
  <c r="W53" i="305"/>
  <c r="X53" i="305" s="1"/>
  <c r="W52" i="305"/>
  <c r="X52" i="305" s="1"/>
  <c r="V52" i="305"/>
  <c r="W35" i="265"/>
  <c r="V35" i="265"/>
  <c r="M93" i="305"/>
  <c r="M98" i="305"/>
  <c r="M95" i="305"/>
  <c r="M92" i="305"/>
  <c r="M97" i="305"/>
  <c r="M96" i="305"/>
  <c r="M94" i="305"/>
  <c r="U54" i="265"/>
  <c r="V54" i="265" s="1"/>
  <c r="U85" i="265"/>
  <c r="U22" i="265"/>
  <c r="V22" i="265" s="1"/>
  <c r="U34" i="265"/>
  <c r="U87" i="265"/>
  <c r="W87" i="265" s="1"/>
  <c r="U86" i="265"/>
  <c r="V86" i="265" s="1"/>
  <c r="U21" i="265"/>
  <c r="W85" i="305"/>
  <c r="Q85" i="305" s="1"/>
  <c r="W47" i="305"/>
  <c r="Q47" i="305" s="1"/>
  <c r="V47" i="305"/>
  <c r="W26" i="305"/>
  <c r="Q26" i="305" s="1"/>
  <c r="V26" i="305"/>
  <c r="V67" i="305"/>
  <c r="W67" i="305"/>
  <c r="Q67" i="305" s="1"/>
  <c r="W34" i="305"/>
  <c r="Q34" i="305" s="1"/>
  <c r="V34" i="305"/>
  <c r="V39" i="305"/>
  <c r="W39" i="305"/>
  <c r="Q39" i="305" s="1"/>
  <c r="W62" i="305"/>
  <c r="Q62" i="305" s="1"/>
  <c r="V62" i="305"/>
  <c r="W79" i="305"/>
  <c r="Q79" i="305" s="1"/>
  <c r="V79" i="305"/>
  <c r="V59" i="305"/>
  <c r="W59" i="305"/>
  <c r="Q59" i="305" s="1"/>
  <c r="W63" i="305"/>
  <c r="Q63" i="305" s="1"/>
  <c r="V63" i="305"/>
  <c r="W32" i="305"/>
  <c r="Q32" i="305" s="1"/>
  <c r="V32" i="305"/>
  <c r="V75" i="305"/>
  <c r="W75" i="305"/>
  <c r="Q75" i="305" s="1"/>
  <c r="W40" i="305"/>
  <c r="Q40" i="305" s="1"/>
  <c r="V40" i="305"/>
  <c r="V60" i="305"/>
  <c r="W60" i="305"/>
  <c r="Q60" i="305" s="1"/>
  <c r="V29" i="305"/>
  <c r="W29" i="305"/>
  <c r="Q29" i="305" s="1"/>
  <c r="W80" i="305"/>
  <c r="Q80" i="305" s="1"/>
  <c r="V80" i="305"/>
  <c r="V73" i="305"/>
  <c r="W73" i="305"/>
  <c r="Q73" i="305" s="1"/>
  <c r="W70" i="305"/>
  <c r="Q70" i="305" s="1"/>
  <c r="V70" i="305"/>
  <c r="W87" i="305"/>
  <c r="Q87" i="305" s="1"/>
  <c r="V87" i="305"/>
  <c r="W35" i="305"/>
  <c r="Q35" i="305" s="1"/>
  <c r="V35" i="305"/>
  <c r="V82" i="305"/>
  <c r="W82" i="305"/>
  <c r="Q82" i="305" s="1"/>
  <c r="V66" i="305"/>
  <c r="W66" i="305"/>
  <c r="Q66" i="305" s="1"/>
  <c r="W77" i="305"/>
  <c r="Q77" i="305" s="1"/>
  <c r="V77" i="305"/>
  <c r="W49" i="305"/>
  <c r="Q49" i="305" s="1"/>
  <c r="V49" i="305"/>
  <c r="W72" i="305"/>
  <c r="Q72" i="305" s="1"/>
  <c r="V72" i="305"/>
  <c r="V38" i="305"/>
  <c r="W38" i="305"/>
  <c r="Q38" i="305" s="1"/>
  <c r="W28" i="305"/>
  <c r="Q28" i="305" s="1"/>
  <c r="V28" i="305"/>
  <c r="V30" i="305"/>
  <c r="W30" i="305"/>
  <c r="Q30" i="305" s="1"/>
  <c r="V76" i="305"/>
  <c r="W76" i="305"/>
  <c r="Q76" i="305" s="1"/>
  <c r="V36" i="305"/>
  <c r="W36" i="305"/>
  <c r="Q36" i="305" s="1"/>
  <c r="W55" i="305"/>
  <c r="Q55" i="305" s="1"/>
  <c r="V55" i="305"/>
  <c r="W41" i="305"/>
  <c r="Q41" i="305" s="1"/>
  <c r="V41" i="305"/>
  <c r="W21" i="305"/>
  <c r="Q21" i="305" s="1"/>
  <c r="V21" i="305"/>
  <c r="V74" i="305"/>
  <c r="W74" i="305"/>
  <c r="Q74" i="305" s="1"/>
  <c r="W27" i="305"/>
  <c r="Q27" i="305" s="1"/>
  <c r="V27" i="305"/>
  <c r="W42" i="305"/>
  <c r="Q42" i="305" s="1"/>
  <c r="V42" i="305"/>
  <c r="W48" i="305"/>
  <c r="Q48" i="305" s="1"/>
  <c r="V48" i="305"/>
  <c r="V37" i="305"/>
  <c r="W37" i="305"/>
  <c r="Q37" i="305" s="1"/>
  <c r="W51" i="305"/>
  <c r="Q51" i="305" s="1"/>
  <c r="V51" i="305"/>
  <c r="W78" i="305"/>
  <c r="Q78" i="305" s="1"/>
  <c r="V78" i="305"/>
  <c r="W44" i="305"/>
  <c r="Q44" i="305" s="1"/>
  <c r="V44" i="305"/>
  <c r="W61" i="305"/>
  <c r="Q61" i="305" s="1"/>
  <c r="V61" i="305"/>
  <c r="V43" i="305"/>
  <c r="W43" i="305"/>
  <c r="Q43" i="305" s="1"/>
  <c r="W25" i="305"/>
  <c r="Q25" i="305" s="1"/>
  <c r="V25" i="305"/>
  <c r="W83" i="305"/>
  <c r="Q83" i="305" s="1"/>
  <c r="V83" i="305"/>
  <c r="W50" i="305"/>
  <c r="Q50" i="305" s="1"/>
  <c r="V50" i="305"/>
  <c r="W69" i="305"/>
  <c r="Q69" i="305" s="1"/>
  <c r="V69" i="305"/>
  <c r="W23" i="305"/>
  <c r="Q23" i="305" s="1"/>
  <c r="V23" i="305"/>
  <c r="V46" i="305"/>
  <c r="W46" i="305"/>
  <c r="Q46" i="305" s="1"/>
  <c r="V22" i="305"/>
  <c r="W22" i="305"/>
  <c r="Q22" i="305" s="1"/>
  <c r="V57" i="305"/>
  <c r="W57" i="305"/>
  <c r="Q57" i="305" s="1"/>
  <c r="V31" i="305"/>
  <c r="W31" i="305"/>
  <c r="Q31" i="305" s="1"/>
  <c r="W84" i="305"/>
  <c r="Q84" i="305" s="1"/>
  <c r="V84" i="305"/>
  <c r="W56" i="305"/>
  <c r="Q56" i="305" s="1"/>
  <c r="V56" i="305"/>
  <c r="V81" i="305"/>
  <c r="W81" i="305"/>
  <c r="Q81" i="305" s="1"/>
  <c r="W68" i="305"/>
  <c r="Q68" i="305" s="1"/>
  <c r="V68" i="305"/>
  <c r="W54" i="305"/>
  <c r="Q54" i="305" s="1"/>
  <c r="V54" i="305"/>
  <c r="V71" i="305"/>
  <c r="W71" i="305"/>
  <c r="Q71" i="305" s="1"/>
  <c r="V45" i="305"/>
  <c r="W45" i="305"/>
  <c r="Q45" i="305" s="1"/>
  <c r="W64" i="305"/>
  <c r="Q64" i="305" s="1"/>
  <c r="V64" i="305"/>
  <c r="V58" i="305"/>
  <c r="W58" i="305"/>
  <c r="Q58" i="305" s="1"/>
  <c r="W24" i="305"/>
  <c r="Q24" i="305" s="1"/>
  <c r="V24" i="305"/>
  <c r="W65" i="305"/>
  <c r="Q65" i="305" s="1"/>
  <c r="V65" i="305"/>
  <c r="W33" i="305"/>
  <c r="Q33" i="305" s="1"/>
  <c r="V33" i="305"/>
  <c r="V32" i="265"/>
  <c r="W32" i="265"/>
  <c r="Q32" i="265" s="1"/>
  <c r="W26" i="265"/>
  <c r="Q26" i="265" s="1"/>
  <c r="V26" i="265"/>
  <c r="W38" i="265"/>
  <c r="Q38" i="265" s="1"/>
  <c r="V38" i="265"/>
  <c r="V62" i="265"/>
  <c r="W62" i="265"/>
  <c r="Q62" i="265" s="1"/>
  <c r="W28" i="265"/>
  <c r="Q28" i="265" s="1"/>
  <c r="V28" i="265"/>
  <c r="W42" i="265"/>
  <c r="Q42" i="265" s="1"/>
  <c r="V42" i="265"/>
  <c r="W84" i="265"/>
  <c r="Q84" i="265" s="1"/>
  <c r="V84" i="265"/>
  <c r="W49" i="265"/>
  <c r="Q49" i="265" s="1"/>
  <c r="V49" i="265"/>
  <c r="V82" i="265"/>
  <c r="W82" i="265"/>
  <c r="Q82" i="265" s="1"/>
  <c r="V23" i="265"/>
  <c r="W23" i="265"/>
  <c r="Q23" i="265" s="1"/>
  <c r="V57" i="265"/>
  <c r="W57" i="265"/>
  <c r="Q57" i="265" s="1"/>
  <c r="W22" i="265" l="1"/>
  <c r="Q22" i="265" s="1"/>
  <c r="Q35" i="265"/>
  <c r="X35" i="265"/>
  <c r="M98" i="265"/>
  <c r="W54" i="265"/>
  <c r="Q54" i="265" s="1"/>
  <c r="W85" i="265"/>
  <c r="V85" i="265"/>
  <c r="W34" i="265"/>
  <c r="V34" i="265"/>
  <c r="W86" i="265"/>
  <c r="Q86" i="265" s="1"/>
  <c r="V87" i="265"/>
  <c r="M97" i="265"/>
  <c r="M92" i="265"/>
  <c r="M95" i="265"/>
  <c r="M94" i="265"/>
  <c r="M96" i="265"/>
  <c r="M93" i="265"/>
  <c r="Q87" i="265"/>
  <c r="X87" i="265"/>
  <c r="V21" i="265"/>
  <c r="W21" i="265"/>
  <c r="Q21" i="265" s="1"/>
  <c r="S10" i="305"/>
  <c r="X85" i="305"/>
  <c r="U10" i="305"/>
  <c r="X24" i="305"/>
  <c r="X81" i="305"/>
  <c r="X57" i="305"/>
  <c r="X83" i="305"/>
  <c r="X44" i="305"/>
  <c r="X48" i="305"/>
  <c r="X76" i="305"/>
  <c r="X66" i="305"/>
  <c r="X79" i="305"/>
  <c r="X67" i="305"/>
  <c r="X54" i="305"/>
  <c r="X22" i="305"/>
  <c r="X25" i="305"/>
  <c r="X78" i="305"/>
  <c r="X30" i="305"/>
  <c r="X60" i="305"/>
  <c r="X71" i="305"/>
  <c r="X58" i="305"/>
  <c r="X23" i="305"/>
  <c r="X21" i="305"/>
  <c r="X29" i="305"/>
  <c r="X32" i="305"/>
  <c r="X62" i="305"/>
  <c r="X68" i="305"/>
  <c r="X77" i="305"/>
  <c r="X87" i="305"/>
  <c r="X80" i="305"/>
  <c r="X34" i="305"/>
  <c r="X56" i="305"/>
  <c r="X69" i="305"/>
  <c r="X43" i="305"/>
  <c r="X42" i="305"/>
  <c r="X41" i="305"/>
  <c r="X82" i="305"/>
  <c r="X33" i="305"/>
  <c r="X64" i="305"/>
  <c r="X46" i="305"/>
  <c r="X51" i="305"/>
  <c r="X72" i="305"/>
  <c r="X70" i="305"/>
  <c r="X39" i="305"/>
  <c r="X26" i="305"/>
  <c r="X65" i="305"/>
  <c r="X31" i="305"/>
  <c r="X45" i="305"/>
  <c r="X84" i="305"/>
  <c r="X50" i="305"/>
  <c r="X37" i="305"/>
  <c r="X27" i="305"/>
  <c r="X55" i="305"/>
  <c r="X28" i="305"/>
  <c r="X73" i="305"/>
  <c r="X40" i="305"/>
  <c r="X63" i="305"/>
  <c r="X61" i="305"/>
  <c r="X74" i="305"/>
  <c r="X36" i="305"/>
  <c r="X38" i="305"/>
  <c r="X49" i="305"/>
  <c r="X35" i="305"/>
  <c r="X75" i="305"/>
  <c r="X59" i="305"/>
  <c r="X47" i="305"/>
  <c r="X42" i="265"/>
  <c r="X28" i="265"/>
  <c r="X38" i="265"/>
  <c r="X57" i="265"/>
  <c r="X84" i="265"/>
  <c r="X82" i="265"/>
  <c r="X49" i="265"/>
  <c r="X23" i="265"/>
  <c r="X26" i="265"/>
  <c r="X62" i="265"/>
  <c r="X32" i="265"/>
  <c r="L87" i="232"/>
  <c r="L83" i="232"/>
  <c r="L85" i="232"/>
  <c r="L84" i="232"/>
  <c r="L82" i="232"/>
  <c r="L81" i="232"/>
  <c r="L86" i="232"/>
  <c r="X22" i="265" l="1"/>
  <c r="K87" i="232"/>
  <c r="X54" i="265"/>
  <c r="X85" i="265"/>
  <c r="Q85" i="265"/>
  <c r="Q34" i="265"/>
  <c r="X34" i="265"/>
  <c r="X86" i="265"/>
  <c r="U10" i="265"/>
  <c r="S10" i="265"/>
  <c r="K81" i="232"/>
  <c r="K86" i="232"/>
  <c r="K85" i="232"/>
  <c r="K82" i="232"/>
  <c r="K83" i="232"/>
  <c r="K84" i="232"/>
  <c r="X21" i="265"/>
  <c r="B6" i="229"/>
  <c r="B10" i="229"/>
  <c r="B9" i="229"/>
  <c r="B8" i="229"/>
  <c r="B7" i="229"/>
  <c r="L80" i="232" l="1"/>
  <c r="J32" i="232"/>
  <c r="I32" i="232"/>
  <c r="I66" i="232"/>
  <c r="J66" i="232"/>
  <c r="I46" i="232"/>
  <c r="J46" i="232"/>
  <c r="I20" i="232"/>
  <c r="J20" i="232"/>
  <c r="J72" i="232"/>
  <c r="I72" i="232"/>
  <c r="J18" i="232"/>
  <c r="I18" i="232"/>
  <c r="I69" i="232"/>
  <c r="J69" i="232"/>
  <c r="I11" i="232"/>
  <c r="J11" i="232"/>
  <c r="I48" i="232"/>
  <c r="J48" i="232"/>
  <c r="I9" i="232"/>
  <c r="J9" i="232"/>
  <c r="I51" i="232"/>
  <c r="J51" i="232"/>
  <c r="I7" i="232"/>
  <c r="J7" i="232"/>
  <c r="J41" i="232"/>
  <c r="I41" i="232"/>
  <c r="I26" i="232"/>
  <c r="J26" i="232"/>
  <c r="I64" i="232"/>
  <c r="J64" i="232"/>
  <c r="I47" i="232"/>
  <c r="J47" i="232"/>
  <c r="I42" i="232"/>
  <c r="J42" i="232"/>
  <c r="I25" i="232"/>
  <c r="J25" i="232"/>
  <c r="J60" i="232"/>
  <c r="I60" i="232"/>
  <c r="I68" i="232"/>
  <c r="J68" i="232"/>
  <c r="J27" i="232"/>
  <c r="I27" i="232"/>
  <c r="I12" i="232"/>
  <c r="J12" i="232"/>
  <c r="I43" i="232"/>
  <c r="J43" i="232"/>
  <c r="I15" i="232"/>
  <c r="J15" i="232"/>
  <c r="I55" i="232"/>
  <c r="J55" i="232"/>
  <c r="I40" i="232"/>
  <c r="J40" i="232"/>
  <c r="I17" i="232"/>
  <c r="J17" i="232"/>
  <c r="J35" i="232"/>
  <c r="I35" i="232"/>
  <c r="I59" i="232"/>
  <c r="J59" i="232"/>
  <c r="I67" i="232"/>
  <c r="J67" i="232"/>
  <c r="J44" i="232"/>
  <c r="I44" i="232"/>
  <c r="I21" i="232"/>
  <c r="J21" i="232"/>
  <c r="I56" i="232"/>
  <c r="J56" i="232"/>
  <c r="I19" i="232"/>
  <c r="J19" i="232"/>
  <c r="I53" i="232"/>
  <c r="J53" i="232"/>
  <c r="I36" i="232"/>
  <c r="J36" i="232"/>
  <c r="I45" i="232"/>
  <c r="J45" i="232"/>
  <c r="J10" i="232"/>
  <c r="I10" i="232"/>
  <c r="I31" i="232"/>
  <c r="J31" i="232"/>
  <c r="I23" i="232"/>
  <c r="J23" i="232"/>
  <c r="I29" i="232"/>
  <c r="J29" i="232"/>
  <c r="I39" i="232"/>
  <c r="J39" i="232"/>
  <c r="I34" i="232"/>
  <c r="J34" i="232"/>
  <c r="I70" i="232"/>
  <c r="J70" i="232"/>
  <c r="I63" i="232"/>
  <c r="J63" i="232"/>
  <c r="J52" i="232"/>
  <c r="I52" i="232"/>
  <c r="I33" i="232"/>
  <c r="J33" i="232"/>
  <c r="I14" i="232"/>
  <c r="J14" i="232"/>
  <c r="I16" i="232"/>
  <c r="J16" i="232"/>
  <c r="I50" i="232"/>
  <c r="J50" i="232"/>
  <c r="I62" i="232"/>
  <c r="J62" i="232"/>
  <c r="I30" i="232"/>
  <c r="J30" i="232"/>
  <c r="J61" i="232"/>
  <c r="I61" i="232"/>
  <c r="J24" i="232"/>
  <c r="I24" i="232"/>
  <c r="I28" i="232"/>
  <c r="J28" i="232"/>
  <c r="I38" i="232"/>
  <c r="J38" i="232"/>
  <c r="I22" i="232"/>
  <c r="J22" i="232"/>
  <c r="J65" i="232"/>
  <c r="I65" i="232"/>
  <c r="I54" i="232"/>
  <c r="J54" i="232"/>
  <c r="J49" i="232"/>
  <c r="I49" i="232"/>
  <c r="I58" i="232"/>
  <c r="J58" i="232"/>
  <c r="I8" i="232"/>
  <c r="J8" i="232"/>
  <c r="J57" i="232"/>
  <c r="I57" i="232"/>
  <c r="J13" i="232"/>
  <c r="I13" i="232"/>
  <c r="K77" i="232"/>
  <c r="K76" i="232"/>
  <c r="K75" i="232"/>
  <c r="L73" i="232" a="1"/>
  <c r="L73" i="232" s="1"/>
  <c r="G6" i="229" l="1"/>
  <c r="H6" i="229"/>
  <c r="I31" i="229"/>
  <c r="J31" i="229"/>
  <c r="G31" i="229"/>
  <c r="H31" i="229"/>
  <c r="E31" i="229"/>
  <c r="F31" i="229"/>
  <c r="D31" i="229"/>
  <c r="F9" i="229"/>
  <c r="E9" i="229"/>
  <c r="F7" i="229"/>
  <c r="F8" i="229"/>
  <c r="F6" i="229"/>
  <c r="E7" i="229"/>
  <c r="F10" i="229"/>
  <c r="E8" i="229"/>
  <c r="E10" i="229"/>
  <c r="G32" i="229" l="1"/>
  <c r="E32" i="229"/>
  <c r="J32" i="229"/>
  <c r="I32" i="229"/>
  <c r="K31" i="229"/>
  <c r="H32" i="229"/>
  <c r="F32" i="229"/>
  <c r="D32" i="229"/>
  <c r="H10" i="229"/>
  <c r="H7" i="229"/>
  <c r="H9" i="229"/>
  <c r="H8" i="229"/>
  <c r="K32" i="229" l="1"/>
  <c r="D10" i="229"/>
  <c r="D9" i="229"/>
  <c r="D7" i="229" l="1"/>
  <c r="G10" i="229" l="1"/>
  <c r="G9" i="229"/>
  <c r="I33" i="229" l="1"/>
  <c r="I34" i="229" s="1"/>
  <c r="H33" i="229"/>
  <c r="H34" i="229" s="1"/>
  <c r="J33" i="229"/>
  <c r="J34" i="229" s="1"/>
  <c r="E33" i="229"/>
  <c r="E34" i="229" s="1"/>
  <c r="D33" i="229"/>
  <c r="G33" i="229"/>
  <c r="G34" i="229" s="1"/>
  <c r="F33" i="229"/>
  <c r="F34" i="229" s="1"/>
  <c r="G7" i="229"/>
  <c r="D34" i="229" l="1"/>
  <c r="K34" i="229" s="1"/>
  <c r="K33" i="229"/>
  <c r="I10" i="229"/>
  <c r="I9" i="229"/>
  <c r="I7" i="229" l="1"/>
  <c r="D8" i="229"/>
  <c r="G8" i="229" l="1"/>
  <c r="I8" i="229" s="1"/>
  <c r="K73" i="232" l="1"/>
  <c r="E6" i="229"/>
  <c r="E11" i="229" s="1"/>
  <c r="J73" i="232" l="1"/>
  <c r="H11" i="229"/>
  <c r="G73" i="232"/>
  <c r="D6" i="229"/>
  <c r="D11" i="229" s="1"/>
  <c r="I73" i="232" l="1"/>
  <c r="F11" i="229"/>
  <c r="I6" i="229" l="1"/>
  <c r="G11" i="229"/>
  <c r="I11" i="229" s="1"/>
</calcChain>
</file>

<file path=xl/sharedStrings.xml><?xml version="1.0" encoding="utf-8"?>
<sst xmlns="http://schemas.openxmlformats.org/spreadsheetml/2006/main" count="1687" uniqueCount="578">
  <si>
    <t>구분</t>
  </si>
  <si>
    <t>중요도</t>
    <phoneticPr fontId="7" type="noConversion"/>
  </si>
  <si>
    <t>구분</t>
    <phoneticPr fontId="7" type="noConversion"/>
  </si>
  <si>
    <t>상</t>
  </si>
  <si>
    <t>Host 명</t>
  </si>
  <si>
    <t>중요도 점수</t>
  </si>
  <si>
    <t>전체점수</t>
  </si>
  <si>
    <t>평가점수</t>
  </si>
  <si>
    <t>보안수준</t>
  </si>
  <si>
    <t>계</t>
  </si>
  <si>
    <t>전체항목 합계</t>
    <phoneticPr fontId="7" type="noConversion"/>
  </si>
  <si>
    <t>중</t>
  </si>
  <si>
    <t>하</t>
  </si>
  <si>
    <t>N/A</t>
    <phoneticPr fontId="7" type="noConversion"/>
  </si>
  <si>
    <t>No</t>
    <phoneticPr fontId="7" type="noConversion"/>
  </si>
  <si>
    <t>자산정보</t>
    <phoneticPr fontId="7" type="noConversion"/>
  </si>
  <si>
    <t>비고</t>
    <phoneticPr fontId="7" type="noConversion"/>
  </si>
  <si>
    <t>HostName</t>
    <phoneticPr fontId="7" type="noConversion"/>
  </si>
  <si>
    <t>O/S</t>
    <phoneticPr fontId="7" type="noConversion"/>
  </si>
  <si>
    <t xml:space="preserve"> IP</t>
    <phoneticPr fontId="7" type="noConversion"/>
  </si>
  <si>
    <t>용도</t>
    <phoneticPr fontId="7" type="noConversion"/>
  </si>
  <si>
    <t>구분</t>
    <phoneticPr fontId="7" type="noConversion"/>
  </si>
  <si>
    <t>중요도</t>
    <phoneticPr fontId="7" type="noConversion"/>
  </si>
  <si>
    <t>점수</t>
    <phoneticPr fontId="7" type="noConversion"/>
  </si>
  <si>
    <t>분류</t>
    <phoneticPr fontId="7" type="noConversion"/>
  </si>
  <si>
    <t>항목코드</t>
    <phoneticPr fontId="7" type="noConversion"/>
  </si>
  <si>
    <t>Host Name</t>
    <phoneticPr fontId="31" type="noConversion"/>
  </si>
  <si>
    <t>IP Address</t>
    <phoneticPr fontId="31" type="noConversion"/>
  </si>
  <si>
    <t>O/S</t>
    <phoneticPr fontId="31" type="noConversion"/>
  </si>
  <si>
    <t>용도</t>
    <phoneticPr fontId="31" type="noConversion"/>
  </si>
  <si>
    <t>평가</t>
    <phoneticPr fontId="31" type="noConversion"/>
  </si>
  <si>
    <t>• 모든 취약점이 식별 되었을 경우의 점수 합 : A</t>
  </si>
  <si>
    <t>• 식별된 취약점들의 점수의 점수 합 : B</t>
  </si>
  <si>
    <t xml:space="preserve">• 계산식 : </t>
  </si>
  <si>
    <t>• 자산의 수 : N</t>
  </si>
  <si>
    <t>• 자산별 점수 : S1, S2, …, SN</t>
  </si>
  <si>
    <t>점검 항목</t>
  </si>
  <si>
    <t>불필요한 계정 제거</t>
  </si>
  <si>
    <t>DNS Zone Transfer 설정</t>
  </si>
  <si>
    <t>정책에 따른 시스템 로깅 설정</t>
  </si>
  <si>
    <r>
      <rPr>
        <b/>
        <sz val="12"/>
        <color indexed="60"/>
        <rFont val="맑은 고딕"/>
        <family val="3"/>
        <charset val="129"/>
      </rPr>
      <t>▣</t>
    </r>
    <r>
      <rPr>
        <b/>
        <sz val="12"/>
        <color indexed="8"/>
        <rFont val="맑은 고딕"/>
        <family val="3"/>
        <charset val="129"/>
      </rPr>
      <t xml:space="preserve"> </t>
    </r>
    <r>
      <rPr>
        <b/>
        <u/>
        <sz val="12"/>
        <color indexed="8"/>
        <rFont val="맑은 고딕"/>
        <family val="3"/>
        <charset val="129"/>
      </rPr>
      <t>상세 점검 현황</t>
    </r>
    <phoneticPr fontId="31" type="noConversion"/>
  </si>
  <si>
    <t>U-01</t>
  </si>
  <si>
    <t>U-02</t>
  </si>
  <si>
    <t>U-03</t>
  </si>
  <si>
    <t>U-04</t>
  </si>
  <si>
    <t>U-06</t>
  </si>
  <si>
    <t>U-07</t>
  </si>
  <si>
    <t>U-08</t>
  </si>
  <si>
    <t>U-09</t>
  </si>
  <si>
    <t>U-10</t>
  </si>
  <si>
    <t>U-11</t>
  </si>
  <si>
    <t>관리자 그룹에 최소한의 계정 포함</t>
  </si>
  <si>
    <t>U-12</t>
  </si>
  <si>
    <t>계정이 존재하지 않는 GID 금지</t>
  </si>
  <si>
    <t>U-13</t>
  </si>
  <si>
    <t>동일한 UID 금지</t>
  </si>
  <si>
    <t>U-14</t>
  </si>
  <si>
    <t>U-15</t>
  </si>
  <si>
    <t>U-16</t>
  </si>
  <si>
    <t>root 홈, 패스 디렉터리 권한 및 패스 설정</t>
  </si>
  <si>
    <t>U-17</t>
  </si>
  <si>
    <t>파일 및 디렉터리 소유자 설정</t>
  </si>
  <si>
    <t>U-18</t>
  </si>
  <si>
    <t>/etc/passwd 파일 소유자 및 권한 설정</t>
  </si>
  <si>
    <t>/etc/shadow 파일 소유자 및 권한 설정</t>
  </si>
  <si>
    <t>/etc/hosts 파일 소유자 및 권한 설정</t>
  </si>
  <si>
    <t>U-21</t>
  </si>
  <si>
    <t>/etc/(x)inetd.conf 파일 소유자 및 권한 설정</t>
  </si>
  <si>
    <t>U-22</t>
  </si>
  <si>
    <t>U-23</t>
  </si>
  <si>
    <t>/etc/services 파일 소유자 및 권한 설정</t>
  </si>
  <si>
    <t>U-24</t>
  </si>
  <si>
    <t>U-25</t>
  </si>
  <si>
    <t>U-26</t>
  </si>
  <si>
    <t>world writable 파일 점검</t>
  </si>
  <si>
    <t>U-27</t>
  </si>
  <si>
    <t>/dev에 존재하지 않는 device 파일 점검</t>
  </si>
  <si>
    <t>U-28</t>
  </si>
  <si>
    <t>$HOME/.rhosts, hosts.equiv 사용 금지</t>
  </si>
  <si>
    <t>U-29</t>
  </si>
  <si>
    <t>접속 IP 및 포트 제한</t>
  </si>
  <si>
    <t>U-30</t>
  </si>
  <si>
    <t>U-31</t>
  </si>
  <si>
    <t>U-32</t>
  </si>
  <si>
    <t>UMASK 설정 관리</t>
  </si>
  <si>
    <t>U-33</t>
  </si>
  <si>
    <t>홈 디렉터리 소유자 및 권한 설정</t>
  </si>
  <si>
    <t>U-34</t>
  </si>
  <si>
    <t>홈 디렉터리로 지정한 디렉터리의 존재 관리</t>
  </si>
  <si>
    <t>U-35</t>
  </si>
  <si>
    <t>숨겨진 파일 및 디렉터리 검색 및 제거</t>
  </si>
  <si>
    <t>U-36</t>
  </si>
  <si>
    <t>Finger 서비스 비활성화</t>
  </si>
  <si>
    <t>U-37</t>
  </si>
  <si>
    <t>U-38</t>
  </si>
  <si>
    <t>r 계열 서비스 비활성화</t>
  </si>
  <si>
    <t>U-39</t>
  </si>
  <si>
    <t>U-40</t>
  </si>
  <si>
    <t>DoS 공격에 취약한 서비스 비활성화</t>
  </si>
  <si>
    <t>U-41</t>
  </si>
  <si>
    <t>U-45</t>
  </si>
  <si>
    <t>NIS, NIS+ 점검</t>
  </si>
  <si>
    <t>U-46</t>
  </si>
  <si>
    <t>tftp, talk 서비스 비활성화</t>
  </si>
  <si>
    <t>U-47</t>
  </si>
  <si>
    <t>U-48</t>
  </si>
  <si>
    <t>스팸 메일 릴레이 제한</t>
  </si>
  <si>
    <t>U-49</t>
  </si>
  <si>
    <t>U-50</t>
  </si>
  <si>
    <t>U-51</t>
  </si>
  <si>
    <t>U-52</t>
  </si>
  <si>
    <t>U-53</t>
  </si>
  <si>
    <t>U-54</t>
  </si>
  <si>
    <t>U-56</t>
  </si>
  <si>
    <t>U-57</t>
  </si>
  <si>
    <t>U-58</t>
  </si>
  <si>
    <t>U-59</t>
  </si>
  <si>
    <t>U-61</t>
  </si>
  <si>
    <t>U-62</t>
  </si>
  <si>
    <t>U-63</t>
  </si>
  <si>
    <t>Ftpusers 파일 설정</t>
  </si>
  <si>
    <t>U-64</t>
  </si>
  <si>
    <t>U-65</t>
  </si>
  <si>
    <t>U-66</t>
  </si>
  <si>
    <t>U-67</t>
  </si>
  <si>
    <t>expn, vrfy 명령어 제한</t>
  </si>
  <si>
    <t>root 이외의 UID가 '0' 금지</t>
  </si>
  <si>
    <t>사용자 shell 점검</t>
  </si>
  <si>
    <t>hosts.lpd 파일 소유자 및 권한 설정</t>
  </si>
  <si>
    <t>DNS 보안 버전 패치</t>
  </si>
  <si>
    <t>SUID, SGID, Sticky bit 설정 파일 점검</t>
  </si>
  <si>
    <t>파일 및 디렉터리 관리</t>
    <phoneticPr fontId="7" type="noConversion"/>
  </si>
  <si>
    <t>NFS 접근통제</t>
  </si>
  <si>
    <t>Y</t>
  </si>
  <si>
    <t>N</t>
  </si>
  <si>
    <t>개정번호</t>
    <phoneticPr fontId="7" type="noConversion"/>
  </si>
  <si>
    <t>개정일자</t>
    <phoneticPr fontId="7" type="noConversion"/>
  </si>
  <si>
    <t>개정내용</t>
    <phoneticPr fontId="7" type="noConversion"/>
  </si>
  <si>
    <t>작성자</t>
    <phoneticPr fontId="7" type="noConversion"/>
  </si>
  <si>
    <t>비고</t>
    <phoneticPr fontId="7" type="noConversion"/>
  </si>
  <si>
    <t>최초 작성</t>
  </si>
  <si>
    <t xml:space="preserve">• 계산식 : </t>
    <phoneticPr fontId="7" type="noConversion"/>
  </si>
  <si>
    <t>3.1.2. 기술적 취약점 점수 계산</t>
    <phoneticPr fontId="7" type="noConversion"/>
  </si>
  <si>
    <t>0점</t>
    <phoneticPr fontId="7" type="noConversion"/>
  </si>
  <si>
    <t>양호 (취약점 제거)</t>
    <phoneticPr fontId="7" type="noConversion"/>
  </si>
  <si>
    <t>취약 (취약점 발견)</t>
    <phoneticPr fontId="7" type="noConversion"/>
  </si>
  <si>
    <t>하</t>
    <phoneticPr fontId="7" type="noConversion"/>
  </si>
  <si>
    <t>중</t>
    <phoneticPr fontId="7" type="noConversion"/>
  </si>
  <si>
    <t>상</t>
    <phoneticPr fontId="7" type="noConversion"/>
  </si>
  <si>
    <t>평가항목의 중요도</t>
    <phoneticPr fontId="7" type="noConversion"/>
  </si>
  <si>
    <t>점검 결과</t>
    <phoneticPr fontId="7" type="noConversion"/>
  </si>
  <si>
    <t>3.1.1. 점검항목의 중요도 및 점수 지정</t>
    <phoneticPr fontId="7" type="noConversion"/>
  </si>
  <si>
    <t>3.1. 취약성 평가</t>
    <phoneticPr fontId="7" type="noConversion"/>
  </si>
  <si>
    <t>2. 평가 정의</t>
    <phoneticPr fontId="7" type="noConversion"/>
  </si>
  <si>
    <t>1. 목적</t>
    <phoneticPr fontId="7" type="noConversion"/>
  </si>
  <si>
    <t>◎ 개정이력</t>
    <phoneticPr fontId="7" type="noConversion"/>
  </si>
  <si>
    <t>계정 관리</t>
    <phoneticPr fontId="7" type="noConversion"/>
  </si>
  <si>
    <t>서비스 관리</t>
    <phoneticPr fontId="7" type="noConversion"/>
  </si>
  <si>
    <t>패치 관리</t>
    <phoneticPr fontId="7" type="noConversion"/>
  </si>
  <si>
    <t>로그 관리</t>
    <phoneticPr fontId="7" type="noConversion"/>
  </si>
  <si>
    <t>Y점수</t>
  </si>
  <si>
    <t>N점수</t>
  </si>
  <si>
    <t>◎ 점검 영역별 보안수준</t>
    <phoneticPr fontId="7" type="noConversion"/>
  </si>
  <si>
    <t>◎ 점검 영역별 보안수준 그래프</t>
    <phoneticPr fontId="7" type="noConversion"/>
  </si>
  <si>
    <t>3.2. 위험평가</t>
    <phoneticPr fontId="7" type="noConversion"/>
  </si>
  <si>
    <t>3.2.1. 위협도 등급 부여</t>
    <phoneticPr fontId="7" type="noConversion"/>
  </si>
  <si>
    <t>설명</t>
    <phoneticPr fontId="7" type="noConversion"/>
  </si>
  <si>
    <t>발생 가능성(발생빈도)</t>
    <phoneticPr fontId="7" type="noConversion"/>
  </si>
  <si>
    <t>3.2.2. 위험도 등급 부여</t>
    <phoneticPr fontId="7" type="noConversion"/>
  </si>
  <si>
    <t>내용</t>
    <phoneticPr fontId="7" type="noConversion"/>
  </si>
  <si>
    <t>위험 등급(값)</t>
    <phoneticPr fontId="7" type="noConversion"/>
  </si>
  <si>
    <t>상 (7이상)</t>
    <phoneticPr fontId="7" type="noConversion"/>
  </si>
  <si>
    <t>긴급 개선 권고</t>
    <phoneticPr fontId="7" type="noConversion"/>
  </si>
  <si>
    <t>중 (4~6)</t>
    <phoneticPr fontId="7" type="noConversion"/>
  </si>
  <si>
    <t>단기적 개선</t>
    <phoneticPr fontId="7" type="noConversion"/>
  </si>
  <si>
    <t>하 (3이하)</t>
    <phoneticPr fontId="7" type="noConversion"/>
  </si>
  <si>
    <t>수용</t>
    <phoneticPr fontId="7" type="noConversion"/>
  </si>
  <si>
    <t>• 점검 항목별 위험도 평가 계산</t>
    <phoneticPr fontId="7" type="noConversion"/>
  </si>
  <si>
    <t>• 적정위험수준(DoA : Degree of Assurance) 설정</t>
    <phoneticPr fontId="7" type="noConversion"/>
  </si>
  <si>
    <t>3.2.3. 위험 처리</t>
    <phoneticPr fontId="7" type="noConversion"/>
  </si>
  <si>
    <t>기준</t>
    <phoneticPr fontId="7" type="noConversion"/>
  </si>
  <si>
    <t>결과</t>
    <phoneticPr fontId="7" type="noConversion"/>
  </si>
  <si>
    <t>전체 위험도가 적정위험수준(DoA) 
이상인 위험</t>
    <phoneticPr fontId="7" type="noConversion"/>
  </si>
  <si>
    <t>통제적용</t>
    <phoneticPr fontId="7" type="noConversion"/>
  </si>
  <si>
    <t>위험 감소를 위해 필요한 보호대책을 
선택하여 적용</t>
    <phoneticPr fontId="7" type="noConversion"/>
  </si>
  <si>
    <t>위험수용</t>
    <phoneticPr fontId="7" type="noConversion"/>
  </si>
  <si>
    <t>보호대책을 수립하지 않고 위험을 수용</t>
    <phoneticPr fontId="7" type="noConversion"/>
  </si>
  <si>
    <t>3. 취약점 제거 방안</t>
    <phoneticPr fontId="7" type="noConversion"/>
  </si>
  <si>
    <t>3.1 긴급 조치 항목 우선 제거</t>
    <phoneticPr fontId="7" type="noConversion"/>
  </si>
  <si>
    <r>
      <rPr>
        <b/>
        <sz val="11"/>
        <color indexed="10"/>
        <rFont val="맑은 고딕"/>
        <family val="3"/>
        <charset val="129"/>
      </rPr>
      <t>• 긴급히 조치해야할 항목</t>
    </r>
    <r>
      <rPr>
        <sz val="11"/>
        <rFont val="맑은 고딕"/>
        <family val="3"/>
        <charset val="129"/>
      </rPr>
      <t>으로써 우선적으로 취약점을 제거하여 주십시오.</t>
    </r>
    <phoneticPr fontId="7" type="noConversion"/>
  </si>
  <si>
    <t>3.2 "보안 가이드"를 참고하여 취약점 제거</t>
    <phoneticPr fontId="7" type="noConversion"/>
  </si>
  <si>
    <t>• 취약한 항목의 코드와 동일한 항목을 "보안 가이드"에서 해당 항목에서 찾습니다.</t>
    <phoneticPr fontId="7" type="noConversion"/>
  </si>
  <si>
    <t>• "보안가이드"에서 해당 항목의 &lt;조치방안&gt;을 참고하여 시스템 환경과 서비스에 맞도록 삭제 또는 수정
  등으로 취약점을 제거하여 주십시오.</t>
    <phoneticPr fontId="7" type="noConversion"/>
  </si>
  <si>
    <t>• &lt;조치방안&gt;은 해당 자산 정보에 맞춰서 참고하시기 바랍니다.</t>
    <phoneticPr fontId="7" type="noConversion"/>
  </si>
  <si>
    <t>구     분</t>
  </si>
  <si>
    <t>관리</t>
  </si>
  <si>
    <t>본 문서는 임의로 복사
되거나 배포될 수 없음</t>
  </si>
  <si>
    <t>대외비</t>
  </si>
  <si>
    <t>문서번호</t>
  </si>
  <si>
    <t>자산 평가</t>
    <phoneticPr fontId="7" type="noConversion"/>
  </si>
  <si>
    <t xml:space="preserve"> C</t>
    <phoneticPr fontId="7" type="noConversion"/>
  </si>
  <si>
    <t>I</t>
    <phoneticPr fontId="7" type="noConversion"/>
  </si>
  <si>
    <t>A</t>
    <phoneticPr fontId="7" type="noConversion"/>
  </si>
  <si>
    <t>등급</t>
    <phoneticPr fontId="7" type="noConversion"/>
  </si>
  <si>
    <t>DoA</t>
    <phoneticPr fontId="7" type="noConversion"/>
  </si>
  <si>
    <t>◎ 장비별 위험분석 결과</t>
    <phoneticPr fontId="31" type="noConversion"/>
  </si>
  <si>
    <t>◎ 자산 평가</t>
    <phoneticPr fontId="31" type="noConversion"/>
  </si>
  <si>
    <t>자산 가치</t>
    <phoneticPr fontId="7" type="noConversion"/>
  </si>
  <si>
    <t>C</t>
    <phoneticPr fontId="7" type="noConversion"/>
  </si>
  <si>
    <t xml:space="preserve"> 중요도</t>
    <phoneticPr fontId="7" type="noConversion"/>
  </si>
  <si>
    <t>위험 수용 수준</t>
    <phoneticPr fontId="7" type="noConversion"/>
  </si>
  <si>
    <t>현황</t>
    <phoneticPr fontId="31" type="noConversion"/>
  </si>
  <si>
    <t>잠재 위험</t>
    <phoneticPr fontId="31" type="noConversion"/>
  </si>
  <si>
    <t>대응책</t>
    <phoneticPr fontId="31" type="noConversion"/>
  </si>
  <si>
    <t>위협도</t>
    <phoneticPr fontId="31" type="noConversion"/>
  </si>
  <si>
    <t>위협코드</t>
    <phoneticPr fontId="31" type="noConversion"/>
  </si>
  <si>
    <t>값</t>
    <phoneticPr fontId="31" type="noConversion"/>
  </si>
  <si>
    <t>위험도</t>
    <phoneticPr fontId="31" type="noConversion"/>
  </si>
  <si>
    <t>통제적용 여부</t>
    <phoneticPr fontId="31" type="noConversion"/>
  </si>
  <si>
    <t>통제대책 코드</t>
    <phoneticPr fontId="31" type="noConversion"/>
  </si>
  <si>
    <t>TT-14</t>
  </si>
  <si>
    <t>TT-07</t>
  </si>
  <si>
    <t>TT-06</t>
  </si>
  <si>
    <t>TT-08</t>
  </si>
  <si>
    <t>TT-10</t>
  </si>
  <si>
    <t>TT-09</t>
  </si>
  <si>
    <t>TT-13</t>
  </si>
  <si>
    <t>TT-11</t>
  </si>
  <si>
    <t>잠재위험</t>
    <phoneticPr fontId="31" type="noConversion"/>
  </si>
  <si>
    <t>위험도</t>
    <phoneticPr fontId="7" type="noConversion"/>
  </si>
  <si>
    <t>개수</t>
    <phoneticPr fontId="31" type="noConversion"/>
  </si>
  <si>
    <t>총합</t>
    <phoneticPr fontId="7" type="noConversion"/>
  </si>
  <si>
    <t>합계</t>
    <phoneticPr fontId="7" type="noConversion"/>
  </si>
  <si>
    <t>비율</t>
    <phoneticPr fontId="7" type="noConversion"/>
  </si>
  <si>
    <t>전체 보안수준 그래프</t>
    <phoneticPr fontId="7" type="noConversion"/>
  </si>
  <si>
    <t>◎ 요약 통계</t>
    <phoneticPr fontId="7" type="noConversion"/>
  </si>
  <si>
    <t>◎ 장비별 위험도 통계</t>
    <phoneticPr fontId="7" type="noConversion"/>
  </si>
  <si>
    <t>◎ 위험도 통계 그래프</t>
    <phoneticPr fontId="7" type="noConversion"/>
  </si>
  <si>
    <t>3점</t>
    <phoneticPr fontId="7" type="noConversion"/>
  </si>
  <si>
    <t>2점</t>
    <phoneticPr fontId="7" type="noConversion"/>
  </si>
  <si>
    <t>1점</t>
    <phoneticPr fontId="7" type="noConversion"/>
  </si>
  <si>
    <t xml:space="preserve">  - 위험도 평가값 : 위험도 = 정보자산의 중요도 + 노출위험도</t>
    <phoneticPr fontId="7" type="noConversion"/>
  </si>
  <si>
    <t>복사 후 Origin,매크로 시트 숨김 처리</t>
    <phoneticPr fontId="7" type="noConversion"/>
  </si>
  <si>
    <t>위협 등급(값)</t>
    <phoneticPr fontId="7" type="noConversion"/>
  </si>
  <si>
    <t>상(3)</t>
    <phoneticPr fontId="7" type="noConversion"/>
  </si>
  <si>
    <t>취약성을 이용해 위협이 실현될 가능성이 큰 위험</t>
    <phoneticPr fontId="7" type="noConversion"/>
  </si>
  <si>
    <t>중(2)</t>
    <phoneticPr fontId="7" type="noConversion"/>
  </si>
  <si>
    <t>취약성을 이용해 위험이 실현될 가능성이 있는 위험</t>
    <phoneticPr fontId="7" type="noConversion"/>
  </si>
  <si>
    <t>하(1)</t>
    <phoneticPr fontId="7" type="noConversion"/>
  </si>
  <si>
    <t>취약성을 이용해 위협이 실현될 가능성이 거의 없는 위험</t>
    <phoneticPr fontId="7" type="noConversion"/>
  </si>
  <si>
    <t xml:space="preserve">  - 노출 위험도 : 노출위험도 = 잠재위험에 따른 위협도 X 2</t>
    <phoneticPr fontId="7" type="noConversion"/>
  </si>
  <si>
    <t>구축비용  기준</t>
  </si>
  <si>
    <t>위험도 
기준</t>
  </si>
  <si>
    <t>난이도 
기준</t>
  </si>
  <si>
    <t>합계</t>
  </si>
  <si>
    <t>적용
시기</t>
  </si>
  <si>
    <t>담당자</t>
  </si>
  <si>
    <t>조치계획</t>
  </si>
  <si>
    <t>조치일정</t>
    <phoneticPr fontId="87" type="noConversion"/>
  </si>
  <si>
    <t>▣ 위험조치 계획 수립</t>
    <phoneticPr fontId="31" type="noConversion"/>
  </si>
  <si>
    <t xml:space="preserve">위험 분석 및 평가 단계에서 도출된 개선사항을 기반으로 해당 조직의 정보보호 수준을 단계적으로 향상시키고, 위험에 대한 보호대책을 효과적으로 적용하기 위하여 적용시기, 담당부서 및 담당자, 계획 대비 실적을 명시한 위험조치 계획을 작성합니다.
</t>
    <phoneticPr fontId="87" type="noConversion"/>
  </si>
  <si>
    <t>1.1 위험 관리 기준</t>
  </si>
  <si>
    <t>내 용</t>
  </si>
  <si>
    <t>위험회피</t>
  </si>
  <si>
    <t>위험을 감소 혹은 제거시키기 위한 제반 비용이 해당 자산의 중요도보다 크거나 기타 다른 이유로 인해서 해당 자산을 폐기함으로써 위험을 제거하는 경우</t>
  </si>
  <si>
    <t>위험전이</t>
  </si>
  <si>
    <t>보험 및 제휴, 합작과 같은 방안을 활용하는 경우로 위험이 전이된 조직이 위험의 본질을 이해하고 효과적으로 관리할 수 있어야 함</t>
  </si>
  <si>
    <t>위험감소</t>
  </si>
  <si>
    <t>위험을 수용 가능한 수준으로 낮추기 위해 필요한 통제를 적용하는 경우로 대책을 정의하고, 각 활동을 위한 책임을 부여하여 모니터링 하는 등의 조치를 수행함</t>
  </si>
  <si>
    <t>위험수용</t>
  </si>
  <si>
    <t>특별한 대책을 수립하지 않고 위험을 수용하는 경우로 위험을 감소하거나 회피하기 위한 수단이 적절하지 않거나 비용효익 측면에서 실익이 없는 경우에만 적용함</t>
  </si>
  <si>
    <t>1.2 우선순위 산정</t>
  </si>
  <si>
    <t xml:space="preserve">선정된 보호대책의 적용시기를 결정하기 위해 예산의 가용 정도, 위험도, 이행의 용이성 등을 고려하여 우선순위를 산정합니다. </t>
  </si>
  <si>
    <t>평가구분</t>
  </si>
  <si>
    <t>점수</t>
  </si>
  <si>
    <t>평가 기준</t>
  </si>
  <si>
    <t>구축비용</t>
  </si>
  <si>
    <t>없음</t>
  </si>
  <si>
    <t>1천만원 이하</t>
  </si>
  <si>
    <t>1천만원 초과~ 5천만원 이하</t>
  </si>
  <si>
    <t>5천만원초과 ~ 2억원 이하</t>
  </si>
  <si>
    <t>2억원 초과</t>
  </si>
  <si>
    <t>전체
위험도</t>
    <phoneticPr fontId="87" type="noConversion"/>
  </si>
  <si>
    <t>매우높음(보호대책을 수행하지 않을 경우 중대한 보안 취약성을 내재하거나, 
해킹 가능성이 매우 높음)</t>
    <phoneticPr fontId="87" type="noConversion"/>
  </si>
  <si>
    <t>높음(보호대책을 수행하지 않을 경우 보안이 상당히 취약하거나, 해킹 가능성이 높음)</t>
  </si>
  <si>
    <t>보통(보호대책을 수행하지 않을 경우 보안이 어느 정도 취약하거나, 해킹 가능성 있음)</t>
  </si>
  <si>
    <t>낮음(보호대책을 수행하지 않을 경우 보안 취약성이 낮음)</t>
  </si>
  <si>
    <t>매우 낮음 (예: 보호대책을 수행하지 않을 경우 별다른 보안 취약성이 없음)</t>
  </si>
  <si>
    <t>난이도</t>
  </si>
  <si>
    <t>매우 낮음 (개발의 부서 자체적으로 지연 또는 장애 없이 예정된 기간내에 수행 가능함)</t>
  </si>
  <si>
    <t>낮음 (개발의 부서 자체적 수행이 어려워 타 부서의 협조 또는 동의를 받아야 함)</t>
  </si>
  <si>
    <t>보통 (자체적으로 수행이 불가능하여 외부 협력업체의 협조를 받아야 함)</t>
  </si>
  <si>
    <t>높음 (커스터마이징 또는 인터페이스 부분이 충분히 검증되지 않음으로써 다소 문제점 예상됨)</t>
  </si>
  <si>
    <t>매우 높음 (커스터마이징 또는 인터페이스 부분이 충분히 검증되지 않음으로써 상당한 문제점 예상됨)</t>
  </si>
  <si>
    <t>1.3  적용시기 산정</t>
  </si>
  <si>
    <t>도출된 우선 순위별  보호대책을  적용하기 위해 수행시기에 따라 단기/중기/장기로 분류합니다.</t>
  </si>
  <si>
    <t>통제 적용시기</t>
  </si>
  <si>
    <t>우선순위 산정 기준</t>
  </si>
  <si>
    <t>적용기준</t>
  </si>
  <si>
    <t>단기</t>
  </si>
  <si>
    <t>13~15</t>
    <phoneticPr fontId="87" type="noConversion"/>
  </si>
  <si>
    <t>보통 3개월 이내에 조치가 가능한 보호대책</t>
  </si>
  <si>
    <t>중기</t>
  </si>
  <si>
    <t>비용, 위험도, 난이도 : 3~4</t>
  </si>
  <si>
    <t>9~12</t>
    <phoneticPr fontId="87" type="noConversion"/>
  </si>
  <si>
    <t>보통 6개월 이내에 조치가 가능한 보호대책</t>
    <phoneticPr fontId="87" type="noConversion"/>
  </si>
  <si>
    <t>장기</t>
  </si>
  <si>
    <t>비용+위험도+난이도 : 9미만</t>
  </si>
  <si>
    <t>9미만</t>
  </si>
  <si>
    <t>6개월 이상의 기간이 소요되는 보호대책</t>
    <phoneticPr fontId="87" type="noConversion"/>
  </si>
  <si>
    <t>1.4  조치계획</t>
  </si>
  <si>
    <t>정보보호 대책을 이행하기 위한 구체적인 시기 및 담당자/담당부서를 정의합니다.</t>
  </si>
  <si>
    <t>언제</t>
  </si>
  <si>
    <t>보호대책을 이행하기 위한 구체적인 시기(년/월/일)</t>
  </si>
  <si>
    <t>누가</t>
  </si>
  <si>
    <t>보호대책 이행을 주관하는 담당부서 및 담당자</t>
  </si>
  <si>
    <t>1.4 계획대비 실적</t>
  </si>
  <si>
    <t>현 시점에서 보호대책의 추진 및 이행관리를 위하여 계획 대비 이행 실적을 평가합니다.</t>
  </si>
  <si>
    <t>위험조치 방법</t>
  </si>
  <si>
    <t xml:space="preserve">보호대책 이행 방법 및 조치 내역 </t>
    <phoneticPr fontId="87" type="noConversion"/>
  </si>
  <si>
    <t>위험조치 결과</t>
  </si>
  <si>
    <t>보호대책 이행 후 결과</t>
  </si>
  <si>
    <t>미조치 사유</t>
  </si>
  <si>
    <t>보호대책을 적용할 수 없는 사유</t>
    <phoneticPr fontId="87" type="noConversion"/>
  </si>
  <si>
    <t>-</t>
  </si>
  <si>
    <t>비용 : 5, 위험도+난이도 : 7이상</t>
    <phoneticPr fontId="7" type="noConversion"/>
  </si>
  <si>
    <t>시큐와우</t>
    <phoneticPr fontId="7" type="noConversion"/>
  </si>
  <si>
    <t>■ 기준 : /etc/passwd 파일의 소유자가 root이고, 권한이 644 이하인 경우 "양호"
■ 현황 : /etc/passwd 파일의 접근권한이 적절하게 설정되어 있어 양호함</t>
  </si>
  <si>
    <t>■ 기준 : automountd 서비스가 비활성화 되어 있는 경우 "양호"
■ 현황 : automount 데몬이 없어 양호함</t>
  </si>
  <si>
    <t>■ 기준 : 불필요한 RPC 서비스가 비활성화 되어 있는 경우 "양호"
■ 현황 : 현재 RPC 서비스가 비실행중이므로 양호함</t>
  </si>
  <si>
    <t>Ubuntu 20.04.6 LTS</t>
    <phoneticPr fontId="31" type="noConversion"/>
  </si>
  <si>
    <t>■ 기준 : root 직접 접속을 허용하고 원격 서비스를 사용하는 경우 "취약"
■ 현황 : TELNET 서비스가 비실행중이고, SSH의 root 원격 접속을 제한하지 않으므로 취약함</t>
  </si>
  <si>
    <t>v0.1</t>
    <phoneticPr fontId="7" type="noConversion"/>
  </si>
  <si>
    <t>◎ UNIX 장비 점검대상</t>
  </si>
  <si>
    <t>2026. 00. 00</t>
  </si>
  <si>
    <t>U-05</t>
  </si>
  <si>
    <t>U-19</t>
  </si>
  <si>
    <t>U-20</t>
  </si>
  <si>
    <t>U-42</t>
  </si>
  <si>
    <t>U-43</t>
  </si>
  <si>
    <t>U-44</t>
  </si>
  <si>
    <t>U-55</t>
  </si>
  <si>
    <t>U-60</t>
  </si>
  <si>
    <t>root 계정 원격 접속 제한</t>
    <phoneticPr fontId="1" type="noConversion"/>
  </si>
  <si>
    <t>비밀번호 관리정책 설정</t>
  </si>
  <si>
    <t>계정 잠금 임계값 설정</t>
    <phoneticPr fontId="1" type="noConversion"/>
  </si>
  <si>
    <t>비밀번호 파일 보호</t>
  </si>
  <si>
    <t>사용자 계정 su 기능 제한</t>
  </si>
  <si>
    <t>세션 종료 시간 설정</t>
  </si>
  <si>
    <t>안전한 비밀번호 암호화 알고리즘 사용</t>
  </si>
  <si>
    <t>시스템 시작 스크립트 권한 설정</t>
  </si>
  <si>
    <t>/etc/(r)syslog.conf 파일 소유자 및 권한 설정</t>
  </si>
  <si>
    <t>사용자, 시스템 환경변수 파일 소유자 및 권한 설정</t>
  </si>
  <si>
    <t>공유 서비스에 대한 익명 접근 제한 설정</t>
  </si>
  <si>
    <t>crontab 설정파일 권한 설정 미흡</t>
  </si>
  <si>
    <t>불필요한 NFS 서비스 비활성화</t>
  </si>
  <si>
    <t>불필요한 automountd 제거</t>
  </si>
  <si>
    <t>불필요한 RPC 서비스 확인</t>
  </si>
  <si>
    <t>메일 서비스 버전 점검</t>
  </si>
  <si>
    <t>일반사용자의 메일 서비스 실행 방지</t>
  </si>
  <si>
    <t>DNS 서비스의 취약한 동적 업데이트 설정 금지</t>
  </si>
  <si>
    <t>Telnet 서비스 비활성화</t>
  </si>
  <si>
    <t>FTP 서비스 정보 노출 제한</t>
  </si>
  <si>
    <t>암호화되지 않는 FTP 서비스 비활성화</t>
  </si>
  <si>
    <t>FTP 계정 shell 제한</t>
  </si>
  <si>
    <t>FTP 서비스 접근 제어 설정</t>
  </si>
  <si>
    <t>불필요한 SNMP 서비스 구동 점검</t>
  </si>
  <si>
    <t>안전한 SNMP 버전 사용</t>
  </si>
  <si>
    <t>SNMP Community String 복잡성 설정</t>
  </si>
  <si>
    <t>SNMP Access Control 설정</t>
  </si>
  <si>
    <t>로그온 시 경고 메시지 제공</t>
    <phoneticPr fontId="1" type="noConversion"/>
  </si>
  <si>
    <t>sudo 명령어 접근 관리</t>
  </si>
  <si>
    <t>주기적 보안 패치 및 벤더 권고사항 적용</t>
  </si>
  <si>
    <t>NTP 및 시각 동기화 설정</t>
  </si>
  <si>
    <t>로그 디렉터리 소유자 및 권한 설정</t>
  </si>
  <si>
    <t>■ 기준 : 
비밀번호 관리 정책이 설정된 경우 "양호"
비밀번호 관리 정책이 설정되지 않은 경우 "취약"
■ 현황 : 패스워드 복잡성 설정이 되어 있지 않으므로 취약함</t>
  </si>
  <si>
    <t xml:space="preserve">■ 기준 : 계정 잠금 임계값이 10회 이하의 값으로 설정되어 있는 경우 "양호"
■ 현황 : 계정 잠금 임계값 설정 파일이 없음으로 취약함 </t>
  </si>
  <si>
    <t>■ 기준 : 쉐도우 비밀번호를 사용하거나, 비밀번호를 암호화하여 저장하는 경우 "양호"
■ 현황 : shadow 파일을 사용하고 있으므로 양호함</t>
  </si>
  <si>
    <t>■ 기준 : root 계정과 동일한 UID를 갖는 계정이 존재하지 않는 경우 "양호"
■ 현황 : root 이외의 UID가 '0'인 계정이 존재하지 않으므로 양호함</t>
  </si>
  <si>
    <t>■ 기준 : su 명령어를 특정 그룹에 속한 사용자만 사용하도록 제한된 경우 "양호"
※ 일반 사용자 계정 없이 root 계정만 사용하는 경우 su 명령어 사용 제한 불필요
■ 현황 : /bin/su 파일의 접근권한이 과도하게 설정되어 있으므로 취약함</t>
  </si>
  <si>
    <t>■ 기준 : 불필요한 계정이 존재하지 않는 경우 "양호"
■ 현황 : 패스워드 최소길이가 설정되어 있지 않으므로 취약함</t>
  </si>
  <si>
    <t>■ 기준 : 관리자 그룹에 불필요한 계정이 등록되어 있지 않은 경우 "양호"
■ 현황 : 패스워드 최대 사용기간이 90일(12주) 이하로 설정되어 있지 않으므로 취약함</t>
  </si>
  <si>
    <t>■ 기준 : 시스템 관리나 운용에 불필요한 그룹이 제거된 경우 "양호"
■ 현황 : 패스워드 최소 사용기간이 1일(1주)로 설정되어 있지 않으므로 취약함</t>
  </si>
  <si>
    <t>■ 기준 : 동일한 UID로 설정된 사용자 계정이 존재하지 않는 경우 "양호"
■ 현황 : 불필요한 계정이 없어 양호함</t>
  </si>
  <si>
    <t>■ 기준 : 로그인이 필요하지 않은 계정에 /bin/false(nologin) 쉘이 부여되어 있는 경우 "양호"
■ 현황 : "root:x:0:" 으로 root 그룹에 최소한의 계정만 설정되어 있음으로 양호</t>
  </si>
  <si>
    <t>■ 기준 : Session Timeout이 600초(10분) 이하로 설정되어 있는 경우 "양호"
■ 현황 : 구성원이 없는 그룹(그룹에 계정이 설정되어 있으나 실제로 계정이 없음)이 없으므로 양호함</t>
  </si>
  <si>
    <t>■ 기준 :  SHA-2 이상의 안전한 비밀번호 암호화 알고리즘을 사용하는 경우 "양호"
■ 현황 : 동일한 UID로 설정된 사용자 계정이 존재하지 않으므로 양호함</t>
  </si>
  <si>
    <t>■ 기준 : PATH 환경변수에 “.” 이 맨 앞이나 중간에 포함되어 있는 경우 "취약"
■ 현황 : PATH 설정에 '.'이 맨 앞이나 중간에 포함되어 있지 않으므로 양호함</t>
  </si>
  <si>
    <t>■ 기준 : 
소유자가 존재하지 않은 파일 및 디렉터리가 존재하지 않는 경우"양호"
소유자가 존재하지 않은 파일 및 디렉터리가 존재하는 경우 "취약"
■ 현황 : 소유자가 존재하지 않은 파일 및 디렉터리가 존재하지 않음</t>
  </si>
  <si>
    <t>■ 기준 : 시스템 시작 스크립트 파일의 소유자가 root이고, 일반 사용자의 쓰기 권한이 제거된 경우 "양호"
■ 현황 : /etc/shadow 파일의 접근권한이 과도하게 설정되어 있으므로 취약함</t>
  </si>
  <si>
    <t>■ 기준 : /etc/shadow 파일의 소유자가 root이고, 권한이 400인 경우 "양호"
■ 현황 : /etc/hosts 파일의 접근권한이 과도하게 설정되어 있으므로 취약함(운영환경에 따른 판단 필요)</t>
  </si>
  <si>
    <t>■ 기준 : /etc/hosts 파일의 소유자가 root이고, 권한이 600인 경우 "양호"
■ 현황 : /etc/inetd.conf or /etc/xinetd.conf 파일이 존재하지 않으므로 양호함</t>
  </si>
  <si>
    <t>■ 기준 : /etc/(x)inetd.conf 파일의 소유자가 root이고, 권한이 600인 경우 "양호"
■ 현황 : /etc/syslog.conf 파일의 접근권한이 과도하게 설정되어 있으므로 취약함</t>
  </si>
  <si>
    <t>■ 기준 : /etc/(r)syslog.conf 파일의 소유자가 root이고, 권한이 640인 경우 "양호"
■ 현황 : /etc/services 파일의 접근권한이 적절하게 설정되어 있으므로 양호함</t>
  </si>
  <si>
    <t xml:space="preserve">■ 기준 : /etc/services 파일의 소유자가 root이고, 권한이 644인 경우 "양호"
■ 현황 : 주요 파일이 존재하지 않음으로 양호함 </t>
  </si>
  <si>
    <t>■ 기준 : 주요 실행 파일의 권한에 SUID와 SGID에 대한 설정이 부여되어 있지 않은 경우 "양호"
■ 현황 : /etc/profile 파일의 접근권한이 적절하게 설정되어 있으므로 양호함</t>
  </si>
  <si>
    <t>■ 기준 : 홈 디렉터리 환경변수 파일 소유자가 root 또는 해당 계정으로 지정되어 있고, 홈 디렉터리 
환경변수 파일에 root 계정과 소유자만 쓰기 권한이 부여된 경우 "양호"
■ 현황 : world writable 파일이 존재하지 않아 시스템에 영향을 미치지 않음으로 양호함</t>
  </si>
  <si>
    <t>■ 기준 : world writable 파일이 존재하지 않거나, 존재 시 설정 이유를 인지하고 있는 경우 "양호"
■ 현황 : 출력 내용 없어 양호함</t>
  </si>
  <si>
    <t>■ 기준 : /dev 디렉터리에 대한 파일 점검 후 존재하지 않는 device 파일을 제거한 경우 "양호"
■ 현황 : R (rlogin|rsh|rexec) 서비스가 비실행중이므로 양호함</t>
  </si>
  <si>
    <t>■ 기준 :  rlogin, rsh, rexec 서비스를 사용하지 않거나, 사용 시 아래와 같은 설정이 적용된 경우 "양호"
1. /etc/hosts.equiv 및 $HOME/.rhosts 파일 소유자가 root 또는 해당 계정인 경우
2. /etc/hosts.equiv 및 $HOME/.rhosts 파일 권한이 600 이하인 경우
3. /etc/hosts.equiv 및 $HOME/.rhosts 파일 설정에 “+” 설정이 없는 경우
■ 현황 : 허용할 호스트에 대해 방화벽을 통한 접근제어 함으로 양호함</t>
  </si>
  <si>
    <t>■ 기준 : 접속을 허용할 특정 호스트에 대한 IP주소 및 포트 제한을 설정한 경우 "양호"
■ 현황 : /etc/hosts.lpd 파일이 없어 양호함</t>
  </si>
  <si>
    <t>■ 기준 : /etc/hosts.lpd 파일이 존재하지 않거나, 불가피하게 사용 시 /etc/hosts.lpd 파일의 소유자가 
root이고, 권한이 600 이하인 경우 "양호"
■ 현황 : umask 값이 022로 설정되어 있어 양호함</t>
  </si>
  <si>
    <t>■ 기준 : UMASK 값이 022 이상으로 설정된 경우 "양호"
■ 현황 : 홈디렉토리 사용자 및 소유자가 일치하며, 해당 디렉토리 및 파일의 접근권한이 적절하게 부여되어 있어 양호함</t>
  </si>
  <si>
    <t>■ 기준 : 홈 디렉토리 소유자가 해당 계정이고, 타 사용자 쓰기 권한이 제거된 경우 "양호"
■ 현황 : 홈 디렉토리로 지정한 디렉토리 중 존재하지 않는 디렉터리가 없으므로 양호함</t>
  </si>
  <si>
    <t xml:space="preserve">■ 기준 : 홈 디렉터리가 존재하지 않는 계정이 발견되지 않는 경우 "양호"
■ 현황 : </t>
  </si>
  <si>
    <t>■ 기준 : 불필요하거나 의심스러운 숨겨진 파일 및 디렉토리를 제거한 경우 "양호"
■ 현황 : 숨겨진 파일 및 디렉터리 중 불필요하거나 의심스러운 파일이 존재하지 않아 양호함</t>
  </si>
  <si>
    <t>■ 기준 : Finger 서비스가 활성화 되어 있는 경우 "취약"
■ 현황 : finger 파일이 존재하지 않으므로 양호함</t>
  </si>
  <si>
    <t>■ 기준 : 
공유 서비스에 대해 익명 접근을 제한한 경우 "양호"
공유 서비스에 대해 익명 접근을 허용한 경우 "취약"
■ 현황 : Anonymous FTP 접속을 anonymous_enable=NO로 차단함으로 양호함</t>
  </si>
  <si>
    <t>■ 기준 : 불필요한 r 계열 서비스가 비활성화 되어 있는 경우 "양호"
■ 현황 : 현재 rsh, rlogin, rexec 서비스가 비실행 중이므로 양호함</t>
  </si>
  <si>
    <t>■ 기준 : crontab 및 at 명령어에 일반 사용자 실행 권한이 제거되어 있으며, cron 및 at 관련 파일 권한이 640 이하인 경우 "양호"
■ 현황 : cron 관련 파일의 권한이 640을 초과하였으므로 취약함</t>
  </si>
  <si>
    <t>■ 기준 : Dos 공격에 취약한 echo, discard, daytime, chargen, ntp, dns, snmp 등의 서비스가 비활성화 된 경우 "양호"
■ 현황 : echo, discard, daytime, chargen 서비스가 비실행 중이므로 양호함</t>
  </si>
  <si>
    <t>■ 기준 : 불필요한 NFS 서비스 관련 데몬이 비활성화 되어 있는 경우 "양호"
■ 현황 : nfs 서비스가 사용중이지 않으므로 양호함</t>
  </si>
  <si>
    <t>■ 기준 : 접근 통제가 설정되어 있으며 NFS 설정 파일 접근 권한이 644 이하인 경우 "양호"
■ 현황 : nfs 서비스가 사용중이지 않으므로 양호함</t>
  </si>
  <si>
    <t>■ 기준 : NIS 서비스가 비활성화 되어 있거나, 불가피하게 사용 시 NIS+를 사용하는 경우 "양호"
■ 현황 : 현재 NIS , NIS+ 서비스가 비실행중이므로 양호함</t>
  </si>
  <si>
    <t>■ 기준 : tftp, talk, ntalk 서비스가 비활성화된 경우 "양호"
■ 현황 : 현재 tftp, talk, ntalk 서비스가 비실행중이므로 양호함</t>
  </si>
  <si>
    <t>■ 기준 : 메일 서비스 버전이 최신 버전인 경우 "양호"
■ 현황 : Sendmail 서비스가 비실행중이므로 양호함</t>
  </si>
  <si>
    <t>■ 기준 :  일반 사용자의 메일 서비스 실행 방지가 설정된 경우 "양호"
■ 현황 : Sendmail 서비스가 비실행중이므로 양호함</t>
  </si>
  <si>
    <t>■ 기준 : 릴레이 제한이 설정된 경우 "양호"
■ 현황 : Sendmail 서비스가 비실행중이므로 양호함</t>
  </si>
  <si>
    <t>■ 기준 : noexpn, novrfy 옵션이 설정된 경우 "양호"
■ 현황 : Name server를 사용하지 않으므로 양호함</t>
  </si>
  <si>
    <t>■ 기준 : 주기적으로 패치를 관리하고 있는 경우 "양호"
■ 현황 : Name server를 사용하지 않으므로 양호함</t>
  </si>
  <si>
    <t>■ 기준 : Zone Transfer를 허가된 사용자에게만 허용한 경우 "양호"
■ 현황 : Apache 사용하지 않으므로 양호함</t>
  </si>
  <si>
    <t>■ 기준 : DNS 서비스의 동적 업데이트 기능이 비활성화되었거나, 활성화 시 적절한 접근통제를 수행하고 있는 경우 "양호"
■ 현황 : Apache 사용하지 않으므로 양호함</t>
  </si>
  <si>
    <t>■ 기준 : 원격 접속 시 Telnet 프로토콜을 비활성화하고 있는 경우 "양호"
■ 현황 : Apache 사용하지 않으므로 양호함</t>
  </si>
  <si>
    <t>■ 기준 : FTP 접속 배너에 노출되는 정보가 없는 경우 "양호"
■ 현황 : Apache 사용하지 않으므로 양호함</t>
  </si>
  <si>
    <t>■ 기준 : 암호화되지 않은 FTP 서비스가 비활성화된 경우 "양호"
■ 현황 : Apache 사용하지 않으므로 양호함</t>
  </si>
  <si>
    <t>■ 기준 : FTP 계정에 /bin/false 쉘이 부여되어 있는 경우 "양호"
■ 현황 : Apache 사용하지 않으므로 양호함</t>
  </si>
  <si>
    <t>■ 기준 : 특정 IP주소 또는 호스트에서만 FTP 서버에 접속할 수 있도록 접근 제어 설정을 적용한 경우 "양호"
■ 현황 : Apache 사용하지 않으므로 양호함</t>
  </si>
  <si>
    <t>■ 기준 : root 계정 접속을 차단한 경우 "양호"
■ 현황 : telnet 을 사용하지 않고, ssh를 사용하고 있으므로 양호함</t>
  </si>
  <si>
    <t>■ 기준 : SNMP 서비스를 사용하지 않는 경우 "양호"
■ 현황 : 필요에 의해 ftp 서비스를 실행중이므로 양호함</t>
  </si>
  <si>
    <t>■ 기준 : SNMP 서비스를 v3 이상으로 사용하는 경우 "양호"
■ 현황 : SFTP 서비스에 /bin/bash 쉘을 부여하여 사용하고 있으므로 양호함</t>
  </si>
  <si>
    <t>■ 기준 : SNMP Community String 기본값인 “public”, “private”이 아닌 영문자, 숫자 포함 10자리 이상 또는 영문자, 숫자, 특수문자 포함 8자리 이상인 경우 "양호"
※SNMP v3의 경우 별도 인증 기능을 사용하고, 해당 비밀번호가 복잡도를 만족하는 경우 양호
■ 현황 : ftpusers 파일의 소유자가 root 가 아니거나 접근권한이 640보다 크게 설정되어 있으므로 취약함</t>
  </si>
  <si>
    <t>■ 기준 : SNMP 서비스에 접근 제어 설정이 되어 있는 경우 "양호"
■ 현황 : root 계정 ftp 접속 제한 설정이 되어 있으므로 양호함</t>
  </si>
  <si>
    <t>■ 기준 : 서버 및 Telnet, FTP, SMTP, DNS 서비스에 로그온 시 경고 메시지가 설정된 경우 "양호"
■ 현황 : at 접근제어 파일이 존재하지 않으므로 양호함</t>
  </si>
  <si>
    <t>■ 기준 : /etc/sudoers 파일 소유자가 root이고, 파일 권한이 640인 경우 "양호"
■ 현황 : SNMP가 비실행중이므로 양호함</t>
  </si>
  <si>
    <t>■ 기준 : 패치 적용 정책을 수립하여 주기적으로 패치 관리를 하고 있으며, 패치 관련 내용을 확인하고 적용하였을 경우 "양호"
■ 현황 : 주기적으로 최신 보안패치 하고 있어 양호함</t>
  </si>
  <si>
    <t>■ 기준 : NTP 및 시각 동기화 설정이 기준에 따라 적용되어 있지 않은 경우 "취약"
■ 현황 : 정기적으로 로그를 검토하고 보고하고 있으므로 양호함</t>
  </si>
  <si>
    <t xml:space="preserve">■ 기준 : 
로그 기록 정책이 보안 정책에 따라 설정되어 수립되어 있으며, 로그를 남기고 있는 경우 "양호"
로그 기록 정책 미수립 또는 정책에 따라 설정되어 있지 않거나, 로그를 남기고 있지 않은 경우 "취약"
■ 현황 : </t>
  </si>
  <si>
    <t>■ 기준 : 디렉터리 내 로그 파일의 소유자가 root이고, 권한이 644 이하인 경우 "양호"
■ 현황 : 내부 정책에 맞게 시스템 로깅 설정 하고 있어 양호함</t>
  </si>
  <si>
    <t>원격 접속 시 root 계정으로 접속할 수 없도록 파일 내용 설정</t>
  </si>
  <si>
    <t>root 계정을 포함한 사용자 계정의 비밀번호를 영문, 숫자, 특수문자를 포함하여 최소 8자리 이상 및 최소 사용 기간 1일, 최대 사용 기간 90일, 최근 비밀번호 기억 4회 이상으로 설정</t>
  </si>
  <si>
    <t>계정 잠금 임계값을 10회 이하로 설정 권장</t>
  </si>
  <si>
    <t>사용자 계정 비밀번호가 저장된 파일이 유출 또는 탈취 시 평문으로 저장된 비밀번호 정보가 노출 위험이 존재</t>
  </si>
  <si>
    <t>비밀번호 암호화 저장·관리 설정</t>
  </si>
  <si>
    <t>UID가 0으로 설정된 계정을 0 이외의 중복되지 않은 UID로 변경 또는 불필요한 계정인 경우 제거하도록 설정하거나 
사용 중인 계정인 경우 명령어를 통한 조치가 적용되지 않을 수 있으므로 /etc/passwd 파일을 통해 변경</t>
  </si>
  <si>
    <t>무분별한 사용자 변경으로 타 사용자 소유의 파일을 변경할 수 있으며 root 계정으로 변경하는 경우 관리자 권한을 획득할 수 있는 위험이 존재</t>
  </si>
  <si>
    <t>PAM 모듈 설정 또는 su 명령어 허용 그룹 생성 후 su 명령어 일반 사용자 권한 제거하도록 설정</t>
  </si>
  <si>
    <t>로그인이 가능하고 현재 사용하지 않는 불필요한 계정은 사용 중인 계정보다 상대적으로 관리가 취약하여 공격자의 목표가 되어 계정이 탈취될 수 있는 위험이 존재</t>
  </si>
  <si>
    <t>시스템에 존재하는 계정 확인 후 퇴직, 전직, 휴직 등의 불필요한 계정 제거하도록 설정, 즉시 권한을 회수하는 것을 권고</t>
  </si>
  <si>
    <t>관리자 그룹에 등록된 계정 확인 후 불필요한 계정 제거하도록 설정</t>
  </si>
  <si>
    <t>불필요한 그룹이 존재하는 경우 관리자와 검토하여 제거하도록 설정
※/etc/group 파일과 /etc/passwd 파일을 비교하여 점검하기를 권고함</t>
  </si>
  <si>
    <t>동일한 UID를 가진 사용자 계정의 UID를 중복되지 않도록 변경하도록 설정</t>
  </si>
  <si>
    <t>로그인이 불필요한 계정에 쉘이 부여될 경우, 비인가자가 해당 기본 계정으로 시스템에 접근 위험이 존재</t>
  </si>
  <si>
    <t>로그인이 필요하지 않은 계정에 대해 /bin/false(/sbin/nologin) 쉘 부여 설정</t>
  </si>
  <si>
    <t>600초(10분) 동안 입력이 없는 경우 접속된 Session을 끊도록 설정</t>
  </si>
  <si>
    <t>SHA-2 이상의 안전한 비밀번호 암호화 알고리즘 적용 설정</t>
  </si>
  <si>
    <t>root 계정의 환경설정 파일(/.profile, /.bashrc 등)과 시스템 환경설정 파일(/etc/profile 등)에 설정된 PATH 환경변수에서 현재 디렉터리를 나타내는 “.”을 PATH 환경변수의 마지막으로 이동하도록 설정
※/etc/profile 파일, root 계정, 일반 사용자 계정의 환경설정 파일을 순차적으로 검색하여 확인</t>
  </si>
  <si>
    <t>소유자가 존재하지 않는 파일의 UID와 동일한 값으로 특정 계정의 UID를 변경하면 해당 파일의 소유자가 되어 모든 작업이 가능한 위험이 존재</t>
  </si>
  <si>
    <t>소유자가 존재하지 않는 파일 및 디렉터리 제거 또는 소유자 변경 설정</t>
  </si>
  <si>
    <t>비인가자가 /etc/passwd 파일의 사용자 정보를 변조하여 Shell 변경, 사용자 추가/제거 등 root 계정을 포함한 사용자 권한 획득 위험이 존재</t>
  </si>
  <si>
    <t>/etc/passwd 파일 소유자 및 권한 변경 설정</t>
  </si>
  <si>
    <t>시스템 시작 스크립트 파일 소유자 및 권한 변경 설정</t>
  </si>
  <si>
    <t>/etc/shadow 파일에 저장된 암호화된 해시값을 복호화하여(크래킹) 비밀번호를 탈취할 위험이 존재</t>
  </si>
  <si>
    <t>/etc/shadow 파일 소유자 및 권한 변경 설정</t>
  </si>
  <si>
    <t>/etc/hosts 파일 소유자 및 권한 변경 설정</t>
  </si>
  <si>
    <t>/etc/(x)inetd.conf 파일 소유자 및 권한 변경 설정</t>
  </si>
  <si>
    <t>/etc/(r)syslog.conf 파일의 설정 내용을 참조하여 로그의 저장 위치가 노출되며 로그를 기록하지 않도록 설정하거나 대량의 로그를 기록하게 하여 시스템 과부하를 유도할 수 있는 위험이 존재</t>
  </si>
  <si>
    <t>/etc/(r)syslog.conf 파일 소유자 및 권한 변경 설정</t>
  </si>
  <si>
    <t>/etc/ services 파일 소유자 및 권한 변경 설정</t>
  </si>
  <si>
    <t>불필요한 SUID, SGID 권한 또는 해당 파일 제거하도록 설정하거나 애플리케이션에서 생성한 파일이나 사용자가 임의로 생성한 파일 등 의심스럽거나 특이한 파일에 SUID 권한이 부여된 경우 제거하도록 설정</t>
  </si>
  <si>
    <t>환경변수 파일의 일반 사용자 쓰기 권한 제거하도록 설정</t>
  </si>
  <si>
    <t>world writable 파일 존재 여부를 확인하고 불필요한 경우 제거하도록 설정</t>
  </si>
  <si>
    <t>공격자는 rootkit 설정 파일들을 서버 관리자가 쉽게 발견하지 못하도록 /dev 디렉터리에 device 파일인 것처럼 위장하는 수법을 사용하는 위험이 존재함</t>
  </si>
  <si>
    <t>major, minor number를 가지지 않는 device 파일 제거하도록 설정</t>
  </si>
  <si>
    <t>/etc/hosts.equiv, $HOME/.rhosts 파일 소유자 및 권한 변경, 허용 호스트 및 계정 등록 설정</t>
  </si>
  <si>
    <t>OS에 기본으로 제공하는 방화벽 애플리케이션이나 TCP Wrapper와 같은 호스트별 서비스 제한 애플리케이션을 사용하여 접근 허용 IP 등록 설정</t>
  </si>
  <si>
    <t>/etc/hosts.lpd 파일 제거 또는 /etc/hosts.lpd 파일 소유자 및 권한 변경 설정</t>
  </si>
  <si>
    <t>잘못 설정된 UMASK로 인해 파일 및 디렉터리 생성 시 과도한 권한이 부여되어 무단 액세스 및 데이터 유출의 위험이 존재</t>
  </si>
  <si>
    <t>설정 파일에 UMASK 값을 022로 설정</t>
  </si>
  <si>
    <t>홈 디렉토리 내 설정 파일 변조 시 정상적인 서비스 이용이 제한될 위험이 존재</t>
  </si>
  <si>
    <t>사용자별 홈 디렉토리 소유주를 해당 계정으로 변경하고, 타 사용자의 쓰기 권한 제거하도록 설정
(/etc/passwd 파일에서 홈 디렉토리 확인, 사용자 홈 디렉토리 외 개별적으로 만들어 사용하는 사용자 
디렉토리 존재 여부 확인하여 점검)</t>
  </si>
  <si>
    <t>홈 디렉토리가 존재하지 않는 계정에 홈 디렉토리 설정 또는 계정 제거하도록 설정</t>
  </si>
  <si>
    <t>ls -al 명령어로 숨겨진 파일 존재 파악 후 불법적이거나 의심스러운 파일을 제거하도록 설정</t>
  </si>
  <si>
    <t>Finger 서비스 비활성화 설정</t>
  </si>
  <si>
    <t>공유 서비스의 익명 접근 제한 설정</t>
  </si>
  <si>
    <t>rlogin, rsh, rexec 등의 r-command를 이용하여 원격에서 인증 절차 없이 터미널 접속, 쉘 명령어를 실행이 가능한 위험이 존재</t>
  </si>
  <si>
    <t>불필요한 r 계열 서비스 중지 및 비활성화 설정</t>
  </si>
  <si>
    <t>crontab 및 at 명령어 파일 권한 750 이하, cron 및 at 관련 파일 소유자 및 파일 권한 640 이하 설정</t>
  </si>
  <si>
    <t>echo, discard, daytime, chargen, ntp, dns, snmp 등의 서비스 비활성화 설정</t>
  </si>
  <si>
    <t>NFS 서비스는 서버의 디스크를 클라이언트와 공유하는 서비스로 적정한 보안 설정이 적용되어 있지 않다면 불필요한 파일 공유로 인한 유출 위험이 존재</t>
  </si>
  <si>
    <t>NFS 서비스를 사용하지 않는 경우 서비스 중지 및 비활성화 설정
※로컬 서버에 마운트 되어 있는 디렉터리 제거 및 공유 디렉터리 제거 후 서비스 중지 가능</t>
  </si>
  <si>
    <t>NFS 서비스를 사용하지 않는 경우 서비스 중지 및 비활성화 설정 혹은 불가피하게 사용 시 접근 통제 설정 및 NFS 설정 파일 접근 권한 644 설정</t>
  </si>
  <si>
    <t>파일 시스템의 마운트 옵션을 변경하여 root 권한을 획득할 수 있으며, 로컬 공격자가 automountd 프로세스 권한으로 임의의 명령을 실행할 수 있는 위험이 존재</t>
  </si>
  <si>
    <t>automountd 서비스 비활성화 설정</t>
  </si>
  <si>
    <t>RPC 서비스의 취약점을 통해 비인가자가 root 권한 획득 및 각종 공격을 시도할 위험이 존재</t>
  </si>
  <si>
    <t>불필요한 RPC 서비스 중지 및 비활성화 설정</t>
  </si>
  <si>
    <t>NIS 관련 서비스 비활성화 설정</t>
  </si>
  <si>
    <t>사용하지 않는 서비스나 취약점이 발표된 서비스 운용 시 공격 시도 가능한 위험이 존재</t>
  </si>
  <si>
    <t>불필요한 tftp, talk, ntalk 서비스 비활성화 설정</t>
  </si>
  <si>
    <t>메일 서비스를 사용하지 않는 경우 서비스 중지 및 비활성화 설정
혹은 메일 서비스 사용 시 패치 관리 정책을 수립하여 주기적으로 패치 적용 설정</t>
  </si>
  <si>
    <t>일반 사용자가 q 옵션을 이용해서 메일 큐, 메일 서비스 설정을 보거나 메일 큐를 강제적으로 drop 시킬 수 있어 악의적으로 SMTP 서버의 오류를 발생시킬 위험이 존재</t>
  </si>
  <si>
    <t>메일 서비스를 사용하지 않는 경우 서비스 중지 및 비활성화 설정
혹은 메일 서비스 사용 시 메일 서비스의 q 옵션 제한 설정</t>
  </si>
  <si>
    <t>메일 서비스를 사용하지 않는 경우 서비스 중지 및 비활성화 설정
혹은 메일 서비스 사용 시 릴레이 방지 설정 또는 릴레이 대상 접근 제어 설정</t>
  </si>
  <si>
    <t>expn, vrfy 명령어를 통하여 특정 사용자 계정의 존재 여부를 알 수 있고, 사용자의 정보를 외부로 유출할 수 있는 위험이 존재</t>
  </si>
  <si>
    <t>메일 서비스를 사용하지 않는 경우 서비스 중지 및 비활성화 설정
혹은 메일 서비스 사용 시 메일 서비스 설정 파일에 noexpn, novrfy 또는 goaway 옵션 추가 설정</t>
  </si>
  <si>
    <t>DNS 서비스를 사용하지 않는 경우 서비스 중지 및 비활성화 설정
혹은  DNS 서비스 사용 시 패치 관리 정책 수립 및 주기적으로 패치 적용 설정
※DNS 서비스의 경우 대부분의 버전에서 취약점이 보고되고 있으므로 OS 관리자, 서비스 개발자가 패치 적용에 따른 서비스 영향 정도를 정확히 파악하여 주기적인 패치 적용 정책 수리 후 적용</t>
  </si>
  <si>
    <t>DNS 서비스를 사용하지 않는 경우 서비스 중지 및 비활성화 설정
혹은 NS 서비스 사용 시 DNS Zone Transfer를 허가된 사용자에게만 전송 허용하도록 설정</t>
  </si>
  <si>
    <t>DNS 서비스를 사용하지 않는 경우 서비스 중지 및 비활성화 설정
혹은 DNS 서비스 사용 시 일반적으로 동적 업데이트 기능이 필요 없으나 확인 필요함</t>
  </si>
  <si>
    <t>Telnet, FTP 등 안전하지 않은 서비스 사용을 중지하고 SSH 설치 및 사용하도록 설정</t>
  </si>
  <si>
    <t>FTP 서비스를 사용하지 않는 경우 서비스 중지 및 비활성화 설정
혹은  FTP 서비스 사용 시 FTP 설정 파일을 통해 접속 배너 설정
※접속 배너에 서비스 이름이나 버전 정보를 노출하지 않는 것을 권고</t>
  </si>
  <si>
    <t>암호화되지 않은 FTP 서비스 중지 및 비활성화 설정</t>
  </si>
  <si>
    <t xml:space="preserve"> FTP 서비스를 사용하지 않는 경우 서비스 중지 및 비활성화 설정
혹은 FTP 서비스 사용 시 FTP 계정에 /bin/false 쉘 부여 설정</t>
  </si>
  <si>
    <t>FTP 서비스를 사용하지 않는 경우 서비스 중지 및 비활성화 설정 혹은 FTP 서비스 사용 시 접근 제어 설정</t>
  </si>
  <si>
    <t xml:space="preserve"> FTP 서비스를 사용하지 않는 경우 서비스 중지 및 비활성화 설정 혹은 FTP 서비스 사용 시 root 계정으로 직접 접속할 수 없도록 설정</t>
  </si>
  <si>
    <t>SNMP 서비스를 사용하지 않는 경우 서비스 중지 및 비활성화 설정</t>
  </si>
  <si>
    <t>SNMP 서비스를 사용하지 않는 경우 서비스 중지 및 비활성화 설정 혹은 SNMP 서비스 사용 시 SNMP 버전을 v3 이상으로 적용하도록 설정</t>
  </si>
  <si>
    <t>SNMP 서비스를 사용하지 않는 경우 서비스 중지 및 비활성화 설정
혹은  SNMP 서비스 사용 시 SNMP Community String 기본값인 “public”, “private”이 아닌 영문자, 숫자 포함 10자리 이상 또는 영문자, 숫자, 특수문자 포함 8자리 이상으로 설정</t>
  </si>
  <si>
    <t>SNMP 서비스를 사용하지 않는 경우 서비스 중지 및 비활성화 설정 혹은 SNMP 서비스 사용 시 SNMP 접근 제어 설정하도록 설정</t>
  </si>
  <si>
    <t>Telnet, FTP, SMTP, DNS 서비스를 사용하는 경우 설정 파일을 통해 로그온 시 경고 메시지 설정</t>
  </si>
  <si>
    <t>/etc/sudoers 파일 소유자 및 권한 변경 설정</t>
  </si>
  <si>
    <t>OS 관리자, 서비스 개발자가 패치 적용에 따른 서비스 영향 정도를 파악하여 OS 관리자 및 벤더에서 적용하도록 설정
※OS 패치의 경우 지속해서 취약점이 발표되고 있으므로 O/S 관리자, 서비스 개발자가 패치 적용에 
따른 서비스 영향 정도를 정확히 파악하여 주기적인 패치 적용 정책을 수립하여 적용해야 함</t>
  </si>
  <si>
    <t>시스템 간 시간 동기화 미흡으로 보안 사고 및 장애 발생 시 로그에 대한 신뢰도 확보 미흡 위험이 존재</t>
  </si>
  <si>
    <t>NTP 설정 및 동기화 주기 설정</t>
  </si>
  <si>
    <t>로그 기록 정책을 수립하고, 정책에 따라 (r)syslog.conf 파일을 설정</t>
  </si>
  <si>
    <t>디렉터리 내 로그 파일 소유자 및 권한 변경 설정</t>
  </si>
  <si>
    <t>root 계정을 탈취하여 외부에서 원격을 이용한 시스템 장악 및 각종 공격으로(무차별 대입 공격, 사전 대입 공격 등) 인한 root 계정 사용 불가 위험이 존재</t>
  </si>
  <si>
    <t>비인가자의 각종 공격(무차별 대입 공격, 사전 대입 공격 등)에 의해 비밀번호가 노출될 위험이 존재</t>
  </si>
  <si>
    <t>해당 관리자 그룹에 속한 계정이 비인가자에게 유출될 경우, 관리자 권한으로 시스템에 접근하여 계정정보 유출, 환경설정 파일 및 디렉터리 변조 등의 위험이 존재</t>
  </si>
  <si>
    <t>해당 그룹의 소유로 설정된 파일을 통한 권한 남용 또는 의도치 않은 권한 부여, 보안 감사 및 관리의 어려움 등의 위험이 존재</t>
  </si>
  <si>
    <t>시스템은 동일한 사용자로 인식하여 소유자의 권한이 중복되어 불필요한 권한이 부여되며 시스템 로그를 이용한 감사 추적 시 사용자가 구분되지 않는 위험이 존재</t>
  </si>
  <si>
    <t>유휴 시간 내 비인가자가 시스템에 접근하여 불필요한 내부 정보를 노출할 위험이 존재</t>
  </si>
  <si>
    <t>노출된 계정에 대해 비인가자가 암호 복호화 공격을 통해 비밀번호를 획득할 위험이 존재</t>
  </si>
  <si>
    <t>현재 디렉터리에 변조된 명령어를 삽입하여 관리자 명령어 입력 시 악의적인 기능이 실행될 수 있는 위험이 존재</t>
  </si>
  <si>
    <t>비인가자가 스크립트의 내용 변경 등을 통해 시스템 침입 등 악용할 위험이 존재</t>
  </si>
  <si>
    <t>일반 사용자 권한으로 해당 파일에 등록된 서비스를 변조하거나 악의적인 프로그램(서비스)을 등록할 수 있는 위험이 존재</t>
  </si>
  <si>
    <t>비인가 사용자가 운영 포트 번호를 변경하여 정상적인 서비스를 제한하거나 허용되지 않은 포트를 오픈하여 악성 서비스를 의도적으로 실행할 수 있는 위험이 존재</t>
  </si>
  <si>
    <t>SUID, SGID, Sticky bit가 설정된 파일로 특정 명령어를 실행하여 root 권한 획득이 가능한 위험이 존재</t>
  </si>
  <si>
    <t>비인가자가 환경변수 파일을 변조하여 정상 사용 중인 사용자의 서비스가 제한될 수 있는 위험이 존재</t>
  </si>
  <si>
    <t>일반 사용자 및 비인가자가 해당 파일을 임의로 수정, 제거할 위험이 존재</t>
  </si>
  <si>
    <t>원격지의 공격자가 관리자 권한으로 목표 시스템상 임의의 명령을 수행시킬 수 있으며, 명령어 원격실행을 통해 중요 정보유출 및 시스템 장애를 유발 또는 공격자의 백도어 등으로도 활용될 수 있는 위험 혹은 r-command 서비스 사용 권한을 임의로 등록하여 무단 사용 위험이 존재</t>
  </si>
  <si>
    <t>Telnet, FTP 같은 보안에 취약한 네트워크 서비스를 통하여 불법적인 접근 및 시스템 침해사고가 발생할 수 있는 위험이 존재</t>
  </si>
  <si>
    <t>비인가자가 /etc/hosts.lpd 파일을 수정하여 허용된 사용자의 서비스를 방해할 수 있으며, 호스트 정보를 획득할 수 있는 위험이 존재</t>
  </si>
  <si>
    <t>해당 계정으로 로그인 시 홈 디렉토리가 루트 디렉토리(/)로 할당되어 접근이 가능한 위험이 존재</t>
  </si>
  <si>
    <t>비인가자가 생성한 악성 파일 또는 백도어 등을 탐지하지 못할 위험이 존재</t>
  </si>
  <si>
    <t>비인가자가 Finger 서비스를 사용하여 사용자 정보를 조회한 후 비밀번호 공격을 통해 계정을 탈취할 위험이 존재</t>
  </si>
  <si>
    <t>비인가자의 무단 접근으로 인한 중요 정보 탈취 또는 변조, 악성 코드 유포 등의 위험이 존재</t>
  </si>
  <si>
    <t>고의 또는 실수로 불법적인 예약 파일 실행으로 시스템 피해를 일으킬 수 있는 위험이 존재</t>
  </si>
  <si>
    <t>시스템 정보 유출 및 DoS 공격의 대상이 될 수 있는 위험이 존재</t>
  </si>
  <si>
    <t>인증 절차 없이 비인가자가 디렉터리나 파일의 접근이 가능하며, 해당 공유 시스템에 원격으로 마운트하여 중요 파일을 변조하거나 유출할 위험이 존재</t>
  </si>
  <si>
    <t>비인가자가 타 시스템의 root 권한까지 탈취할 수 있는 위험이 존재</t>
  </si>
  <si>
    <t>버퍼 오버플로우(Buffer Overflow) 공격에 의한 시스템 권한 획득 및 주요 정보 노출의 위험이 존재</t>
  </si>
  <si>
    <t>악의적인 사용 목적을 가진 사용자들이 스팸 메일 서버로 사용하거나 DoS 공격의 위험이 존재</t>
  </si>
  <si>
    <t>DoS 공격, 버퍼 오버플로우(Buffer Overflow) 및 DNS 서버 원격 침입 등의 위험이 존재</t>
  </si>
  <si>
    <t>비인가자에게 호스트 정보, 시스템 정보 등 중요 정보가 유출될 위험이 존재</t>
  </si>
  <si>
    <t>악의적인 사용자에 의해 신뢰할 수 없는 데이터가 받아들여질 위험이 존재</t>
  </si>
  <si>
    <t>데이터가 평문으로 전송되어 비인가자가 스니핑을 통해 계정 및 중요 정보를 외부로 유출할 위험이 존재</t>
  </si>
  <si>
    <t>비인가자가 FTP 접속 시도 시 노출되는 접속 배너 정보를 수집하여 악의적인 공격에 이용할 위험이 존재</t>
  </si>
  <si>
    <t>비인가자가 해당 기본 계정으로 시스템에 접근할 위험이 존재</t>
  </si>
  <si>
    <t>인증 절차 없이 비인가자가 디렉터리나 파일에 접근할 수 있어 중요 파일 변조 및 유출을 시도할 위험이 존재</t>
  </si>
  <si>
    <t>데이터가 평문으로 전송되어 비인가자가 스니핑을 통해 관리자 계정 및 중요 정보를 외부로 유출할 위험이 존재</t>
  </si>
  <si>
    <t>비인가자가 시스템의 중요 정보를 유출하거나 불법적으로 수정할 위험이 존재</t>
  </si>
  <si>
    <t>응답 패킷이 평문으로 전송되어 스니핑 위험이 존재</t>
  </si>
  <si>
    <t>비인가자가 비밀번호 추측 공격을 통해 계정 탈취 시 환경설정 파일 열람 및 수정, 각종 정보수집, 관리자 권한 획득 등 다양한 위험이 존재</t>
  </si>
  <si>
    <t>비인가자의 접근, 네트워크 정보 유출, 시스템 및 네트워크 설정 변경, DoS 공격 등의 위험이 존재</t>
  </si>
  <si>
    <t>기본 설정값엔 서버 OS 버전 및 서비스 버전이 비인가자에게 노출되어 해당 정보를 통해 서비스의 취약점을 이용하여 공격을 시도할 위험이 존재</t>
  </si>
  <si>
    <t>비인가자가 관리자 권한으로 허가되지 않은 명령어를 사용하여 루트 권한 오용, 악성 코드 실행, 데이터 유출 등의 시도를 할 위험이 존재함</t>
  </si>
  <si>
    <t>이미 알려진 취약점을 통하여 공격자에 의해 시스템 침해사고 발생할 위험이 존재</t>
  </si>
  <si>
    <t>원인 규명이 어려우며 법적 대응을 위한 충분한 증거로 사용할 수 없는 위험이 존재</t>
  </si>
  <si>
    <t>비인가자가 로그에서 정보를 획득하거나 로그 자체를 변조할 수 있는 위험이 존재</t>
  </si>
  <si>
    <t>비밀번호가 일치할 때까지 지속적으로 응답하여 해당 계정의 비밀번호가 유출될 위험이 존재</t>
  </si>
  <si>
    <t>악성 사이트로의 접속을 유도하는 파밍(Pharming) 공격 등에 악용될 수 있는 위험이 존재</t>
  </si>
  <si>
    <t>관리자가 실행할 수 있는 모든 작업이 가능한 위험 혹은 root 계정과 동일한 UID를 사용하므로 사용자 감사 추적 시 어려움 발생 위험이 존재</t>
  </si>
  <si>
    <t>TT-15</t>
  </si>
  <si>
    <t>본 보고서는 스케쳐스코리아에서 수용 가능한 목표 위험 수준을 정하고 UNIX 서버 점검 결과에 따른 위험 수준을 초과하는 위험이 있는지 식별함에 있습니다.</t>
    <phoneticPr fontId="7" type="noConversion"/>
  </si>
  <si>
    <t>UNIX 서버 위험관리 계획서</t>
    <phoneticPr fontId="7" type="noConversion"/>
  </si>
  <si>
    <t xml:space="preserve">  [00]</t>
    <phoneticPr fontId="7" type="noConversion"/>
  </si>
  <si>
    <t>2026.00.</t>
    <phoneticPr fontId="7" type="noConversion"/>
  </si>
  <si>
    <t>sample</t>
    <phoneticPr fontId="7" type="noConversion"/>
  </si>
  <si>
    <t>127.0.0.1</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</si>
</sst>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0_);[Red]\(0\)"/>
    <numFmt numFmtId="177" formatCode="_ * #,##0.00_ ;_ * \-#,##0.00_ ;_ * &quot;-&quot;??_ ;_ @_ "/>
    <numFmt numFmtId="178" formatCode="&quot;₩&quot;#,##0;&quot;₩&quot;&quot;₩&quot;&quot;₩&quot;&quot;₩&quot;&quot;₩&quot;&quot;₩&quot;&quot;₩&quot;&quot;₩&quot;\-#,##0"/>
    <numFmt numFmtId="179" formatCode="&quot;₩&quot;#,##0.00;&quot;₩&quot;&quot;₩&quot;&quot;₩&quot;&quot;₩&quot;&quot;₩&quot;&quot;₩&quot;&quot;₩&quot;&quot;₩&quot;\-#,##0.00"/>
    <numFmt numFmtId="180" formatCode="_ * #,##0.00_ ;_ * &quot;₩&quot;&quot;₩&quot;&quot;₩&quot;&quot;₩&quot;&quot;₩&quot;&quot;₩&quot;&quot;₩&quot;&quot;₩&quot;\-#,##0.00_ ;_ * &quot;-&quot;??_ ;_ @_ "/>
    <numFmt numFmtId="181" formatCode="&quot;₩&quot;#,##0;&quot;₩&quot;\-#,##0"/>
    <numFmt numFmtId="182" formatCode="#,##0;[Red]&quot;-&quot;#,##0"/>
    <numFmt numFmtId="183" formatCode="#,##0.00;[Red]&quot;-&quot;#,##0.00"/>
  </numFmts>
  <fonts count="101">
    <font>
      <sz val="11"/>
      <name val="돋움"/>
      <family val="3"/>
      <charset val="129"/>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indexed="8"/>
      <name val="맑은 고딕"/>
      <family val="3"/>
      <charset val="129"/>
    </font>
    <font>
      <sz val="10"/>
      <name val="Helv"/>
      <family val="2"/>
    </font>
    <font>
      <sz val="11"/>
      <name val="돋움"/>
      <family val="3"/>
      <charset val="129"/>
    </font>
    <font>
      <sz val="8"/>
      <name val="돋움"/>
      <family val="3"/>
      <charset val="129"/>
    </font>
    <font>
      <sz val="11"/>
      <color indexed="8"/>
      <name val="맑은 고딕"/>
      <family val="3"/>
      <charset val="129"/>
    </font>
    <font>
      <sz val="11"/>
      <color indexed="9"/>
      <name val="맑은 고딕"/>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sz val="10"/>
      <color indexed="8"/>
      <name val="맑은 고딕"/>
      <family val="3"/>
      <charset val="129"/>
    </font>
    <font>
      <u/>
      <sz val="9.35"/>
      <color indexed="12"/>
      <name val="돋움"/>
      <family val="3"/>
      <charset val="129"/>
    </font>
    <font>
      <b/>
      <i/>
      <u/>
      <sz val="12"/>
      <name val="맑은 고딕"/>
      <family val="3"/>
      <charset val="129"/>
    </font>
    <font>
      <b/>
      <sz val="12"/>
      <name val="맑은 고딕"/>
      <family val="3"/>
      <charset val="129"/>
    </font>
    <font>
      <b/>
      <sz val="12"/>
      <color indexed="60"/>
      <name val="맑은 고딕"/>
      <family val="3"/>
      <charset val="129"/>
    </font>
    <font>
      <b/>
      <sz val="10"/>
      <color indexed="8"/>
      <name val="맑은 고딕"/>
      <family val="3"/>
      <charset val="129"/>
    </font>
    <font>
      <sz val="8"/>
      <name val="맑은 고딕"/>
      <family val="3"/>
      <charset val="129"/>
    </font>
    <font>
      <sz val="10"/>
      <name val="Arial"/>
      <family val="2"/>
    </font>
    <font>
      <b/>
      <sz val="12"/>
      <color indexed="8"/>
      <name val="맑은 고딕"/>
      <family val="3"/>
      <charset val="129"/>
    </font>
    <font>
      <b/>
      <u/>
      <sz val="12"/>
      <color indexed="8"/>
      <name val="맑은 고딕"/>
      <family val="3"/>
      <charset val="129"/>
    </font>
    <font>
      <sz val="10"/>
      <name val="맑은 고딕"/>
      <family val="3"/>
      <charset val="129"/>
    </font>
    <font>
      <sz val="11"/>
      <name val="맑은 고딕"/>
      <family val="3"/>
      <charset val="129"/>
    </font>
    <font>
      <b/>
      <sz val="11"/>
      <name val="맑은 고딕"/>
      <family val="3"/>
      <charset val="129"/>
    </font>
    <font>
      <b/>
      <sz val="10"/>
      <color indexed="9"/>
      <name val="맑은 고딕"/>
      <family val="3"/>
      <charset val="129"/>
    </font>
    <font>
      <b/>
      <sz val="10"/>
      <name val="맑은 고딕"/>
      <family val="3"/>
      <charset val="129"/>
    </font>
    <font>
      <b/>
      <i/>
      <u/>
      <sz val="12"/>
      <color indexed="8"/>
      <name val="맑은 고딕"/>
      <family val="3"/>
      <charset val="129"/>
    </font>
    <font>
      <b/>
      <sz val="12"/>
      <color indexed="9"/>
      <name val="맑은 고딕"/>
      <family val="3"/>
      <charset val="129"/>
    </font>
    <font>
      <sz val="11"/>
      <color theme="1"/>
      <name val="맑은 고딕"/>
      <family val="3"/>
      <charset val="129"/>
      <scheme val="minor"/>
    </font>
    <font>
      <u/>
      <sz val="11"/>
      <color theme="10"/>
      <name val="돋움"/>
      <family val="3"/>
      <charset val="129"/>
    </font>
    <font>
      <u/>
      <sz val="11"/>
      <color theme="10"/>
      <name val="맑은 고딕"/>
      <family val="3"/>
      <charset val="129"/>
      <scheme val="minor"/>
    </font>
    <font>
      <b/>
      <sz val="10"/>
      <color theme="0"/>
      <name val="맑은 고딕"/>
      <family val="3"/>
      <charset val="129"/>
      <scheme val="minor"/>
    </font>
    <font>
      <sz val="10"/>
      <name val="맑은 고딕"/>
      <family val="3"/>
      <charset val="129"/>
      <scheme val="major"/>
    </font>
    <font>
      <sz val="11"/>
      <name val="맑은 고딕"/>
      <family val="3"/>
      <charset val="129"/>
      <scheme val="major"/>
    </font>
    <font>
      <b/>
      <i/>
      <u/>
      <sz val="12"/>
      <color theme="1"/>
      <name val="맑은 고딕"/>
      <family val="3"/>
      <charset val="129"/>
    </font>
    <font>
      <b/>
      <i/>
      <u/>
      <sz val="12"/>
      <color theme="1"/>
      <name val="맑은 고딕"/>
      <family val="3"/>
      <charset val="129"/>
      <scheme val="minor"/>
    </font>
    <font>
      <sz val="10"/>
      <color theme="1"/>
      <name val="맑은 고딕"/>
      <family val="3"/>
      <charset val="129"/>
      <scheme val="minor"/>
    </font>
    <font>
      <sz val="11"/>
      <color theme="1"/>
      <name val="맑은 고딕"/>
      <family val="3"/>
      <charset val="129"/>
      <scheme val="major"/>
    </font>
    <font>
      <sz val="10"/>
      <color theme="1"/>
      <name val="맑은 고딕"/>
      <family val="3"/>
      <charset val="129"/>
      <scheme val="major"/>
    </font>
    <font>
      <b/>
      <sz val="12"/>
      <color theme="1"/>
      <name val="맑은 고딕"/>
      <family val="3"/>
      <charset val="129"/>
    </font>
    <font>
      <sz val="8"/>
      <name val="맑은 고딕"/>
      <family val="3"/>
      <charset val="129"/>
      <scheme val="major"/>
    </font>
    <font>
      <b/>
      <sz val="10"/>
      <color theme="1"/>
      <name val="맑은 고딕"/>
      <family val="3"/>
      <charset val="129"/>
      <scheme val="minor"/>
    </font>
    <font>
      <sz val="12"/>
      <name val="맑은 고딕"/>
      <family val="3"/>
      <charset val="129"/>
    </font>
    <font>
      <sz val="11"/>
      <color theme="1"/>
      <name val="맑은 고딕"/>
      <family val="2"/>
      <charset val="129"/>
      <scheme val="minor"/>
    </font>
    <font>
      <sz val="12"/>
      <name val="바탕체"/>
      <family val="1"/>
      <charset val="129"/>
    </font>
    <font>
      <sz val="12"/>
      <color indexed="24"/>
      <name val="바탕체"/>
      <family val="1"/>
      <charset val="129"/>
    </font>
    <font>
      <b/>
      <sz val="18"/>
      <color indexed="24"/>
      <name val="바탕체"/>
      <family val="1"/>
      <charset val="129"/>
    </font>
    <font>
      <b/>
      <sz val="15"/>
      <color indexed="24"/>
      <name val="바탕체"/>
      <family val="1"/>
      <charset val="129"/>
    </font>
    <font>
      <sz val="14"/>
      <name val="뼻뮝"/>
      <family val="3"/>
      <charset val="129"/>
    </font>
    <font>
      <sz val="12"/>
      <name val="뼻뮝"/>
      <family val="1"/>
      <charset val="129"/>
    </font>
    <font>
      <sz val="10"/>
      <name val="명조"/>
      <family val="3"/>
      <charset val="129"/>
    </font>
    <font>
      <b/>
      <sz val="12"/>
      <name val="Arial"/>
      <family val="2"/>
    </font>
    <font>
      <b/>
      <sz val="10"/>
      <name val="MS Sans Serif"/>
      <family val="2"/>
    </font>
    <font>
      <sz val="12"/>
      <name val="명조"/>
      <family val="3"/>
      <charset val="129"/>
    </font>
    <font>
      <sz val="10"/>
      <color theme="1"/>
      <name val="맑은 고딕"/>
      <family val="2"/>
      <charset val="129"/>
    </font>
    <font>
      <sz val="9"/>
      <color theme="1"/>
      <name val="Verdana"/>
      <family val="2"/>
    </font>
    <font>
      <u/>
      <sz val="11"/>
      <color theme="10"/>
      <name val="맑은 고딕"/>
      <family val="3"/>
      <charset val="129"/>
    </font>
    <font>
      <sz val="11"/>
      <color rgb="FF9C0006"/>
      <name val="맑은 고딕"/>
      <family val="3"/>
      <charset val="129"/>
      <scheme val="minor"/>
    </font>
    <font>
      <b/>
      <sz val="10"/>
      <color indexed="10"/>
      <name val="맑은 고딕"/>
      <family val="3"/>
      <charset val="129"/>
    </font>
    <font>
      <b/>
      <sz val="11"/>
      <color indexed="10"/>
      <name val="맑은 고딕"/>
      <family val="3"/>
      <charset val="129"/>
    </font>
    <font>
      <sz val="12"/>
      <color theme="0"/>
      <name val="맑은 고딕"/>
      <family val="3"/>
      <charset val="129"/>
    </font>
    <font>
      <sz val="10"/>
      <color theme="0"/>
      <name val="맑은 고딕"/>
      <family val="3"/>
      <charset val="129"/>
      <scheme val="major"/>
    </font>
    <font>
      <sz val="9"/>
      <color theme="1"/>
      <name val="맑은 고딕"/>
      <family val="2"/>
      <charset val="129"/>
      <scheme val="minor"/>
    </font>
    <font>
      <sz val="9"/>
      <color theme="1"/>
      <name val="맑은 고딕"/>
      <family val="3"/>
      <charset val="129"/>
      <scheme val="minor"/>
    </font>
    <font>
      <b/>
      <sz val="11"/>
      <color rgb="FFFF0000"/>
      <name val="맑은 고딕"/>
      <family val="3"/>
      <charset val="129"/>
      <scheme val="minor"/>
    </font>
    <font>
      <b/>
      <sz val="16"/>
      <color theme="1"/>
      <name val="맑은 고딕"/>
      <family val="3"/>
      <charset val="129"/>
      <scheme val="minor"/>
    </font>
    <font>
      <b/>
      <sz val="24"/>
      <color theme="1"/>
      <name val="맑은 고딕"/>
      <family val="3"/>
      <charset val="129"/>
      <scheme val="minor"/>
    </font>
    <font>
      <sz val="11"/>
      <color indexed="8"/>
      <name val="맑은 고딕"/>
      <family val="3"/>
    </font>
    <font>
      <b/>
      <sz val="10"/>
      <color theme="0"/>
      <name val="맑은 고딕"/>
      <family val="3"/>
      <charset val="129"/>
      <scheme val="major"/>
    </font>
    <font>
      <sz val="10"/>
      <color indexed="8"/>
      <name val="맑은 고딕"/>
      <family val="3"/>
      <charset val="129"/>
      <scheme val="major"/>
    </font>
    <font>
      <b/>
      <sz val="24"/>
      <color rgb="FF000000"/>
      <name val="돋움"/>
      <family val="3"/>
      <charset val="129"/>
    </font>
    <font>
      <sz val="24"/>
      <color rgb="FF000000"/>
      <name val="돋움"/>
      <family val="3"/>
      <charset val="129"/>
    </font>
    <font>
      <b/>
      <sz val="22"/>
      <name val="맑은 고딕"/>
      <family val="3"/>
      <charset val="129"/>
    </font>
    <font>
      <sz val="8"/>
      <name val="맑은 고딕"/>
      <family val="3"/>
      <charset val="129"/>
      <scheme val="minor"/>
    </font>
    <font>
      <b/>
      <sz val="18"/>
      <name val="맑은 고딕"/>
      <family val="3"/>
      <charset val="129"/>
      <scheme val="major"/>
    </font>
    <font>
      <sz val="9"/>
      <color indexed="8"/>
      <name val="맑은 고딕"/>
      <family val="3"/>
      <charset val="129"/>
    </font>
    <font>
      <sz val="12"/>
      <color indexed="8"/>
      <name val="맑은 고딕"/>
      <family val="3"/>
      <charset val="129"/>
      <scheme val="major"/>
    </font>
    <font>
      <sz val="12"/>
      <color theme="1"/>
      <name val="맑은 고딕"/>
      <family val="3"/>
      <charset val="129"/>
      <scheme val="major"/>
    </font>
    <font>
      <b/>
      <sz val="12"/>
      <color indexed="8"/>
      <name val="맑은 고딕"/>
      <family val="3"/>
      <charset val="129"/>
      <scheme val="major"/>
    </font>
    <font>
      <b/>
      <sz val="12"/>
      <color indexed="9"/>
      <name val="맑은 고딕"/>
      <family val="3"/>
      <charset val="129"/>
      <scheme val="major"/>
    </font>
    <font>
      <sz val="12"/>
      <color indexed="9"/>
      <name val="맑은 고딕"/>
      <family val="3"/>
      <charset val="129"/>
      <scheme val="major"/>
    </font>
    <font>
      <sz val="10"/>
      <color rgb="FF000000"/>
      <name val="맑은 고딕"/>
      <family val="3"/>
      <charset val="129"/>
    </font>
    <font>
      <b/>
      <sz val="10"/>
      <color theme="0"/>
      <name val="맑은 고딕"/>
      <family val="3"/>
      <charset val="129"/>
    </font>
    <font>
      <sz val="10"/>
      <color theme="1"/>
      <name val="맑은 고딕"/>
      <family val="3"/>
      <charset val="129"/>
    </font>
    <font>
      <sz val="10"/>
      <color theme="0"/>
      <name val="맑은 고딕"/>
      <family val="3"/>
      <charset val="129"/>
    </font>
    <font>
      <sz val="11"/>
      <color theme="1"/>
      <name val="맑은 고딕"/>
      <family val="3"/>
      <charset val="129"/>
    </font>
    <font>
      <b/>
      <sz val="11"/>
      <name val="맑은 고딕"/>
      <family val="1"/>
      <scheme val="major"/>
    </font>
  </fonts>
  <fills count="4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indexed="9"/>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79998168889431442"/>
        <bgColor indexed="64"/>
      </patternFill>
    </fill>
    <fill>
      <patternFill patternType="solid">
        <fgColor theme="3" tint="-0.249977111117893"/>
        <bgColor indexed="64"/>
      </patternFill>
    </fill>
    <fill>
      <patternFill patternType="solid">
        <fgColor rgb="FFFFC7CE"/>
      </patternFill>
    </fill>
    <fill>
      <patternFill patternType="solid">
        <fgColor theme="0" tint="-4.9989318521683403E-2"/>
        <bgColor indexed="64"/>
      </patternFill>
    </fill>
    <fill>
      <patternFill patternType="solid">
        <fgColor theme="3"/>
        <bgColor indexed="64"/>
      </patternFill>
    </fill>
    <fill>
      <patternFill patternType="solid">
        <fgColor theme="0" tint="-0.34998626667073579"/>
        <bgColor indexed="64"/>
      </patternFill>
    </fill>
    <fill>
      <patternFill patternType="solid">
        <fgColor rgb="FFDCE6F1"/>
        <bgColor indexed="64"/>
      </patternFill>
    </fill>
    <fill>
      <patternFill patternType="solid">
        <fgColor theme="4" tint="-0.499984740745262"/>
        <bgColor indexed="64"/>
      </patternFill>
    </fill>
    <fill>
      <patternFill patternType="solid">
        <fgColor rgb="FFFFFFFF"/>
        <bgColor indexed="64"/>
      </patternFill>
    </fill>
    <fill>
      <patternFill patternType="solid">
        <fgColor rgb="FF16365C"/>
        <bgColor indexed="64"/>
      </patternFill>
    </fill>
    <fill>
      <patternFill patternType="solid">
        <fgColor rgb="FFFFFFFF"/>
        <bgColor rgb="FF000000"/>
      </patternFill>
    </fill>
    <fill>
      <patternFill patternType="solid">
        <fgColor rgb="FFDCE6F1"/>
        <bgColor rgb="FF000000"/>
      </patternFill>
    </fill>
    <fill>
      <patternFill patternType="solid">
        <fgColor theme="4" tint="0.79998168889431442"/>
        <bgColor indexed="64"/>
      </patternFill>
    </fill>
    <fill>
      <patternFill patternType="solid">
        <fgColor theme="4" tint="0.79998168889431442"/>
        <bgColor rgb="FF000000"/>
      </patternFill>
    </fill>
  </fills>
  <borders count="63">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right style="thin">
        <color indexed="64"/>
      </right>
      <top style="thin">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top/>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thin">
        <color indexed="64"/>
      </right>
      <top/>
      <bottom style="thin">
        <color indexed="64"/>
      </bottom>
      <diagonal/>
    </border>
    <border>
      <left/>
      <right/>
      <top/>
      <bottom style="hair">
        <color indexed="64"/>
      </bottom>
      <diagonal/>
    </border>
    <border>
      <left/>
      <right/>
      <top style="double">
        <color indexed="64"/>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style="thin">
        <color rgb="FFFFFFFF"/>
      </right>
      <top style="thin">
        <color auto="1"/>
      </top>
      <bottom style="thin">
        <color auto="1"/>
      </bottom>
      <diagonal/>
    </border>
    <border>
      <left style="thin">
        <color rgb="FFFFFFFF"/>
      </left>
      <right/>
      <top style="thin">
        <color auto="1"/>
      </top>
      <bottom style="thin">
        <color auto="1"/>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8764">
    <xf numFmtId="0" fontId="0" fillId="0" borderId="0">
      <alignment vertical="center"/>
    </xf>
    <xf numFmtId="0" fontId="8"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8"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8"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8"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8"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8"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8"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8"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8"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8"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8"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8"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32" fillId="0" borderId="0" applyFont="0" applyFill="0" applyBorder="0" applyAlignment="0" applyProtection="0"/>
    <xf numFmtId="177" fontId="32" fillId="0" borderId="0" applyFont="0" applyFill="0" applyBorder="0" applyAlignment="0" applyProtection="0"/>
    <xf numFmtId="178" fontId="32" fillId="0" borderId="0" applyFont="0" applyFill="0" applyBorder="0" applyAlignment="0" applyProtection="0"/>
    <xf numFmtId="179" fontId="32" fillId="0" borderId="0" applyFont="0" applyFill="0" applyBorder="0" applyAlignment="0" applyProtection="0"/>
    <xf numFmtId="0" fontId="32" fillId="0" borderId="0"/>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9" fontId="6" fillId="0" borderId="0" applyFont="0" applyFill="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43" fontId="42" fillId="0" borderId="0" applyFont="0" applyFill="0" applyBorder="0" applyAlignment="0" applyProtection="0">
      <alignment vertical="center"/>
    </xf>
    <xf numFmtId="43" fontId="42" fillId="0" borderId="0" applyFont="0" applyFill="0" applyBorder="0" applyAlignment="0" applyProtection="0">
      <alignment vertical="center"/>
    </xf>
    <xf numFmtId="0" fontId="5" fillId="0" borderId="0"/>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9" fillId="0" borderId="0" applyNumberFormat="0" applyFill="0" applyBorder="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44" fontId="42" fillId="0" borderId="0" applyFont="0" applyFill="0" applyBorder="0" applyAlignment="0" applyProtection="0">
      <alignment vertical="center"/>
    </xf>
    <xf numFmtId="44" fontId="42" fillId="0" borderId="0" applyFont="0" applyFill="0" applyBorder="0" applyAlignment="0" applyProtection="0">
      <alignment vertical="center"/>
    </xf>
    <xf numFmtId="0" fontId="42" fillId="0" borderId="0"/>
    <xf numFmtId="0" fontId="42" fillId="0" borderId="0"/>
    <xf numFmtId="0" fontId="6" fillId="0" borderId="0">
      <alignment vertical="center"/>
    </xf>
    <xf numFmtId="0" fontId="42" fillId="0" borderId="0">
      <alignment vertical="center"/>
    </xf>
    <xf numFmtId="0" fontId="42" fillId="0" borderId="0"/>
    <xf numFmtId="0" fontId="42" fillId="0" borderId="0"/>
    <xf numFmtId="0" fontId="42" fillId="0" borderId="0"/>
    <xf numFmtId="0" fontId="42" fillId="0" borderId="0"/>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xf numFmtId="0" fontId="6" fillId="0" borderId="0"/>
    <xf numFmtId="0" fontId="6" fillId="0" borderId="0"/>
    <xf numFmtId="0" fontId="6" fillId="0" borderId="0"/>
    <xf numFmtId="0" fontId="6" fillId="0" borderId="0">
      <alignment vertical="center"/>
    </xf>
    <xf numFmtId="0" fontId="42" fillId="0" borderId="0"/>
    <xf numFmtId="0" fontId="42" fillId="0" borderId="0"/>
    <xf numFmtId="0" fontId="6" fillId="0" borderId="0"/>
    <xf numFmtId="0" fontId="6" fillId="0" borderId="0"/>
    <xf numFmtId="0" fontId="42" fillId="0" borderId="0">
      <alignment vertical="center"/>
    </xf>
    <xf numFmtId="0" fontId="42" fillId="0" borderId="0">
      <alignment vertical="center"/>
    </xf>
    <xf numFmtId="0" fontId="42"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6" fillId="0" borderId="0"/>
    <xf numFmtId="0" fontId="6" fillId="0" borderId="0"/>
    <xf numFmtId="0" fontId="42" fillId="0" borderId="0">
      <alignment vertical="center"/>
    </xf>
    <xf numFmtId="0" fontId="6" fillId="0" borderId="0"/>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6" fillId="0" borderId="0"/>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6" fillId="0" borderId="0"/>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xf numFmtId="0" fontId="42" fillId="0" borderId="0"/>
    <xf numFmtId="0" fontId="6" fillId="0" borderId="0">
      <alignment vertical="center"/>
    </xf>
    <xf numFmtId="0" fontId="43"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44"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6" fillId="0" borderId="0">
      <alignment vertical="center"/>
    </xf>
    <xf numFmtId="0" fontId="6" fillId="0" borderId="0"/>
    <xf numFmtId="0" fontId="58" fillId="0" borderId="0"/>
    <xf numFmtId="2" fontId="59" fillId="0" borderId="0" applyFon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59" fillId="0" borderId="0" applyFont="0" applyFill="0" applyBorder="0" applyAlignment="0" applyProtection="0"/>
    <xf numFmtId="0" fontId="59" fillId="0" borderId="0" applyFont="0" applyFill="0" applyBorder="0" applyAlignment="0" applyProtection="0"/>
    <xf numFmtId="40" fontId="62" fillId="0" borderId="0" applyFont="0" applyFill="0" applyBorder="0" applyAlignment="0" applyProtection="0"/>
    <xf numFmtId="38" fontId="62" fillId="0" borderId="0" applyFont="0" applyFill="0" applyBorder="0" applyAlignment="0" applyProtection="0"/>
    <xf numFmtId="0" fontId="62" fillId="0" borderId="0" applyFont="0" applyFill="0" applyBorder="0" applyAlignment="0" applyProtection="0"/>
    <xf numFmtId="0" fontId="62" fillId="0" borderId="0" applyFont="0" applyFill="0" applyBorder="0" applyAlignment="0" applyProtection="0"/>
    <xf numFmtId="0" fontId="63" fillId="0" borderId="0"/>
    <xf numFmtId="0" fontId="32" fillId="0" borderId="0"/>
    <xf numFmtId="0" fontId="64" fillId="0" borderId="36"/>
    <xf numFmtId="4" fontId="59" fillId="0" borderId="0" applyFont="0" applyFill="0" applyBorder="0" applyAlignment="0" applyProtection="0"/>
    <xf numFmtId="3" fontId="59" fillId="0" borderId="0" applyFont="0" applyFill="0" applyBorder="0" applyAlignment="0" applyProtection="0"/>
    <xf numFmtId="10" fontId="59" fillId="0" borderId="0" applyFont="0" applyFill="0" applyBorder="0" applyAlignment="0" applyProtection="0"/>
    <xf numFmtId="0" fontId="59" fillId="0" borderId="37" applyNumberFormat="0" applyFont="0" applyFill="0" applyAlignment="0" applyProtection="0"/>
    <xf numFmtId="180" fontId="6" fillId="0" borderId="0" applyFont="0" applyFill="0" applyBorder="0" applyAlignment="0" applyProtection="0"/>
    <xf numFmtId="181" fontId="59" fillId="0" borderId="0" applyFont="0" applyFill="0" applyBorder="0" applyAlignment="0" applyProtection="0"/>
    <xf numFmtId="0" fontId="6" fillId="0" borderId="0" applyFill="0" applyBorder="0" applyAlignment="0"/>
    <xf numFmtId="0" fontId="65" fillId="0" borderId="28" applyNumberFormat="0" applyAlignment="0" applyProtection="0">
      <alignment horizontal="left" vertical="center"/>
    </xf>
    <xf numFmtId="0" fontId="65" fillId="0" borderId="20">
      <alignment horizontal="left" vertical="center"/>
    </xf>
    <xf numFmtId="0" fontId="66" fillId="0" borderId="0" applyNumberFormat="0" applyFill="0" applyBorder="0" applyAlignment="0" applyProtection="0"/>
    <xf numFmtId="0" fontId="57" fillId="0" borderId="0">
      <alignment vertical="center"/>
    </xf>
    <xf numFmtId="0" fontId="6" fillId="0" borderId="0"/>
    <xf numFmtId="41" fontId="6" fillId="0" borderId="0" applyFont="0" applyFill="0" applyBorder="0" applyAlignment="0" applyProtection="0"/>
    <xf numFmtId="41" fontId="6" fillId="0" borderId="0" applyFont="0" applyFill="0" applyBorder="0" applyAlignment="0" applyProtection="0"/>
    <xf numFmtId="0" fontId="58" fillId="0" borderId="0"/>
    <xf numFmtId="0" fontId="6" fillId="0" borderId="0"/>
    <xf numFmtId="41" fontId="6" fillId="0" borderId="0" applyFont="0" applyFill="0" applyBorder="0" applyAlignment="0" applyProtection="0"/>
    <xf numFmtId="182" fontId="67" fillId="0" borderId="0" applyFont="0" applyFill="0" applyBorder="0" applyAlignment="0" applyProtection="0"/>
    <xf numFmtId="183" fontId="67" fillId="0" borderId="0" applyFont="0" applyFill="0" applyBorder="0" applyAlignment="0" applyProtection="0"/>
    <xf numFmtId="0" fontId="6" fillId="0" borderId="0"/>
    <xf numFmtId="0" fontId="6" fillId="0" borderId="0"/>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6" fillId="0" borderId="0">
      <alignment vertical="center"/>
    </xf>
    <xf numFmtId="0" fontId="32" fillId="0" borderId="0"/>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5" fillId="0" borderId="0"/>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6" fillId="0" borderId="0">
      <alignment vertical="center"/>
    </xf>
    <xf numFmtId="0" fontId="6" fillId="0" borderId="0">
      <alignment vertical="center"/>
    </xf>
    <xf numFmtId="0" fontId="6"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xf numFmtId="0" fontId="4"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xf numFmtId="0" fontId="6" fillId="0" borderId="0"/>
    <xf numFmtId="0" fontId="6" fillId="0" borderId="0"/>
    <xf numFmtId="0" fontId="6"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6" fillId="0" borderId="0"/>
    <xf numFmtId="0" fontId="6" fillId="0" borderId="0"/>
    <xf numFmtId="0" fontId="6" fillId="0" borderId="0"/>
    <xf numFmtId="0" fontId="6" fillId="0" borderId="0"/>
    <xf numFmtId="0" fontId="6"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alignment vertical="center"/>
    </xf>
    <xf numFmtId="0" fontId="6" fillId="0" borderId="0"/>
    <xf numFmtId="0" fontId="42" fillId="0" borderId="0">
      <alignment vertical="center"/>
    </xf>
    <xf numFmtId="0" fontId="42" fillId="0" borderId="0">
      <alignment vertical="center"/>
    </xf>
    <xf numFmtId="0" fontId="42"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42" fillId="0" borderId="0">
      <alignment vertical="center"/>
    </xf>
    <xf numFmtId="0" fontId="42"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4" fillId="20" borderId="0" applyNumberFormat="0" applyBorder="0" applyAlignment="0" applyProtection="0">
      <alignment vertical="center"/>
    </xf>
    <xf numFmtId="0" fontId="4" fillId="21" borderId="2" applyNumberFormat="0" applyFont="0" applyAlignment="0" applyProtection="0">
      <alignment vertical="center"/>
    </xf>
    <xf numFmtId="0" fontId="18" fillId="20" borderId="1" applyNumberFormat="0" applyAlignment="0" applyProtection="0">
      <alignment vertical="center"/>
    </xf>
    <xf numFmtId="0" fontId="6" fillId="0" borderId="0"/>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68"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42"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42" fillId="0" borderId="0">
      <alignment vertical="center"/>
    </xf>
    <xf numFmtId="41" fontId="6" fillId="0" borderId="0" applyFont="0" applyFill="0" applyBorder="0" applyAlignment="0" applyProtection="0">
      <alignment vertical="center"/>
    </xf>
    <xf numFmtId="0" fontId="42" fillId="0" borderId="0">
      <alignment vertical="center"/>
    </xf>
    <xf numFmtId="0" fontId="57" fillId="0" borderId="0">
      <alignment vertical="center"/>
    </xf>
    <xf numFmtId="0" fontId="43" fillId="0" borderId="0" applyNumberFormat="0" applyFill="0" applyBorder="0" applyAlignment="0" applyProtection="0">
      <alignment vertical="center"/>
    </xf>
    <xf numFmtId="0" fontId="42" fillId="0" borderId="0">
      <alignment vertical="center"/>
    </xf>
    <xf numFmtId="0" fontId="57" fillId="0" borderId="0">
      <alignment vertical="center"/>
    </xf>
    <xf numFmtId="0" fontId="70" fillId="0" borderId="0" applyNumberFormat="0" applyFill="0" applyBorder="0" applyAlignment="0" applyProtection="0">
      <alignment vertical="top"/>
      <protection locked="0"/>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57" fillId="0" borderId="0">
      <alignment vertical="center"/>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42" fillId="0" borderId="0">
      <alignment vertical="center"/>
    </xf>
    <xf numFmtId="0" fontId="57" fillId="0" borderId="0">
      <alignment vertical="center"/>
    </xf>
    <xf numFmtId="0" fontId="57" fillId="0" borderId="0">
      <alignment vertical="center"/>
    </xf>
    <xf numFmtId="0" fontId="42" fillId="0" borderId="0">
      <alignment vertical="center"/>
    </xf>
    <xf numFmtId="0" fontId="42"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57" fillId="0" borderId="0">
      <alignment vertical="center"/>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6" fillId="0" borderId="0"/>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42" fillId="0" borderId="0">
      <alignment vertical="center"/>
    </xf>
    <xf numFmtId="0" fontId="71" fillId="29" borderId="0" applyNumberFormat="0" applyBorder="0" applyAlignment="0" applyProtection="0">
      <alignment vertical="center"/>
    </xf>
    <xf numFmtId="0" fontId="42" fillId="0" borderId="0">
      <alignment vertical="center"/>
    </xf>
    <xf numFmtId="0" fontId="70" fillId="0" borderId="0" applyNumberFormat="0" applyFill="0" applyBorder="0" applyAlignment="0" applyProtection="0">
      <alignment vertical="top"/>
      <protection locked="0"/>
    </xf>
    <xf numFmtId="0" fontId="57" fillId="0" borderId="0">
      <alignment vertical="center"/>
    </xf>
    <xf numFmtId="0" fontId="57" fillId="0" borderId="0">
      <alignment vertical="center"/>
    </xf>
    <xf numFmtId="0" fontId="42" fillId="0" borderId="0">
      <alignment vertical="center"/>
    </xf>
    <xf numFmtId="0" fontId="42" fillId="0" borderId="0">
      <alignment vertical="center"/>
    </xf>
    <xf numFmtId="0" fontId="57" fillId="0" borderId="0">
      <alignment vertical="center"/>
    </xf>
    <xf numFmtId="0" fontId="42" fillId="0" borderId="0">
      <alignment vertical="center"/>
    </xf>
    <xf numFmtId="0" fontId="57" fillId="0" borderId="0">
      <alignment vertical="center"/>
    </xf>
    <xf numFmtId="0" fontId="42" fillId="0" borderId="0">
      <alignment vertical="center"/>
    </xf>
    <xf numFmtId="0" fontId="42" fillId="0" borderId="0">
      <alignment vertical="center"/>
    </xf>
    <xf numFmtId="0" fontId="57" fillId="0" borderId="0">
      <alignment vertical="center"/>
    </xf>
    <xf numFmtId="0" fontId="57" fillId="0" borderId="0">
      <alignment vertical="center"/>
    </xf>
    <xf numFmtId="0" fontId="6" fillId="0" borderId="0"/>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57" fillId="0" borderId="0">
      <alignment vertical="center"/>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57" fillId="0" borderId="0">
      <alignment vertical="center"/>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6" fillId="0" borderId="0"/>
    <xf numFmtId="0" fontId="57" fillId="0" borderId="0">
      <alignment vertical="center"/>
    </xf>
    <xf numFmtId="0" fontId="3" fillId="0" borderId="0">
      <alignment vertical="center"/>
    </xf>
    <xf numFmtId="0" fontId="81" fillId="0" borderId="0">
      <alignment vertical="center"/>
    </xf>
    <xf numFmtId="0" fontId="2" fillId="0" borderId="0">
      <alignment vertical="center"/>
    </xf>
    <xf numFmtId="0" fontId="89" fillId="0" borderId="0">
      <alignment vertical="center"/>
    </xf>
    <xf numFmtId="0" fontId="1" fillId="0" borderId="0">
      <alignment vertical="center"/>
    </xf>
  </cellStyleXfs>
  <cellXfs count="434">
    <xf numFmtId="0" fontId="0" fillId="0" borderId="0" xfId="0">
      <alignment vertical="center"/>
    </xf>
    <xf numFmtId="0" fontId="47" fillId="26" borderId="0" xfId="0" applyFont="1" applyFill="1">
      <alignment vertical="center"/>
    </xf>
    <xf numFmtId="0" fontId="42" fillId="26" borderId="0" xfId="157" applyFill="1">
      <alignment vertical="center"/>
    </xf>
    <xf numFmtId="0" fontId="0" fillId="26" borderId="0" xfId="0" applyFill="1">
      <alignment vertical="center"/>
    </xf>
    <xf numFmtId="0" fontId="48" fillId="26" borderId="0" xfId="157" applyFont="1" applyFill="1">
      <alignment vertical="center"/>
    </xf>
    <xf numFmtId="0" fontId="49" fillId="26" borderId="0" xfId="157" applyFont="1" applyFill="1">
      <alignment vertical="center"/>
    </xf>
    <xf numFmtId="0" fontId="51" fillId="26" borderId="0" xfId="0" applyFont="1" applyFill="1">
      <alignment vertical="center"/>
    </xf>
    <xf numFmtId="0" fontId="27" fillId="26" borderId="0" xfId="157" applyFont="1" applyFill="1" applyAlignment="1">
      <alignment horizontal="left" vertical="center"/>
    </xf>
    <xf numFmtId="0" fontId="46" fillId="26" borderId="0" xfId="0" applyFont="1" applyFill="1">
      <alignment vertical="center"/>
    </xf>
    <xf numFmtId="0" fontId="54" fillId="26" borderId="0" xfId="0" applyFont="1" applyFill="1">
      <alignment vertical="center"/>
    </xf>
    <xf numFmtId="0" fontId="53" fillId="26" borderId="0" xfId="0" applyFont="1" applyFill="1">
      <alignment vertical="center"/>
    </xf>
    <xf numFmtId="0" fontId="46" fillId="26" borderId="13" xfId="0" applyFont="1" applyFill="1" applyBorder="1" applyAlignment="1">
      <alignment horizontal="center" vertical="center"/>
    </xf>
    <xf numFmtId="0" fontId="51" fillId="26" borderId="0" xfId="157" applyFont="1" applyFill="1">
      <alignment vertical="center"/>
    </xf>
    <xf numFmtId="0" fontId="47" fillId="26" borderId="0" xfId="0" applyFont="1" applyFill="1" applyAlignment="1">
      <alignment horizontal="center" vertical="center"/>
    </xf>
    <xf numFmtId="0" fontId="46" fillId="26" borderId="10" xfId="0" applyFont="1" applyFill="1" applyBorder="1" applyAlignment="1">
      <alignment horizontal="center" vertical="center"/>
    </xf>
    <xf numFmtId="0" fontId="52" fillId="26" borderId="22" xfId="157" applyFont="1" applyFill="1" applyBorder="1" applyAlignment="1">
      <alignment horizontal="center" vertical="center" wrapText="1"/>
    </xf>
    <xf numFmtId="14" fontId="46" fillId="26" borderId="10" xfId="0" applyNumberFormat="1" applyFont="1" applyFill="1" applyBorder="1" applyAlignment="1">
      <alignment horizontal="center" vertical="center"/>
    </xf>
    <xf numFmtId="0" fontId="46" fillId="26" borderId="10" xfId="0" applyFont="1" applyFill="1" applyBorder="1" applyAlignment="1">
      <alignment horizontal="center" vertical="center" wrapText="1"/>
    </xf>
    <xf numFmtId="0" fontId="25" fillId="24" borderId="0" xfId="157" applyFont="1" applyFill="1">
      <alignment vertical="center"/>
    </xf>
    <xf numFmtId="0" fontId="36" fillId="24" borderId="0" xfId="0" applyFont="1" applyFill="1">
      <alignment vertical="center"/>
    </xf>
    <xf numFmtId="0" fontId="36" fillId="24" borderId="0" xfId="410" applyFont="1" applyFill="1" applyAlignment="1">
      <alignment horizontal="left" vertical="center"/>
    </xf>
    <xf numFmtId="0" fontId="36" fillId="24" borderId="0" xfId="410" applyFont="1" applyFill="1">
      <alignment vertical="center"/>
    </xf>
    <xf numFmtId="0" fontId="36" fillId="24" borderId="30" xfId="410" applyFont="1" applyFill="1" applyBorder="1" applyAlignment="1">
      <alignment horizontal="left" vertical="center"/>
    </xf>
    <xf numFmtId="0" fontId="36" fillId="24" borderId="25" xfId="410" applyFont="1" applyFill="1" applyBorder="1" applyAlignment="1">
      <alignment horizontal="left" vertical="center"/>
    </xf>
    <xf numFmtId="0" fontId="36" fillId="24" borderId="34" xfId="0" applyFont="1" applyFill="1" applyBorder="1">
      <alignment vertical="center"/>
    </xf>
    <xf numFmtId="0" fontId="36" fillId="24" borderId="29" xfId="410" applyFont="1" applyFill="1" applyBorder="1" applyAlignment="1">
      <alignment horizontal="left" vertical="center"/>
    </xf>
    <xf numFmtId="0" fontId="36" fillId="24" borderId="31" xfId="0" applyFont="1" applyFill="1" applyBorder="1">
      <alignment vertical="center"/>
    </xf>
    <xf numFmtId="0" fontId="36" fillId="24" borderId="27" xfId="410" applyFont="1" applyFill="1" applyBorder="1" applyAlignment="1">
      <alignment horizontal="left" vertical="center"/>
    </xf>
    <xf numFmtId="0" fontId="36" fillId="24" borderId="32" xfId="0" applyFont="1" applyFill="1" applyBorder="1">
      <alignment vertical="center"/>
    </xf>
    <xf numFmtId="0" fontId="36" fillId="24" borderId="33" xfId="410" applyFont="1" applyFill="1" applyBorder="1" applyAlignment="1">
      <alignment horizontal="left" vertical="center"/>
    </xf>
    <xf numFmtId="0" fontId="37" fillId="24" borderId="0" xfId="0" applyFont="1" applyFill="1" applyAlignment="1">
      <alignment horizontal="left" vertical="center"/>
    </xf>
    <xf numFmtId="0" fontId="4" fillId="24" borderId="0" xfId="157" applyFont="1" applyFill="1">
      <alignment vertical="center"/>
    </xf>
    <xf numFmtId="0" fontId="33" fillId="24" borderId="0" xfId="157" applyFont="1" applyFill="1">
      <alignment vertical="center"/>
    </xf>
    <xf numFmtId="14" fontId="35" fillId="24" borderId="10" xfId="0" applyNumberFormat="1" applyFont="1" applyFill="1" applyBorder="1" applyAlignment="1">
      <alignment horizontal="center" vertical="center"/>
    </xf>
    <xf numFmtId="0" fontId="35" fillId="24" borderId="10" xfId="0" applyFont="1" applyFill="1" applyBorder="1" applyAlignment="1">
      <alignment horizontal="center" vertical="center"/>
    </xf>
    <xf numFmtId="0" fontId="35" fillId="24" borderId="10" xfId="0" applyFont="1" applyFill="1" applyBorder="1" applyAlignment="1">
      <alignment horizontal="center" vertical="center" wrapText="1"/>
    </xf>
    <xf numFmtId="0" fontId="53" fillId="26" borderId="0" xfId="157" applyFont="1" applyFill="1" applyAlignment="1">
      <alignment horizontal="left" vertical="center"/>
    </xf>
    <xf numFmtId="0" fontId="35" fillId="24" borderId="0" xfId="0" applyFont="1" applyFill="1">
      <alignment vertical="center"/>
    </xf>
    <xf numFmtId="0" fontId="25" fillId="24" borderId="10" xfId="171" applyFont="1" applyFill="1" applyBorder="1" applyAlignment="1">
      <alignment horizontal="center" vertical="center" wrapText="1"/>
    </xf>
    <xf numFmtId="176" fontId="25" fillId="24" borderId="10" xfId="171" applyNumberFormat="1" applyFont="1" applyFill="1" applyBorder="1" applyAlignment="1">
      <alignment horizontal="center" vertical="center" wrapText="1"/>
    </xf>
    <xf numFmtId="0" fontId="25" fillId="24" borderId="0" xfId="157" applyFont="1" applyFill="1" applyAlignment="1">
      <alignment horizontal="center" vertical="center"/>
    </xf>
    <xf numFmtId="0" fontId="33" fillId="24" borderId="0" xfId="0" applyFont="1" applyFill="1" applyAlignment="1">
      <alignment horizontal="left" vertical="center"/>
    </xf>
    <xf numFmtId="0" fontId="34" fillId="24" borderId="0" xfId="0" applyFont="1" applyFill="1" applyAlignment="1">
      <alignment horizontal="left" vertical="center"/>
    </xf>
    <xf numFmtId="0" fontId="40" fillId="24" borderId="0" xfId="0" applyFont="1" applyFill="1">
      <alignment vertical="center"/>
    </xf>
    <xf numFmtId="0" fontId="41" fillId="24" borderId="0" xfId="157" applyFont="1" applyFill="1">
      <alignment vertical="center"/>
    </xf>
    <xf numFmtId="0" fontId="31" fillId="24" borderId="0" xfId="0" applyFont="1" applyFill="1">
      <alignment vertical="center"/>
    </xf>
    <xf numFmtId="0" fontId="35" fillId="24" borderId="10" xfId="409" applyFont="1" applyFill="1" applyBorder="1" applyAlignment="1">
      <alignment horizontal="center" vertical="center"/>
    </xf>
    <xf numFmtId="0" fontId="46" fillId="24" borderId="10" xfId="0" applyFont="1" applyFill="1" applyBorder="1" applyAlignment="1">
      <alignment horizontal="center" vertical="center"/>
    </xf>
    <xf numFmtId="9" fontId="35" fillId="24" borderId="10" xfId="409" applyNumberFormat="1" applyFont="1" applyFill="1" applyBorder="1" applyAlignment="1">
      <alignment horizontal="center" vertical="center"/>
    </xf>
    <xf numFmtId="9" fontId="39" fillId="25" borderId="15" xfId="409" applyNumberFormat="1" applyFont="1" applyFill="1" applyBorder="1" applyAlignment="1">
      <alignment horizontal="center" vertical="center"/>
    </xf>
    <xf numFmtId="0" fontId="45" fillId="28" borderId="10" xfId="157" applyFont="1" applyFill="1" applyBorder="1" applyAlignment="1">
      <alignment horizontal="center" vertical="center"/>
    </xf>
    <xf numFmtId="0" fontId="45" fillId="28" borderId="23" xfId="157" applyFont="1" applyFill="1" applyBorder="1" applyAlignment="1">
      <alignment horizontal="center" vertical="center"/>
    </xf>
    <xf numFmtId="0" fontId="45" fillId="28" borderId="11" xfId="157" applyFont="1" applyFill="1" applyBorder="1" applyAlignment="1">
      <alignment horizontal="center" vertical="center"/>
    </xf>
    <xf numFmtId="0" fontId="45" fillId="28" borderId="19" xfId="157" applyFont="1" applyFill="1" applyBorder="1" applyAlignment="1">
      <alignment horizontal="center" vertical="center"/>
    </xf>
    <xf numFmtId="0" fontId="38" fillId="28" borderId="10" xfId="171" applyFont="1" applyFill="1" applyBorder="1" applyAlignment="1">
      <alignment horizontal="center" vertical="center" wrapText="1"/>
    </xf>
    <xf numFmtId="0" fontId="42" fillId="26" borderId="38" xfId="157" applyFill="1" applyBorder="1">
      <alignment vertical="center"/>
    </xf>
    <xf numFmtId="0" fontId="55" fillId="26" borderId="38" xfId="157" applyFont="1" applyFill="1" applyBorder="1" applyAlignment="1">
      <alignment horizontal="center" vertical="center"/>
    </xf>
    <xf numFmtId="0" fontId="39" fillId="25" borderId="35" xfId="0" applyFont="1" applyFill="1" applyBorder="1" applyAlignment="1">
      <alignment horizontal="center" vertical="center"/>
    </xf>
    <xf numFmtId="0" fontId="39" fillId="26" borderId="35" xfId="0" applyFont="1" applyFill="1" applyBorder="1" applyAlignment="1">
      <alignment horizontal="center" vertical="center"/>
    </xf>
    <xf numFmtId="0" fontId="72" fillId="25" borderId="10" xfId="0" applyFont="1" applyFill="1" applyBorder="1" applyAlignment="1">
      <alignment horizontal="center" vertical="center"/>
    </xf>
    <xf numFmtId="0" fontId="39" fillId="25" borderId="10" xfId="0" applyFont="1" applyFill="1" applyBorder="1" applyAlignment="1">
      <alignment horizontal="center" vertical="center"/>
    </xf>
    <xf numFmtId="0" fontId="39" fillId="26" borderId="10" xfId="0" applyFont="1" applyFill="1" applyBorder="1" applyAlignment="1">
      <alignment horizontal="center" vertical="center"/>
    </xf>
    <xf numFmtId="9" fontId="30" fillId="25" borderId="10" xfId="171" applyNumberFormat="1" applyFont="1" applyFill="1" applyBorder="1" applyAlignment="1">
      <alignment horizontal="center" vertical="center" wrapText="1"/>
    </xf>
    <xf numFmtId="0" fontId="39" fillId="25" borderId="10" xfId="171" applyFont="1" applyFill="1" applyBorder="1" applyAlignment="1">
      <alignment horizontal="center" vertical="center" wrapText="1"/>
    </xf>
    <xf numFmtId="176" fontId="39" fillId="25" borderId="10" xfId="171" applyNumberFormat="1" applyFont="1" applyFill="1" applyBorder="1" applyAlignment="1">
      <alignment horizontal="center" vertical="center" wrapText="1"/>
    </xf>
    <xf numFmtId="0" fontId="46" fillId="0" borderId="0" xfId="0" applyFont="1">
      <alignment vertical="center"/>
    </xf>
    <xf numFmtId="0" fontId="36" fillId="24" borderId="0" xfId="0" applyFont="1" applyFill="1" applyAlignment="1">
      <alignment horizontal="left" vertical="center" wrapText="1"/>
    </xf>
    <xf numFmtId="0" fontId="15" fillId="28" borderId="11" xfId="171" applyFont="1" applyFill="1" applyBorder="1" applyAlignment="1">
      <alignment horizontal="center" vertical="center" wrapText="1"/>
    </xf>
    <xf numFmtId="0" fontId="36" fillId="24" borderId="10" xfId="410" applyFont="1" applyFill="1" applyBorder="1" applyAlignment="1">
      <alignment horizontal="center" vertical="center"/>
    </xf>
    <xf numFmtId="0" fontId="36" fillId="24" borderId="12" xfId="410" applyFont="1" applyFill="1" applyBorder="1" applyAlignment="1">
      <alignment horizontal="center" vertical="center"/>
    </xf>
    <xf numFmtId="0" fontId="37" fillId="24" borderId="0" xfId="410" applyFont="1" applyFill="1" applyAlignment="1">
      <alignment horizontal="left" vertical="center"/>
    </xf>
    <xf numFmtId="0" fontId="36" fillId="24" borderId="25" xfId="410" applyFont="1" applyFill="1" applyBorder="1">
      <alignment vertical="center"/>
    </xf>
    <xf numFmtId="0" fontId="36" fillId="24" borderId="33" xfId="410" applyFont="1" applyFill="1" applyBorder="1">
      <alignment vertical="center"/>
    </xf>
    <xf numFmtId="0" fontId="36" fillId="24" borderId="32" xfId="410" applyFont="1" applyFill="1" applyBorder="1">
      <alignment vertical="center"/>
    </xf>
    <xf numFmtId="0" fontId="36" fillId="24" borderId="27" xfId="410" applyFont="1" applyFill="1" applyBorder="1">
      <alignment vertical="center"/>
    </xf>
    <xf numFmtId="0" fontId="36" fillId="24" borderId="31" xfId="410" applyFont="1" applyFill="1" applyBorder="1">
      <alignment vertical="center"/>
    </xf>
    <xf numFmtId="0" fontId="36" fillId="24" borderId="30" xfId="410" applyFont="1" applyFill="1" applyBorder="1">
      <alignment vertical="center"/>
    </xf>
    <xf numFmtId="0" fontId="36" fillId="24" borderId="29" xfId="410" applyFont="1" applyFill="1" applyBorder="1">
      <alignment vertical="center"/>
    </xf>
    <xf numFmtId="0" fontId="37" fillId="24" borderId="0" xfId="410" applyFont="1" applyFill="1">
      <alignment vertical="center"/>
    </xf>
    <xf numFmtId="0" fontId="74" fillId="26" borderId="0" xfId="157" applyFont="1" applyFill="1" applyAlignment="1">
      <alignment horizontal="center" vertical="center"/>
    </xf>
    <xf numFmtId="0" fontId="3" fillId="26" borderId="0" xfId="8759" applyFill="1">
      <alignment vertical="center"/>
    </xf>
    <xf numFmtId="0" fontId="3" fillId="0" borderId="0" xfId="8759">
      <alignment vertical="center"/>
    </xf>
    <xf numFmtId="0" fontId="78" fillId="26" borderId="47" xfId="8759" applyFont="1" applyFill="1" applyBorder="1" applyAlignment="1">
      <alignment horizontal="center" vertical="center"/>
    </xf>
    <xf numFmtId="0" fontId="50" fillId="26" borderId="10" xfId="157" applyFont="1" applyFill="1" applyBorder="1" applyAlignment="1">
      <alignment horizontal="center" vertical="center"/>
    </xf>
    <xf numFmtId="0" fontId="33" fillId="24" borderId="0" xfId="0" applyFont="1" applyFill="1">
      <alignment vertical="center"/>
    </xf>
    <xf numFmtId="0" fontId="31" fillId="24" borderId="10" xfId="0" applyFont="1" applyFill="1" applyBorder="1" applyAlignment="1">
      <alignment horizontal="center" vertical="center"/>
    </xf>
    <xf numFmtId="0" fontId="47" fillId="26" borderId="10" xfId="0" applyFont="1" applyFill="1" applyBorder="1" applyAlignment="1">
      <alignment horizontal="center" vertical="center"/>
    </xf>
    <xf numFmtId="0" fontId="50" fillId="26" borderId="0" xfId="8761" applyFont="1" applyFill="1">
      <alignment vertical="center"/>
    </xf>
    <xf numFmtId="0" fontId="35" fillId="0" borderId="10" xfId="415" quotePrefix="1" applyFont="1" applyBorder="1" applyAlignment="1">
      <alignment horizontal="left" vertical="center" wrapText="1"/>
    </xf>
    <xf numFmtId="0" fontId="36" fillId="24" borderId="0" xfId="0" applyFont="1" applyFill="1" applyAlignment="1">
      <alignment horizontal="center" vertical="center"/>
    </xf>
    <xf numFmtId="9" fontId="30" fillId="32" borderId="10" xfId="171" applyNumberFormat="1" applyFont="1" applyFill="1" applyBorder="1" applyAlignment="1">
      <alignment horizontal="center" vertical="center" wrapText="1"/>
    </xf>
    <xf numFmtId="0" fontId="86" fillId="24" borderId="0" xfId="0" applyFont="1" applyFill="1">
      <alignment vertical="center"/>
    </xf>
    <xf numFmtId="0" fontId="35" fillId="33" borderId="10" xfId="415" quotePrefix="1" applyFont="1" applyFill="1" applyBorder="1" applyAlignment="1">
      <alignment horizontal="center" vertical="center" wrapText="1"/>
    </xf>
    <xf numFmtId="0" fontId="75" fillId="0" borderId="0" xfId="0" applyFont="1">
      <alignment vertical="center"/>
    </xf>
    <xf numFmtId="0" fontId="39" fillId="25" borderId="15" xfId="409" applyFont="1" applyFill="1" applyBorder="1" applyAlignment="1">
      <alignment horizontal="center" vertical="center"/>
    </xf>
    <xf numFmtId="0" fontId="38" fillId="28" borderId="10" xfId="171" applyFont="1" applyFill="1" applyBorder="1" applyAlignment="1" applyProtection="1">
      <alignment horizontal="center" vertical="center" wrapText="1"/>
      <protection locked="0"/>
    </xf>
    <xf numFmtId="0" fontId="38" fillId="28" borderId="10" xfId="0" applyFont="1" applyFill="1" applyBorder="1" applyAlignment="1">
      <alignment horizontal="center" vertical="center"/>
    </xf>
    <xf numFmtId="0" fontId="35" fillId="33" borderId="35" xfId="415" quotePrefix="1" applyFont="1" applyFill="1" applyBorder="1" applyAlignment="1">
      <alignment horizontal="left" vertical="center" wrapText="1"/>
    </xf>
    <xf numFmtId="0" fontId="36" fillId="24" borderId="12" xfId="410" applyFont="1" applyFill="1" applyBorder="1" applyAlignment="1">
      <alignment horizontal="center" vertical="center" wrapText="1"/>
    </xf>
    <xf numFmtId="0" fontId="36" fillId="24" borderId="16" xfId="410" applyFont="1" applyFill="1" applyBorder="1" applyAlignment="1">
      <alignment horizontal="center" vertical="center" wrapText="1"/>
    </xf>
    <xf numFmtId="0" fontId="36" fillId="24" borderId="10" xfId="410" applyFont="1" applyFill="1" applyBorder="1" applyAlignment="1">
      <alignment horizontal="center" vertical="center" wrapText="1"/>
    </xf>
    <xf numFmtId="0" fontId="36" fillId="24" borderId="13" xfId="410" applyFont="1" applyFill="1" applyBorder="1" applyAlignment="1">
      <alignment horizontal="center" vertical="center" wrapText="1"/>
    </xf>
    <xf numFmtId="0" fontId="35" fillId="0" borderId="10" xfId="8760" applyFont="1" applyBorder="1" applyAlignment="1">
      <alignment horizontal="center" vertical="center" wrapText="1"/>
    </xf>
    <xf numFmtId="0" fontId="82" fillId="34" borderId="14" xfId="0" applyFont="1" applyFill="1" applyBorder="1" applyAlignment="1">
      <alignment horizontal="center" vertical="center" wrapText="1"/>
    </xf>
    <xf numFmtId="0" fontId="47" fillId="33" borderId="10" xfId="0" applyFont="1" applyFill="1" applyBorder="1" applyAlignment="1">
      <alignment horizontal="center" vertical="center"/>
    </xf>
    <xf numFmtId="0" fontId="47" fillId="0" borderId="0" xfId="171" applyFont="1" applyAlignment="1">
      <alignment vertical="center"/>
    </xf>
    <xf numFmtId="0" fontId="83" fillId="35" borderId="0" xfId="8762" applyFont="1" applyFill="1">
      <alignment vertical="center"/>
    </xf>
    <xf numFmtId="0" fontId="52" fillId="0" borderId="0" xfId="8763" applyFont="1">
      <alignment vertical="center"/>
    </xf>
    <xf numFmtId="0" fontId="90" fillId="35" borderId="0" xfId="8762" applyFont="1" applyFill="1" applyAlignment="1">
      <alignment vertical="top" wrapText="1" readingOrder="1"/>
    </xf>
    <xf numFmtId="0" fontId="91" fillId="0" borderId="0" xfId="8763" applyFont="1">
      <alignment vertical="center"/>
    </xf>
    <xf numFmtId="0" fontId="92" fillId="35" borderId="0" xfId="8762" applyFont="1" applyFill="1" applyAlignment="1">
      <alignment horizontal="left" vertical="center"/>
    </xf>
    <xf numFmtId="0" fontId="90" fillId="35" borderId="0" xfId="8762" applyFont="1" applyFill="1">
      <alignment vertical="center"/>
    </xf>
    <xf numFmtId="0" fontId="94" fillId="35" borderId="0" xfId="8762" applyFont="1" applyFill="1">
      <alignment vertical="center"/>
    </xf>
    <xf numFmtId="0" fontId="92" fillId="35" borderId="0" xfId="8762" applyFont="1" applyFill="1">
      <alignment vertical="center"/>
    </xf>
    <xf numFmtId="49" fontId="93" fillId="36" borderId="52" xfId="8762" applyNumberFormat="1" applyFont="1" applyFill="1" applyBorder="1" applyAlignment="1">
      <alignment horizontal="center" vertical="center" wrapText="1"/>
    </xf>
    <xf numFmtId="49" fontId="93" fillId="36" borderId="53" xfId="8762" applyNumberFormat="1" applyFont="1" applyFill="1" applyBorder="1" applyAlignment="1">
      <alignment horizontal="center" vertical="center" wrapText="1"/>
    </xf>
    <xf numFmtId="0" fontId="90" fillId="0" borderId="18" xfId="8762" applyFont="1" applyBorder="1" applyAlignment="1">
      <alignment horizontal="center" vertical="center"/>
    </xf>
    <xf numFmtId="0" fontId="92" fillId="35" borderId="0" xfId="8762" applyFont="1" applyFill="1" applyAlignment="1">
      <alignment horizontal="center" vertical="center"/>
    </xf>
    <xf numFmtId="0" fontId="90" fillId="35" borderId="0" xfId="8762" applyFont="1" applyFill="1" applyAlignment="1">
      <alignment horizontal="center" vertical="center"/>
    </xf>
    <xf numFmtId="0" fontId="90" fillId="35" borderId="0" xfId="8762" applyFont="1" applyFill="1" applyAlignment="1">
      <alignment horizontal="left" vertical="center"/>
    </xf>
    <xf numFmtId="0" fontId="92" fillId="0" borderId="10" xfId="8762" applyFont="1" applyBorder="1" applyAlignment="1">
      <alignment horizontal="center" vertical="center"/>
    </xf>
    <xf numFmtId="0" fontId="90" fillId="0" borderId="10" xfId="8762" applyFont="1" applyBorder="1" applyAlignment="1">
      <alignment horizontal="center" vertical="center"/>
    </xf>
    <xf numFmtId="0" fontId="91" fillId="0" borderId="0" xfId="8763" applyFont="1" applyAlignment="1">
      <alignment horizontal="center" vertical="center"/>
    </xf>
    <xf numFmtId="0" fontId="90" fillId="0" borderId="0" xfId="8762" applyFont="1">
      <alignment vertical="center"/>
    </xf>
    <xf numFmtId="0" fontId="52" fillId="0" borderId="0" xfId="8763" applyFont="1" applyAlignment="1">
      <alignment horizontal="center" vertical="center"/>
    </xf>
    <xf numFmtId="0" fontId="95" fillId="37" borderId="10" xfId="385" applyFont="1" applyFill="1" applyBorder="1" applyAlignment="1">
      <alignment horizontal="center" vertical="center" wrapText="1"/>
    </xf>
    <xf numFmtId="0" fontId="95" fillId="38" borderId="10" xfId="385" applyFont="1" applyFill="1" applyBorder="1" applyAlignment="1">
      <alignment horizontal="center" vertical="center" wrapText="1"/>
    </xf>
    <xf numFmtId="0" fontId="36" fillId="37" borderId="10" xfId="0" applyFont="1" applyFill="1" applyBorder="1" applyAlignment="1">
      <alignment vertical="center" wrapText="1"/>
    </xf>
    <xf numFmtId="0" fontId="36" fillId="38" borderId="10" xfId="0" applyFont="1" applyFill="1" applyBorder="1" applyAlignment="1">
      <alignment vertical="center" wrapText="1"/>
    </xf>
    <xf numFmtId="0" fontId="36" fillId="30" borderId="10" xfId="0" applyFont="1" applyFill="1" applyBorder="1" applyAlignment="1">
      <alignment horizontal="center" vertical="center"/>
    </xf>
    <xf numFmtId="0" fontId="38" fillId="28" borderId="14" xfId="171" applyFont="1" applyFill="1" applyBorder="1" applyAlignment="1" applyProtection="1">
      <alignment horizontal="center" vertical="center" wrapText="1"/>
      <protection locked="0"/>
    </xf>
    <xf numFmtId="0" fontId="97" fillId="26" borderId="10" xfId="0" applyFont="1" applyFill="1" applyBorder="1" applyAlignment="1">
      <alignment horizontal="center" vertical="center"/>
    </xf>
    <xf numFmtId="0" fontId="97" fillId="26" borderId="10" xfId="385" applyFont="1" applyFill="1" applyBorder="1" applyAlignment="1">
      <alignment horizontal="center" vertical="center" wrapText="1"/>
    </xf>
    <xf numFmtId="0" fontId="35" fillId="26" borderId="10" xfId="1716" applyFont="1" applyFill="1" applyBorder="1" applyAlignment="1">
      <alignment horizontal="center" vertical="center"/>
    </xf>
    <xf numFmtId="0" fontId="97" fillId="26" borderId="10" xfId="385" applyFont="1" applyFill="1" applyBorder="1" applyAlignment="1">
      <alignment horizontal="center" vertical="center"/>
    </xf>
    <xf numFmtId="0" fontId="36" fillId="26" borderId="10" xfId="0" applyFont="1" applyFill="1" applyBorder="1" applyAlignment="1">
      <alignment horizontal="center" vertical="center"/>
    </xf>
    <xf numFmtId="0" fontId="97" fillId="33" borderId="10" xfId="0" applyFont="1" applyFill="1" applyBorder="1" applyAlignment="1">
      <alignment horizontal="center" vertical="center"/>
    </xf>
    <xf numFmtId="0" fontId="97" fillId="33" borderId="10" xfId="385" applyFont="1" applyFill="1" applyBorder="1" applyAlignment="1">
      <alignment horizontal="center" vertical="center" wrapText="1"/>
    </xf>
    <xf numFmtId="0" fontId="35" fillId="33" borderId="10" xfId="1716" applyFont="1" applyFill="1" applyBorder="1" applyAlignment="1">
      <alignment horizontal="center" vertical="center"/>
    </xf>
    <xf numFmtId="0" fontId="97" fillId="33" borderId="10" xfId="385" applyFont="1" applyFill="1" applyBorder="1" applyAlignment="1">
      <alignment horizontal="center" vertical="center"/>
    </xf>
    <xf numFmtId="0" fontId="36" fillId="33" borderId="10" xfId="0" applyFont="1" applyFill="1" applyBorder="1" applyAlignment="1">
      <alignment horizontal="center" vertical="center"/>
    </xf>
    <xf numFmtId="0" fontId="97" fillId="33" borderId="35" xfId="0" applyFont="1" applyFill="1" applyBorder="1" applyAlignment="1">
      <alignment horizontal="center" vertical="center"/>
    </xf>
    <xf numFmtId="0" fontId="97" fillId="33" borderId="35" xfId="385" applyFont="1" applyFill="1" applyBorder="1" applyAlignment="1">
      <alignment horizontal="center" vertical="center" wrapText="1"/>
    </xf>
    <xf numFmtId="0" fontId="35" fillId="33" borderId="35" xfId="1716" applyFont="1" applyFill="1" applyBorder="1" applyAlignment="1">
      <alignment horizontal="center" vertical="center"/>
    </xf>
    <xf numFmtId="0" fontId="95" fillId="37" borderId="35" xfId="385" applyFont="1" applyFill="1" applyBorder="1" applyAlignment="1">
      <alignment horizontal="center" vertical="center" wrapText="1"/>
    </xf>
    <xf numFmtId="0" fontId="97" fillId="33" borderId="35" xfId="385" applyFont="1" applyFill="1" applyBorder="1" applyAlignment="1">
      <alignment horizontal="center" vertical="center"/>
    </xf>
    <xf numFmtId="0" fontId="36" fillId="38" borderId="35" xfId="0" applyFont="1" applyFill="1" applyBorder="1" applyAlignment="1">
      <alignment vertical="center" wrapText="1"/>
    </xf>
    <xf numFmtId="0" fontId="36" fillId="33" borderId="35" xfId="0" applyFont="1" applyFill="1" applyBorder="1" applyAlignment="1">
      <alignment horizontal="center" vertical="center"/>
    </xf>
    <xf numFmtId="0" fontId="35" fillId="33" borderId="35" xfId="415" quotePrefix="1" applyFont="1" applyFill="1" applyBorder="1" applyAlignment="1">
      <alignment horizontal="center" vertical="center" wrapText="1"/>
    </xf>
    <xf numFmtId="0" fontId="97" fillId="26" borderId="12" xfId="0" applyFont="1" applyFill="1" applyBorder="1" applyAlignment="1">
      <alignment horizontal="center" vertical="center"/>
    </xf>
    <xf numFmtId="0" fontId="97" fillId="26" borderId="12" xfId="385" applyFont="1" applyFill="1" applyBorder="1" applyAlignment="1">
      <alignment horizontal="center" vertical="center" wrapText="1"/>
    </xf>
    <xf numFmtId="0" fontId="35" fillId="26" borderId="12" xfId="1716" applyFont="1" applyFill="1" applyBorder="1" applyAlignment="1">
      <alignment horizontal="center" vertical="center"/>
    </xf>
    <xf numFmtId="0" fontId="95" fillId="37" borderId="12" xfId="385" applyFont="1" applyFill="1" applyBorder="1" applyAlignment="1">
      <alignment horizontal="center" vertical="center" wrapText="1"/>
    </xf>
    <xf numFmtId="0" fontId="97" fillId="26" borderId="12" xfId="385" applyFont="1" applyFill="1" applyBorder="1" applyAlignment="1">
      <alignment horizontal="center" vertical="center"/>
    </xf>
    <xf numFmtId="0" fontId="36" fillId="37" borderId="12" xfId="0" applyFont="1" applyFill="1" applyBorder="1" applyAlignment="1">
      <alignment vertical="center" wrapText="1"/>
    </xf>
    <xf numFmtId="0" fontId="35" fillId="0" borderId="12" xfId="415" quotePrefix="1" applyFont="1" applyBorder="1" applyAlignment="1">
      <alignment horizontal="left" vertical="center" wrapText="1"/>
    </xf>
    <xf numFmtId="0" fontId="36" fillId="26" borderId="12" xfId="0" applyFont="1" applyFill="1" applyBorder="1" applyAlignment="1">
      <alignment horizontal="center" vertical="center"/>
    </xf>
    <xf numFmtId="0" fontId="97" fillId="26" borderId="35" xfId="0" applyFont="1" applyFill="1" applyBorder="1" applyAlignment="1">
      <alignment horizontal="center" vertical="center"/>
    </xf>
    <xf numFmtId="0" fontId="97" fillId="26" borderId="35" xfId="385" applyFont="1" applyFill="1" applyBorder="1" applyAlignment="1">
      <alignment horizontal="center" vertical="center" wrapText="1"/>
    </xf>
    <xf numFmtId="0" fontId="35" fillId="26" borderId="35" xfId="1716" applyFont="1" applyFill="1" applyBorder="1" applyAlignment="1">
      <alignment horizontal="center" vertical="center"/>
    </xf>
    <xf numFmtId="0" fontId="97" fillId="26" borderId="35" xfId="385" applyFont="1" applyFill="1" applyBorder="1" applyAlignment="1">
      <alignment horizontal="center" vertical="center"/>
    </xf>
    <xf numFmtId="0" fontId="36" fillId="37" borderId="35" xfId="0" applyFont="1" applyFill="1" applyBorder="1" applyAlignment="1">
      <alignment vertical="center" wrapText="1"/>
    </xf>
    <xf numFmtId="0" fontId="36" fillId="26" borderId="35" xfId="0" applyFont="1" applyFill="1" applyBorder="1" applyAlignment="1">
      <alignment horizontal="center" vertical="center"/>
    </xf>
    <xf numFmtId="0" fontId="97" fillId="33" borderId="12" xfId="385" applyFont="1" applyFill="1" applyBorder="1" applyAlignment="1">
      <alignment horizontal="center" vertical="center" wrapText="1"/>
    </xf>
    <xf numFmtId="0" fontId="35" fillId="33" borderId="12" xfId="1716" applyFont="1" applyFill="1" applyBorder="1" applyAlignment="1">
      <alignment horizontal="center" vertical="center"/>
    </xf>
    <xf numFmtId="0" fontId="97" fillId="33" borderId="12" xfId="385" applyFont="1" applyFill="1" applyBorder="1" applyAlignment="1">
      <alignment horizontal="center" vertical="center"/>
    </xf>
    <xf numFmtId="0" fontId="36" fillId="38" borderId="12" xfId="0" applyFont="1" applyFill="1" applyBorder="1" applyAlignment="1">
      <alignment vertical="center" wrapText="1"/>
    </xf>
    <xf numFmtId="0" fontId="35" fillId="33" borderId="12" xfId="415" quotePrefix="1" applyFont="1" applyFill="1" applyBorder="1" applyAlignment="1">
      <alignment horizontal="left" vertical="center" wrapText="1"/>
    </xf>
    <xf numFmtId="0" fontId="97" fillId="26" borderId="14" xfId="385" applyFont="1" applyFill="1" applyBorder="1" applyAlignment="1">
      <alignment horizontal="center" vertical="center" wrapText="1"/>
    </xf>
    <xf numFmtId="0" fontId="35" fillId="26" borderId="14" xfId="1716" applyFont="1" applyFill="1" applyBorder="1" applyAlignment="1">
      <alignment horizontal="center" vertical="center"/>
    </xf>
    <xf numFmtId="0" fontId="97" fillId="33" borderId="56" xfId="0" applyFont="1" applyFill="1" applyBorder="1" applyAlignment="1">
      <alignment horizontal="center" vertical="center"/>
    </xf>
    <xf numFmtId="0" fontId="97" fillId="33" borderId="56" xfId="385" applyFont="1" applyFill="1" applyBorder="1" applyAlignment="1">
      <alignment horizontal="center" vertical="center"/>
    </xf>
    <xf numFmtId="0" fontId="36" fillId="38" borderId="56" xfId="0" applyFont="1" applyFill="1" applyBorder="1" applyAlignment="1">
      <alignment vertical="center" wrapText="1"/>
    </xf>
    <xf numFmtId="0" fontId="36" fillId="33" borderId="56" xfId="0" applyFont="1" applyFill="1" applyBorder="1" applyAlignment="1">
      <alignment horizontal="center" vertical="center"/>
    </xf>
    <xf numFmtId="0" fontId="35" fillId="33" borderId="56" xfId="415" quotePrefix="1" applyFont="1" applyFill="1" applyBorder="1" applyAlignment="1">
      <alignment horizontal="center" vertical="center" wrapText="1"/>
    </xf>
    <xf numFmtId="0" fontId="36" fillId="27" borderId="10" xfId="411" applyFont="1" applyFill="1" applyBorder="1" applyAlignment="1" applyProtection="1">
      <alignment horizontal="center" vertical="center"/>
    </xf>
    <xf numFmtId="0" fontId="35" fillId="0" borderId="21" xfId="8760" applyFont="1" applyBorder="1" applyAlignment="1">
      <alignment horizontal="center" vertical="center"/>
    </xf>
    <xf numFmtId="0" fontId="35" fillId="26" borderId="21" xfId="8760" applyFont="1" applyFill="1" applyBorder="1" applyAlignment="1">
      <alignment horizontal="center" vertical="center"/>
    </xf>
    <xf numFmtId="0" fontId="95" fillId="26" borderId="10" xfId="157" applyFont="1" applyFill="1" applyBorder="1" applyAlignment="1">
      <alignment horizontal="center" vertical="center" wrapText="1"/>
    </xf>
    <xf numFmtId="0" fontId="36" fillId="26" borderId="0" xfId="0" applyFont="1" applyFill="1">
      <alignment vertical="center"/>
    </xf>
    <xf numFmtId="0" fontId="99" fillId="26" borderId="0" xfId="157" applyFont="1" applyFill="1">
      <alignment vertical="center"/>
    </xf>
    <xf numFmtId="0" fontId="99" fillId="26" borderId="0" xfId="157" applyFont="1" applyFill="1" applyAlignment="1">
      <alignment horizontal="center" vertical="center"/>
    </xf>
    <xf numFmtId="0" fontId="35" fillId="26" borderId="10" xfId="0" applyFont="1" applyFill="1" applyBorder="1" applyAlignment="1">
      <alignment horizontal="center" vertical="center"/>
    </xf>
    <xf numFmtId="0" fontId="35" fillId="33" borderId="10" xfId="0" applyFont="1" applyFill="1" applyBorder="1" applyAlignment="1">
      <alignment horizontal="center" vertical="center"/>
    </xf>
    <xf numFmtId="0" fontId="35" fillId="0" borderId="10" xfId="1716" applyFont="1" applyBorder="1">
      <alignment vertical="center"/>
    </xf>
    <xf numFmtId="0" fontId="35" fillId="39" borderId="10" xfId="1716" applyFont="1" applyFill="1" applyBorder="1">
      <alignment vertical="center"/>
    </xf>
    <xf numFmtId="0" fontId="35" fillId="0" borderId="10" xfId="1716" applyFont="1" applyBorder="1" applyAlignment="1">
      <alignment vertical="top" wrapText="1"/>
    </xf>
    <xf numFmtId="0" fontId="95" fillId="38" borderId="35" xfId="385" applyFont="1" applyFill="1" applyBorder="1" applyAlignment="1">
      <alignment horizontal="center" vertical="center" wrapText="1"/>
    </xf>
    <xf numFmtId="0" fontId="95" fillId="38" borderId="12" xfId="385" applyFont="1" applyFill="1" applyBorder="1" applyAlignment="1">
      <alignment horizontal="center" vertical="center" wrapText="1"/>
    </xf>
    <xf numFmtId="0" fontId="47" fillId="39" borderId="10" xfId="0" applyFont="1" applyFill="1" applyBorder="1" applyAlignment="1">
      <alignment horizontal="center" vertical="center"/>
    </xf>
    <xf numFmtId="0" fontId="47" fillId="0" borderId="0" xfId="0" applyFont="1">
      <alignment vertical="center"/>
    </xf>
    <xf numFmtId="0" fontId="35" fillId="0" borderId="10" xfId="415" quotePrefix="1" applyFont="1" applyBorder="1" applyAlignment="1">
      <alignment horizontal="center" vertical="center" wrapText="1"/>
    </xf>
    <xf numFmtId="0" fontId="36" fillId="0" borderId="35" xfId="0" applyFont="1" applyBorder="1" applyAlignment="1">
      <alignment vertical="center" wrapText="1"/>
    </xf>
    <xf numFmtId="0" fontId="35" fillId="0" borderId="35" xfId="415" quotePrefix="1" applyFont="1" applyBorder="1" applyAlignment="1">
      <alignment horizontal="left" vertical="center" wrapText="1"/>
    </xf>
    <xf numFmtId="0" fontId="95" fillId="40" borderId="56" xfId="385" applyFont="1" applyFill="1" applyBorder="1" applyAlignment="1">
      <alignment horizontal="center" vertical="center" wrapText="1"/>
    </xf>
    <xf numFmtId="0" fontId="47" fillId="26" borderId="30" xfId="0" applyFont="1" applyFill="1" applyBorder="1">
      <alignment vertical="center"/>
    </xf>
    <xf numFmtId="0" fontId="97" fillId="26" borderId="26" xfId="0" applyFont="1" applyFill="1" applyBorder="1" applyAlignment="1">
      <alignment horizontal="center" vertical="center"/>
    </xf>
    <xf numFmtId="0" fontId="97" fillId="26" borderId="21" xfId="0" applyFont="1" applyFill="1" applyBorder="1" applyAlignment="1">
      <alignment horizontal="center" vertical="center"/>
    </xf>
    <xf numFmtId="0" fontId="97" fillId="26" borderId="39" xfId="0" applyFont="1" applyFill="1" applyBorder="1" applyAlignment="1">
      <alignment horizontal="center" vertical="center"/>
    </xf>
    <xf numFmtId="0" fontId="97" fillId="26" borderId="48" xfId="385" applyFont="1" applyFill="1" applyBorder="1" applyAlignment="1">
      <alignment horizontal="center" vertical="center" wrapText="1"/>
    </xf>
    <xf numFmtId="0" fontId="97" fillId="26" borderId="51" xfId="0" applyFont="1" applyFill="1" applyBorder="1" applyAlignment="1">
      <alignment horizontal="center" vertical="center"/>
    </xf>
    <xf numFmtId="0" fontId="97" fillId="0" borderId="35" xfId="0" applyFont="1" applyBorder="1" applyAlignment="1">
      <alignment horizontal="center" vertical="center"/>
    </xf>
    <xf numFmtId="0" fontId="97" fillId="0" borderId="10" xfId="0" applyFont="1" applyBorder="1" applyAlignment="1">
      <alignment horizontal="center" vertical="center"/>
    </xf>
    <xf numFmtId="0" fontId="35" fillId="26" borderId="11" xfId="1716" applyFont="1" applyFill="1" applyBorder="1" applyAlignment="1">
      <alignment horizontal="center" vertical="center"/>
    </xf>
    <xf numFmtId="0" fontId="96" fillId="34" borderId="14" xfId="0" applyFont="1" applyFill="1" applyBorder="1" applyAlignment="1">
      <alignment horizontal="center" vertical="center" wrapText="1"/>
    </xf>
    <xf numFmtId="0" fontId="36" fillId="0" borderId="10" xfId="0" applyFont="1" applyBorder="1" applyAlignment="1">
      <alignment horizontal="center" vertical="center"/>
    </xf>
    <xf numFmtId="0" fontId="35" fillId="39" borderId="57" xfId="415" quotePrefix="1" applyFont="1" applyFill="1" applyBorder="1" applyAlignment="1">
      <alignment horizontal="left" vertical="center" wrapText="1"/>
    </xf>
    <xf numFmtId="0" fontId="98" fillId="0" borderId="0" xfId="0" applyFont="1">
      <alignment vertical="center"/>
    </xf>
    <xf numFmtId="0" fontId="35" fillId="0" borderId="0" xfId="415" quotePrefix="1" applyFont="1" applyAlignment="1">
      <alignment horizontal="left" vertical="center" wrapText="1"/>
    </xf>
    <xf numFmtId="0" fontId="38" fillId="28" borderId="42" xfId="171" applyFont="1" applyFill="1" applyBorder="1" applyAlignment="1" applyProtection="1">
      <alignment horizontal="center" vertical="center" wrapText="1"/>
      <protection locked="0"/>
    </xf>
    <xf numFmtId="0" fontId="38" fillId="28" borderId="35" xfId="171" applyFont="1" applyFill="1" applyBorder="1" applyAlignment="1" applyProtection="1">
      <alignment horizontal="center" vertical="center" wrapText="1"/>
      <protection locked="0"/>
    </xf>
    <xf numFmtId="0" fontId="97" fillId="39" borderId="10" xfId="0" applyFont="1" applyFill="1" applyBorder="1" applyAlignment="1">
      <alignment horizontal="center" vertical="center"/>
    </xf>
    <xf numFmtId="0" fontId="35" fillId="0" borderId="12" xfId="1716" applyFont="1" applyBorder="1" applyAlignment="1">
      <alignment vertical="top" wrapText="1"/>
    </xf>
    <xf numFmtId="0" fontId="35" fillId="0" borderId="35" xfId="1716" applyFont="1" applyBorder="1" applyAlignment="1">
      <alignment vertical="top" wrapText="1"/>
    </xf>
    <xf numFmtId="0" fontId="35" fillId="0" borderId="56" xfId="1716" applyFont="1" applyBorder="1" applyAlignment="1">
      <alignment vertical="top" wrapText="1"/>
    </xf>
    <xf numFmtId="0" fontId="35" fillId="39" borderId="10" xfId="1716" applyFont="1" applyFill="1" applyBorder="1" applyAlignment="1">
      <alignment vertical="top" wrapText="1"/>
    </xf>
    <xf numFmtId="0" fontId="35" fillId="39" borderId="12" xfId="1716" applyFont="1" applyFill="1" applyBorder="1" applyAlignment="1">
      <alignment vertical="top" wrapText="1"/>
    </xf>
    <xf numFmtId="0" fontId="97" fillId="39" borderId="11" xfId="0" applyFont="1" applyFill="1" applyBorder="1" applyAlignment="1">
      <alignment horizontal="center" vertical="center"/>
    </xf>
    <xf numFmtId="0" fontId="97" fillId="33" borderId="11" xfId="385" applyFont="1" applyFill="1" applyBorder="1" applyAlignment="1">
      <alignment horizontal="center" vertical="center" wrapText="1"/>
    </xf>
    <xf numFmtId="0" fontId="35" fillId="33" borderId="11" xfId="1716" applyFont="1" applyFill="1" applyBorder="1" applyAlignment="1">
      <alignment horizontal="center" vertical="center"/>
    </xf>
    <xf numFmtId="0" fontId="35" fillId="39" borderId="11" xfId="1716" applyFont="1" applyFill="1" applyBorder="1" applyAlignment="1">
      <alignment vertical="top" wrapText="1"/>
    </xf>
    <xf numFmtId="0" fontId="97" fillId="39" borderId="12" xfId="0" applyFont="1" applyFill="1" applyBorder="1" applyAlignment="1">
      <alignment horizontal="center" vertical="center"/>
    </xf>
    <xf numFmtId="0" fontId="97" fillId="26" borderId="11" xfId="0" applyFont="1" applyFill="1" applyBorder="1" applyAlignment="1">
      <alignment horizontal="center" vertical="center"/>
    </xf>
    <xf numFmtId="0" fontId="97" fillId="26" borderId="11" xfId="385" applyFont="1" applyFill="1" applyBorder="1" applyAlignment="1">
      <alignment horizontal="center" vertical="center" wrapText="1"/>
    </xf>
    <xf numFmtId="0" fontId="35" fillId="0" borderId="11" xfId="1716" applyFont="1" applyBorder="1" applyAlignment="1">
      <alignment vertical="top" wrapText="1"/>
    </xf>
    <xf numFmtId="0" fontId="97" fillId="26" borderId="56" xfId="0" applyFont="1" applyFill="1" applyBorder="1" applyAlignment="1">
      <alignment horizontal="center" vertical="center"/>
    </xf>
    <xf numFmtId="0" fontId="97" fillId="33" borderId="57" xfId="385" applyFont="1" applyFill="1" applyBorder="1" applyAlignment="1">
      <alignment horizontal="center" vertical="center" wrapText="1"/>
    </xf>
    <xf numFmtId="0" fontId="35" fillId="33" borderId="57" xfId="1716" applyFont="1" applyFill="1" applyBorder="1" applyAlignment="1">
      <alignment horizontal="center" vertical="center"/>
    </xf>
    <xf numFmtId="0" fontId="35" fillId="39" borderId="57" xfId="1716" applyFont="1" applyFill="1" applyBorder="1" applyAlignment="1">
      <alignment vertical="top" wrapText="1"/>
    </xf>
    <xf numFmtId="0" fontId="35" fillId="0" borderId="10" xfId="8760" applyFont="1" applyBorder="1" applyAlignment="1">
      <alignment horizontal="center" vertical="center"/>
    </xf>
    <xf numFmtId="0" fontId="96" fillId="31" borderId="23" xfId="171" applyFont="1" applyFill="1" applyBorder="1" applyAlignment="1" applyProtection="1">
      <alignment horizontal="center" vertical="center" wrapText="1"/>
      <protection locked="0"/>
    </xf>
    <xf numFmtId="0" fontId="96" fillId="31" borderId="19" xfId="171" applyFont="1" applyFill="1" applyBorder="1" applyAlignment="1" applyProtection="1">
      <alignment horizontal="center" vertical="center" wrapText="1"/>
      <protection locked="0"/>
    </xf>
    <xf numFmtId="0" fontId="97" fillId="26" borderId="0" xfId="8761" applyFont="1" applyFill="1">
      <alignment vertical="center"/>
    </xf>
    <xf numFmtId="0" fontId="35" fillId="26" borderId="22" xfId="1716" applyFont="1" applyFill="1" applyBorder="1" applyAlignment="1">
      <alignment vertical="center" wrapText="1"/>
    </xf>
    <xf numFmtId="0" fontId="35" fillId="26" borderId="13" xfId="1716" applyFont="1" applyFill="1" applyBorder="1" applyAlignment="1">
      <alignment vertical="center" wrapText="1"/>
    </xf>
    <xf numFmtId="0" fontId="35" fillId="26" borderId="22" xfId="1716" quotePrefix="1" applyFont="1" applyFill="1" applyBorder="1" applyAlignment="1">
      <alignment vertical="center" wrapText="1"/>
    </xf>
    <xf numFmtId="0" fontId="35" fillId="0" borderId="18" xfId="415" quotePrefix="1" applyFont="1" applyBorder="1" applyAlignment="1">
      <alignment horizontal="left" vertical="top" wrapText="1"/>
    </xf>
    <xf numFmtId="0" fontId="35" fillId="0" borderId="10" xfId="415" quotePrefix="1" applyFont="1" applyBorder="1" applyAlignment="1">
      <alignment horizontal="left" vertical="top" wrapText="1"/>
    </xf>
    <xf numFmtId="0" fontId="35" fillId="0" borderId="12" xfId="415" quotePrefix="1" applyFont="1" applyBorder="1" applyAlignment="1">
      <alignment horizontal="left" vertical="top" wrapText="1"/>
    </xf>
    <xf numFmtId="0" fontId="35" fillId="0" borderId="41" xfId="415" quotePrefix="1" applyFont="1" applyBorder="1" applyAlignment="1">
      <alignment horizontal="left" vertical="top" wrapText="1"/>
    </xf>
    <xf numFmtId="0" fontId="35" fillId="39" borderId="11" xfId="415" quotePrefix="1" applyFont="1" applyFill="1" applyBorder="1" applyAlignment="1">
      <alignment horizontal="left" vertical="top" wrapText="1"/>
    </xf>
    <xf numFmtId="0" fontId="35" fillId="39" borderId="10" xfId="415" quotePrefix="1" applyFont="1" applyFill="1" applyBorder="1" applyAlignment="1">
      <alignment horizontal="left" vertical="top" wrapText="1"/>
    </xf>
    <xf numFmtId="0" fontId="35" fillId="39" borderId="12" xfId="415" quotePrefix="1" applyFont="1" applyFill="1" applyBorder="1" applyAlignment="1">
      <alignment horizontal="left" vertical="top" wrapText="1"/>
    </xf>
    <xf numFmtId="0" fontId="35" fillId="0" borderId="11" xfId="415" quotePrefix="1" applyFont="1" applyBorder="1" applyAlignment="1">
      <alignment horizontal="left" vertical="top" wrapText="1"/>
    </xf>
    <xf numFmtId="0" fontId="35" fillId="39" borderId="57" xfId="415" quotePrefix="1" applyFont="1" applyFill="1" applyBorder="1" applyAlignment="1">
      <alignment horizontal="left" vertical="top" wrapText="1"/>
    </xf>
    <xf numFmtId="0" fontId="35" fillId="0" borderId="35" xfId="415" quotePrefix="1" applyFont="1" applyBorder="1" applyAlignment="1">
      <alignment horizontal="left" vertical="top" wrapText="1"/>
    </xf>
    <xf numFmtId="0" fontId="35" fillId="39" borderId="41" xfId="415" quotePrefix="1" applyFont="1" applyFill="1" applyBorder="1" applyAlignment="1">
      <alignment horizontal="left" vertical="top" wrapText="1"/>
    </xf>
    <xf numFmtId="0" fontId="35" fillId="39" borderId="18" xfId="415" quotePrefix="1" applyFont="1" applyFill="1" applyBorder="1" applyAlignment="1">
      <alignment horizontal="left" vertical="top" wrapText="1"/>
    </xf>
    <xf numFmtId="0" fontId="35" fillId="39" borderId="56" xfId="415" quotePrefix="1" applyFont="1" applyFill="1" applyBorder="1" applyAlignment="1">
      <alignment horizontal="left" vertical="top" wrapText="1"/>
    </xf>
    <xf numFmtId="0" fontId="35" fillId="39" borderId="10" xfId="0" applyFont="1" applyFill="1" applyBorder="1" applyAlignment="1">
      <alignment horizontal="center" vertical="center"/>
    </xf>
    <xf numFmtId="0" fontId="35" fillId="0" borderId="10" xfId="0" applyFont="1" applyBorder="1" applyAlignment="1">
      <alignment horizontal="center" vertical="center"/>
    </xf>
    <xf numFmtId="0" fontId="97" fillId="39" borderId="56" xfId="385" applyFont="1" applyFill="1" applyBorder="1" applyAlignment="1">
      <alignment horizontal="center" vertical="center" wrapText="1"/>
    </xf>
    <xf numFmtId="14" fontId="36" fillId="26" borderId="10" xfId="0" applyNumberFormat="1" applyFont="1" applyFill="1" applyBorder="1" applyAlignment="1">
      <alignment horizontal="center" vertical="center"/>
    </xf>
    <xf numFmtId="14" fontId="36" fillId="33" borderId="10" xfId="0" applyNumberFormat="1" applyFont="1" applyFill="1" applyBorder="1" applyAlignment="1">
      <alignment horizontal="center" vertical="center"/>
    </xf>
    <xf numFmtId="0" fontId="36" fillId="0" borderId="0" xfId="0" applyFont="1">
      <alignment vertical="center"/>
    </xf>
    <xf numFmtId="14" fontId="36" fillId="0" borderId="10" xfId="0" applyNumberFormat="1" applyFont="1" applyBorder="1" applyAlignment="1">
      <alignment horizontal="center" vertical="center"/>
    </xf>
    <xf numFmtId="14" fontId="100" fillId="33" borderId="10" xfId="0" applyNumberFormat="1" applyFont="1" applyFill="1" applyBorder="1" applyAlignment="1">
      <alignment horizontal="center" vertical="center"/>
    </xf>
    <xf numFmtId="0" fontId="95" fillId="37" borderId="48" xfId="385" applyFont="1" applyFill="1" applyBorder="1" applyAlignment="1">
      <alignment horizontal="center" vertical="center" wrapText="1"/>
    </xf>
    <xf numFmtId="0" fontId="97" fillId="0" borderId="48" xfId="385" applyFont="1" applyBorder="1" applyAlignment="1">
      <alignment horizontal="center" vertical="center"/>
    </xf>
    <xf numFmtId="0" fontId="97" fillId="33" borderId="60" xfId="0" applyFont="1" applyFill="1" applyBorder="1" applyAlignment="1">
      <alignment horizontal="center" vertical="center"/>
    </xf>
    <xf numFmtId="0" fontId="97" fillId="39" borderId="55" xfId="385" applyFont="1" applyFill="1" applyBorder="1" applyAlignment="1">
      <alignment horizontal="center" vertical="center" wrapText="1"/>
    </xf>
    <xf numFmtId="0" fontId="96" fillId="28" borderId="14" xfId="157" applyFont="1" applyFill="1" applyBorder="1" applyAlignment="1">
      <alignment horizontal="center" vertical="center"/>
    </xf>
    <xf numFmtId="0" fontId="36" fillId="30" borderId="35" xfId="0" applyFont="1" applyFill="1" applyBorder="1" applyAlignment="1">
      <alignment horizontal="center" vertical="center"/>
    </xf>
    <xf numFmtId="0" fontId="80" fillId="26" borderId="0" xfId="8759" applyFont="1" applyFill="1" applyAlignment="1">
      <alignment horizontal="center" vertical="center" wrapText="1"/>
    </xf>
    <xf numFmtId="0" fontId="79" fillId="26" borderId="0" xfId="8759" applyFont="1" applyFill="1" applyAlignment="1">
      <alignment horizontal="center" vertical="center"/>
    </xf>
    <xf numFmtId="0" fontId="76" fillId="26" borderId="10" xfId="8759" applyFont="1" applyFill="1" applyBorder="1" applyAlignment="1">
      <alignment horizontal="center" vertical="center"/>
    </xf>
    <xf numFmtId="0" fontId="77" fillId="26" borderId="10" xfId="8759" applyFont="1" applyFill="1" applyBorder="1" applyAlignment="1">
      <alignment horizontal="center" vertical="center"/>
    </xf>
    <xf numFmtId="0" fontId="77" fillId="26" borderId="18" xfId="8759" applyFont="1" applyFill="1" applyBorder="1" applyAlignment="1">
      <alignment horizontal="center" vertical="center"/>
    </xf>
    <xf numFmtId="0" fontId="77" fillId="26" borderId="21" xfId="8759" applyFont="1" applyFill="1" applyBorder="1" applyAlignment="1">
      <alignment horizontal="center" vertical="center"/>
    </xf>
    <xf numFmtId="0" fontId="77" fillId="26" borderId="17" xfId="8759" applyFont="1" applyFill="1" applyBorder="1" applyAlignment="1">
      <alignment horizontal="center" vertical="center" wrapText="1"/>
    </xf>
    <xf numFmtId="0" fontId="77" fillId="26" borderId="40" xfId="8759" applyFont="1" applyFill="1" applyBorder="1" applyAlignment="1">
      <alignment horizontal="center" vertical="center" wrapText="1"/>
    </xf>
    <xf numFmtId="0" fontId="77" fillId="26" borderId="26" xfId="8759" applyFont="1" applyFill="1" applyBorder="1" applyAlignment="1">
      <alignment horizontal="center" vertical="center" wrapText="1"/>
    </xf>
    <xf numFmtId="0" fontId="77" fillId="26" borderId="41" xfId="8759" applyFont="1" applyFill="1" applyBorder="1" applyAlignment="1">
      <alignment horizontal="center" vertical="center" wrapText="1"/>
    </xf>
    <xf numFmtId="0" fontId="77" fillId="26" borderId="38" xfId="8759" applyFont="1" applyFill="1" applyBorder="1" applyAlignment="1">
      <alignment horizontal="center" vertical="center" wrapText="1"/>
    </xf>
    <xf numFmtId="0" fontId="77" fillId="26" borderId="39" xfId="8759" applyFont="1" applyFill="1" applyBorder="1" applyAlignment="1">
      <alignment horizontal="center" vertical="center" wrapText="1"/>
    </xf>
    <xf numFmtId="0" fontId="79" fillId="26" borderId="0" xfId="8759" applyFont="1" applyFill="1" applyAlignment="1">
      <alignment horizontal="left" vertical="center"/>
    </xf>
    <xf numFmtId="0" fontId="92" fillId="0" borderId="10" xfId="8762" applyFont="1" applyBorder="1" applyAlignment="1">
      <alignment horizontal="center" vertical="center" wrapText="1"/>
    </xf>
    <xf numFmtId="0" fontId="90" fillId="0" borderId="10" xfId="8762" applyFont="1" applyBorder="1" applyAlignment="1">
      <alignment horizontal="center" vertical="center" wrapText="1"/>
    </xf>
    <xf numFmtId="49" fontId="93" fillId="36" borderId="10" xfId="8762" applyNumberFormat="1" applyFont="1" applyFill="1" applyBorder="1" applyAlignment="1">
      <alignment horizontal="center" vertical="center" wrapText="1"/>
    </xf>
    <xf numFmtId="0" fontId="90" fillId="0" borderId="10" xfId="8762" applyFont="1" applyBorder="1" applyAlignment="1">
      <alignment horizontal="center" vertical="center"/>
    </xf>
    <xf numFmtId="0" fontId="92" fillId="0" borderId="14" xfId="8762" applyFont="1" applyBorder="1" applyAlignment="1">
      <alignment horizontal="center" vertical="center"/>
    </xf>
    <xf numFmtId="0" fontId="92" fillId="0" borderId="48" xfId="8762" applyFont="1" applyBorder="1" applyAlignment="1">
      <alignment horizontal="center" vertical="center"/>
    </xf>
    <xf numFmtId="0" fontId="92" fillId="0" borderId="35" xfId="8762" applyFont="1" applyBorder="1" applyAlignment="1">
      <alignment horizontal="center" vertical="center"/>
    </xf>
    <xf numFmtId="0" fontId="90" fillId="35" borderId="0" xfId="8762" applyFont="1" applyFill="1" applyAlignment="1">
      <alignment horizontal="left" vertical="center" wrapText="1"/>
    </xf>
    <xf numFmtId="0" fontId="92" fillId="0" borderId="14" xfId="8762" applyFont="1" applyBorder="1" applyAlignment="1">
      <alignment horizontal="center" vertical="center" wrapText="1"/>
    </xf>
    <xf numFmtId="0" fontId="92" fillId="0" borderId="48" xfId="8762" applyFont="1" applyBorder="1" applyAlignment="1">
      <alignment horizontal="center" vertical="center" wrapText="1"/>
    </xf>
    <xf numFmtId="0" fontId="92" fillId="0" borderId="35" xfId="8762" applyFont="1" applyBorder="1" applyAlignment="1">
      <alignment horizontal="center" vertical="center" wrapText="1"/>
    </xf>
    <xf numFmtId="0" fontId="90" fillId="0" borderId="10" xfId="8762" applyFont="1" applyBorder="1" applyAlignment="1">
      <alignment horizontal="left" vertical="center" wrapText="1"/>
    </xf>
    <xf numFmtId="0" fontId="88" fillId="0" borderId="0" xfId="171" applyFont="1" applyAlignment="1">
      <alignment horizontal="left" vertical="center" wrapText="1"/>
    </xf>
    <xf numFmtId="0" fontId="90" fillId="35" borderId="0" xfId="8762" applyFont="1" applyFill="1" applyAlignment="1">
      <alignment horizontal="left" vertical="top" wrapText="1" readingOrder="1"/>
    </xf>
    <xf numFmtId="0" fontId="36" fillId="24" borderId="18" xfId="410" applyFont="1" applyFill="1" applyBorder="1" applyAlignment="1">
      <alignment horizontal="center" vertical="center" wrapText="1"/>
    </xf>
    <xf numFmtId="0" fontId="36" fillId="24" borderId="20" xfId="410" applyFont="1" applyFill="1" applyBorder="1" applyAlignment="1">
      <alignment horizontal="center" vertical="center" wrapText="1"/>
    </xf>
    <xf numFmtId="0" fontId="36" fillId="24" borderId="21" xfId="410" applyFont="1" applyFill="1" applyBorder="1" applyAlignment="1">
      <alignment horizontal="center" vertical="center" wrapText="1"/>
    </xf>
    <xf numFmtId="0" fontId="36" fillId="24" borderId="49" xfId="410" applyFont="1" applyFill="1" applyBorder="1" applyAlignment="1">
      <alignment horizontal="center" vertical="center" wrapText="1"/>
    </xf>
    <xf numFmtId="0" fontId="36" fillId="24" borderId="50" xfId="410" applyFont="1" applyFill="1" applyBorder="1" applyAlignment="1">
      <alignment horizontal="center" vertical="center" wrapText="1"/>
    </xf>
    <xf numFmtId="0" fontId="36" fillId="24" borderId="51" xfId="410" applyFont="1" applyFill="1" applyBorder="1" applyAlignment="1">
      <alignment horizontal="center" vertical="center" wrapText="1"/>
    </xf>
    <xf numFmtId="0" fontId="36" fillId="24" borderId="25" xfId="410" applyFont="1" applyFill="1" applyBorder="1" applyAlignment="1">
      <alignment horizontal="left" vertical="center"/>
    </xf>
    <xf numFmtId="0" fontId="36" fillId="24" borderId="30" xfId="410" applyFont="1" applyFill="1" applyBorder="1" applyAlignment="1">
      <alignment horizontal="left" vertical="center"/>
    </xf>
    <xf numFmtId="0" fontId="36" fillId="24" borderId="10" xfId="410" applyFont="1" applyFill="1" applyBorder="1" applyAlignment="1">
      <alignment horizontal="center" vertical="center"/>
    </xf>
    <xf numFmtId="0" fontId="36" fillId="24" borderId="13" xfId="410" applyFont="1" applyFill="1" applyBorder="1" applyAlignment="1">
      <alignment horizontal="center" vertical="center"/>
    </xf>
    <xf numFmtId="0" fontId="36" fillId="24" borderId="12" xfId="410" applyFont="1" applyFill="1" applyBorder="1" applyAlignment="1">
      <alignment horizontal="center" vertical="center"/>
    </xf>
    <xf numFmtId="0" fontId="36" fillId="24" borderId="16" xfId="410" applyFont="1" applyFill="1" applyBorder="1" applyAlignment="1">
      <alignment horizontal="center" vertical="center"/>
    </xf>
    <xf numFmtId="0" fontId="36" fillId="24" borderId="22" xfId="410" applyFont="1" applyFill="1" applyBorder="1" applyAlignment="1">
      <alignment horizontal="center" vertical="center" wrapText="1"/>
    </xf>
    <xf numFmtId="0" fontId="36" fillId="24" borderId="10" xfId="410" applyFont="1" applyFill="1" applyBorder="1" applyAlignment="1">
      <alignment horizontal="center" vertical="center" wrapText="1"/>
    </xf>
    <xf numFmtId="0" fontId="36" fillId="24" borderId="24" xfId="410" applyFont="1" applyFill="1" applyBorder="1" applyAlignment="1">
      <alignment horizontal="center" vertical="center" wrapText="1"/>
    </xf>
    <xf numFmtId="0" fontId="36" fillId="24" borderId="12" xfId="410" applyFont="1" applyFill="1" applyBorder="1" applyAlignment="1">
      <alignment horizontal="center" vertical="center" wrapText="1"/>
    </xf>
    <xf numFmtId="0" fontId="37" fillId="24" borderId="0" xfId="410" applyFont="1" applyFill="1" applyAlignment="1">
      <alignment horizontal="left" vertical="center"/>
    </xf>
    <xf numFmtId="0" fontId="15" fillId="28" borderId="23" xfId="171" applyFont="1" applyFill="1" applyBorder="1" applyAlignment="1">
      <alignment horizontal="center" vertical="center" wrapText="1"/>
    </xf>
    <xf numFmtId="0" fontId="15" fillId="28" borderId="11" xfId="171" applyFont="1" applyFill="1" applyBorder="1" applyAlignment="1">
      <alignment horizontal="center" vertical="center" wrapText="1"/>
    </xf>
    <xf numFmtId="0" fontId="15" fillId="28" borderId="19" xfId="171" applyFont="1" applyFill="1" applyBorder="1" applyAlignment="1">
      <alignment horizontal="center" vertical="center" wrapText="1"/>
    </xf>
    <xf numFmtId="0" fontId="36" fillId="24" borderId="0" xfId="410" applyFont="1" applyFill="1" applyAlignment="1">
      <alignment horizontal="left" vertical="center" wrapText="1"/>
    </xf>
    <xf numFmtId="0" fontId="36" fillId="24" borderId="0" xfId="410" applyFont="1" applyFill="1" applyAlignment="1">
      <alignment horizontal="left" vertical="center"/>
    </xf>
    <xf numFmtId="0" fontId="36" fillId="24" borderId="16" xfId="410" applyFont="1" applyFill="1" applyBorder="1" applyAlignment="1">
      <alignment horizontal="center" vertical="center" wrapText="1"/>
    </xf>
    <xf numFmtId="0" fontId="37" fillId="0" borderId="0" xfId="410" applyFont="1" applyAlignment="1">
      <alignment horizontal="left" vertical="center"/>
    </xf>
    <xf numFmtId="0" fontId="36" fillId="24" borderId="13" xfId="410" applyFont="1" applyFill="1" applyBorder="1" applyAlignment="1">
      <alignment horizontal="center" vertical="center" wrapText="1"/>
    </xf>
    <xf numFmtId="0" fontId="37" fillId="24" borderId="0" xfId="410" applyFont="1" applyFill="1">
      <alignment vertical="center"/>
    </xf>
    <xf numFmtId="0" fontId="15" fillId="28" borderId="44" xfId="171" applyFont="1" applyFill="1" applyBorder="1" applyAlignment="1">
      <alignment horizontal="center" vertical="center" wrapText="1"/>
    </xf>
    <xf numFmtId="0" fontId="15" fillId="28" borderId="45" xfId="171" applyFont="1" applyFill="1" applyBorder="1" applyAlignment="1">
      <alignment horizontal="center" vertical="center" wrapText="1"/>
    </xf>
    <xf numFmtId="0" fontId="15" fillId="28" borderId="46" xfId="171" applyFont="1" applyFill="1" applyBorder="1" applyAlignment="1">
      <alignment horizontal="center" vertical="center" wrapText="1"/>
    </xf>
    <xf numFmtId="0" fontId="36" fillId="24" borderId="0" xfId="0" applyFont="1" applyFill="1" applyAlignment="1">
      <alignment horizontal="left" vertical="center" wrapText="1"/>
    </xf>
    <xf numFmtId="0" fontId="15" fillId="28" borderId="22" xfId="171" applyFont="1" applyFill="1" applyBorder="1" applyAlignment="1">
      <alignment horizontal="center" vertical="center" wrapText="1"/>
    </xf>
    <xf numFmtId="0" fontId="15" fillId="28" borderId="10" xfId="171" applyFont="1" applyFill="1" applyBorder="1" applyAlignment="1">
      <alignment horizontal="center" vertical="center" wrapText="1"/>
    </xf>
    <xf numFmtId="0" fontId="15" fillId="28" borderId="13" xfId="171" applyFont="1" applyFill="1" applyBorder="1" applyAlignment="1">
      <alignment horizontal="center" vertical="center" wrapText="1"/>
    </xf>
    <xf numFmtId="0" fontId="35" fillId="25" borderId="48" xfId="0" applyFont="1" applyFill="1" applyBorder="1" applyAlignment="1">
      <alignment horizontal="center" vertical="center"/>
    </xf>
    <xf numFmtId="0" fontId="35" fillId="25" borderId="35" xfId="0" applyFont="1" applyFill="1" applyBorder="1" applyAlignment="1">
      <alignment horizontal="center" vertical="center"/>
    </xf>
    <xf numFmtId="0" fontId="96" fillId="28" borderId="10" xfId="157" applyFont="1" applyFill="1" applyBorder="1" applyAlignment="1">
      <alignment horizontal="center" vertical="center"/>
    </xf>
    <xf numFmtId="0" fontId="96" fillId="28" borderId="14" xfId="157" applyFont="1" applyFill="1" applyBorder="1" applyAlignment="1">
      <alignment horizontal="center" vertical="center"/>
    </xf>
    <xf numFmtId="0" fontId="38" fillId="28" borderId="10" xfId="157" applyFont="1" applyFill="1" applyBorder="1" applyAlignment="1">
      <alignment horizontal="center" vertical="center" wrapText="1"/>
    </xf>
    <xf numFmtId="0" fontId="38" fillId="28" borderId="14" xfId="157" applyFont="1" applyFill="1" applyBorder="1" applyAlignment="1">
      <alignment horizontal="center" vertical="center" wrapText="1"/>
    </xf>
    <xf numFmtId="0" fontId="97" fillId="26" borderId="10" xfId="0" applyFont="1" applyFill="1" applyBorder="1" applyAlignment="1">
      <alignment horizontal="center" vertical="center" wrapText="1"/>
    </xf>
    <xf numFmtId="0" fontId="97" fillId="33" borderId="10" xfId="0" applyFont="1" applyFill="1" applyBorder="1" applyAlignment="1">
      <alignment horizontal="center" vertical="center" wrapText="1"/>
    </xf>
    <xf numFmtId="0" fontId="97" fillId="26" borderId="10" xfId="0" applyFont="1" applyFill="1" applyBorder="1" applyAlignment="1">
      <alignment horizontal="center" vertical="center"/>
    </xf>
    <xf numFmtId="0" fontId="35" fillId="25" borderId="42" xfId="0" applyFont="1" applyFill="1" applyBorder="1" applyAlignment="1">
      <alignment horizontal="center" vertical="center"/>
    </xf>
    <xf numFmtId="0" fontId="35" fillId="25" borderId="0" xfId="0" applyFont="1" applyFill="1" applyAlignment="1">
      <alignment horizontal="center" vertical="center"/>
    </xf>
    <xf numFmtId="0" fontId="35" fillId="25" borderId="43" xfId="0" applyFont="1" applyFill="1" applyBorder="1" applyAlignment="1">
      <alignment horizontal="center" vertical="center"/>
    </xf>
    <xf numFmtId="0" fontId="35" fillId="25" borderId="41" xfId="0" applyFont="1" applyFill="1" applyBorder="1" applyAlignment="1">
      <alignment horizontal="center" vertical="center"/>
    </xf>
    <xf numFmtId="0" fontId="35" fillId="25" borderId="38" xfId="0" applyFont="1" applyFill="1" applyBorder="1" applyAlignment="1">
      <alignment horizontal="center" vertical="center"/>
    </xf>
    <xf numFmtId="0" fontId="35" fillId="25" borderId="39" xfId="0" applyFont="1" applyFill="1" applyBorder="1" applyAlignment="1">
      <alignment horizontal="center" vertical="center"/>
    </xf>
    <xf numFmtId="0" fontId="96" fillId="28" borderId="10" xfId="157" applyFont="1" applyFill="1" applyBorder="1" applyAlignment="1">
      <alignment horizontal="center" vertical="center" wrapText="1"/>
    </xf>
    <xf numFmtId="0" fontId="96" fillId="28" borderId="14" xfId="157" applyFont="1" applyFill="1" applyBorder="1" applyAlignment="1">
      <alignment horizontal="center" vertical="center" wrapText="1"/>
    </xf>
    <xf numFmtId="0" fontId="53" fillId="26" borderId="0" xfId="157" applyFont="1" applyFill="1" applyAlignment="1">
      <alignment horizontal="left" vertical="center"/>
    </xf>
    <xf numFmtId="0" fontId="45" fillId="28" borderId="10" xfId="157" applyFont="1" applyFill="1" applyBorder="1" applyAlignment="1">
      <alignment horizontal="center" vertical="center"/>
    </xf>
    <xf numFmtId="0" fontId="45" fillId="28" borderId="18" xfId="157" applyFont="1" applyFill="1" applyBorder="1" applyAlignment="1">
      <alignment horizontal="center" vertical="center" wrapText="1"/>
    </xf>
    <xf numFmtId="0" fontId="45" fillId="28" borderId="20" xfId="157" applyFont="1" applyFill="1" applyBorder="1" applyAlignment="1">
      <alignment horizontal="center" vertical="center" wrapText="1"/>
    </xf>
    <xf numFmtId="0" fontId="45" fillId="28" borderId="21" xfId="157" applyFont="1" applyFill="1" applyBorder="1" applyAlignment="1">
      <alignment horizontal="center" vertical="center" wrapText="1"/>
    </xf>
    <xf numFmtId="0" fontId="38" fillId="28" borderId="0" xfId="157" applyFont="1" applyFill="1" applyAlignment="1">
      <alignment horizontal="right" vertical="center"/>
    </xf>
    <xf numFmtId="0" fontId="30" fillId="26" borderId="10" xfId="171" applyFont="1" applyFill="1" applyBorder="1" applyAlignment="1">
      <alignment horizontal="center" vertical="center" wrapText="1"/>
    </xf>
    <xf numFmtId="0" fontId="38" fillId="28" borderId="0" xfId="157" applyFont="1" applyFill="1" applyAlignment="1">
      <alignment horizontal="left" vertical="center"/>
    </xf>
    <xf numFmtId="0" fontId="39" fillId="25" borderId="10" xfId="171" applyFont="1" applyFill="1" applyBorder="1" applyAlignment="1">
      <alignment horizontal="center" vertical="center" wrapText="1"/>
    </xf>
    <xf numFmtId="0" fontId="25" fillId="24" borderId="0" xfId="157" applyFont="1" applyFill="1" applyAlignment="1">
      <alignment horizontal="center" vertical="center"/>
    </xf>
    <xf numFmtId="0" fontId="28" fillId="24" borderId="0" xfId="157" applyFont="1" applyFill="1" applyAlignment="1">
      <alignment horizontal="left" vertical="center"/>
    </xf>
    <xf numFmtId="0" fontId="56" fillId="24" borderId="0" xfId="157" applyFont="1" applyFill="1" applyAlignment="1">
      <alignment horizontal="left" vertical="center"/>
    </xf>
    <xf numFmtId="0" fontId="38" fillId="28" borderId="10" xfId="171" applyFont="1" applyFill="1" applyBorder="1" applyAlignment="1">
      <alignment horizontal="center" vertical="center" wrapText="1"/>
    </xf>
    <xf numFmtId="0" fontId="39" fillId="25" borderId="18" xfId="171" applyFont="1" applyFill="1" applyBorder="1" applyAlignment="1">
      <alignment horizontal="center" vertical="center" wrapText="1"/>
    </xf>
    <xf numFmtId="0" fontId="39" fillId="25" borderId="21" xfId="171" applyFont="1" applyFill="1" applyBorder="1" applyAlignment="1">
      <alignment horizontal="center" vertical="center" wrapText="1"/>
    </xf>
    <xf numFmtId="0" fontId="38" fillId="28" borderId="42" xfId="171" applyFont="1" applyFill="1" applyBorder="1" applyAlignment="1">
      <alignment horizontal="center" vertical="center" wrapText="1"/>
    </xf>
    <xf numFmtId="0" fontId="38" fillId="28" borderId="0" xfId="171" applyFont="1" applyFill="1" applyAlignment="1">
      <alignment horizontal="center" vertical="center" wrapText="1"/>
    </xf>
    <xf numFmtId="0" fontId="30" fillId="26" borderId="18" xfId="157" applyFont="1" applyFill="1" applyBorder="1" applyAlignment="1">
      <alignment horizontal="center" vertical="center"/>
    </xf>
    <xf numFmtId="0" fontId="30" fillId="26" borderId="21" xfId="157" applyFont="1" applyFill="1" applyBorder="1" applyAlignment="1">
      <alignment horizontal="center" vertical="center"/>
    </xf>
    <xf numFmtId="0" fontId="39" fillId="32" borderId="18" xfId="171" applyFont="1" applyFill="1" applyBorder="1" applyAlignment="1">
      <alignment horizontal="center" vertical="center" wrapText="1"/>
    </xf>
    <xf numFmtId="0" fontId="39" fillId="32" borderId="21" xfId="171" applyFont="1" applyFill="1" applyBorder="1" applyAlignment="1">
      <alignment horizontal="center" vertical="center" wrapText="1"/>
    </xf>
    <xf numFmtId="0" fontId="38" fillId="28" borderId="10" xfId="0" applyFont="1" applyFill="1" applyBorder="1" applyAlignment="1">
      <alignment horizontal="center" vertical="center"/>
    </xf>
    <xf numFmtId="0" fontId="35" fillId="24" borderId="10" xfId="0" applyFont="1" applyFill="1" applyBorder="1" applyAlignment="1">
      <alignment horizontal="center" vertical="center"/>
    </xf>
    <xf numFmtId="0" fontId="38" fillId="28" borderId="18" xfId="0" applyFont="1" applyFill="1" applyBorder="1" applyAlignment="1">
      <alignment horizontal="center" vertical="center"/>
    </xf>
    <xf numFmtId="0" fontId="38" fillId="28" borderId="21" xfId="0" applyFont="1" applyFill="1" applyBorder="1" applyAlignment="1">
      <alignment horizontal="center" vertical="center"/>
    </xf>
    <xf numFmtId="0" fontId="38" fillId="28" borderId="10" xfId="171" applyFont="1" applyFill="1" applyBorder="1" applyAlignment="1" applyProtection="1">
      <alignment horizontal="center" vertical="center" wrapText="1"/>
      <protection locked="0"/>
    </xf>
    <xf numFmtId="0" fontId="31" fillId="24" borderId="18" xfId="0" applyFont="1" applyFill="1" applyBorder="1" applyAlignment="1">
      <alignment horizontal="center" vertical="center"/>
    </xf>
    <xf numFmtId="0" fontId="31" fillId="24" borderId="21" xfId="0" applyFont="1" applyFill="1" applyBorder="1" applyAlignment="1">
      <alignment horizontal="center" vertical="center"/>
    </xf>
    <xf numFmtId="0" fontId="36" fillId="24" borderId="10" xfId="0" applyFont="1" applyFill="1" applyBorder="1" applyAlignment="1">
      <alignment horizontal="center" vertical="center"/>
    </xf>
    <xf numFmtId="0" fontId="39" fillId="25" borderId="15" xfId="409" applyFont="1" applyFill="1" applyBorder="1" applyAlignment="1">
      <alignment horizontal="center" vertical="center"/>
    </xf>
    <xf numFmtId="0" fontId="97" fillId="26" borderId="10" xfId="385" applyFont="1" applyFill="1" applyBorder="1" applyAlignment="1">
      <alignment horizontal="left" vertical="center" wrapText="1"/>
    </xf>
    <xf numFmtId="0" fontId="38" fillId="28" borderId="14" xfId="171" applyFont="1" applyFill="1" applyBorder="1" applyAlignment="1" applyProtection="1">
      <alignment horizontal="center" vertical="center" wrapText="1"/>
      <protection locked="0"/>
    </xf>
    <xf numFmtId="0" fontId="35" fillId="24" borderId="18" xfId="409" applyFont="1" applyFill="1" applyBorder="1" applyAlignment="1">
      <alignment horizontal="center" vertical="center"/>
    </xf>
    <xf numFmtId="0" fontId="35" fillId="24" borderId="21" xfId="409" applyFont="1" applyFill="1" applyBorder="1" applyAlignment="1">
      <alignment horizontal="center" vertical="center"/>
    </xf>
    <xf numFmtId="0" fontId="97" fillId="26" borderId="12" xfId="0" applyFont="1" applyFill="1" applyBorder="1" applyAlignment="1">
      <alignment horizontal="center" vertical="center" wrapText="1"/>
    </xf>
    <xf numFmtId="0" fontId="97" fillId="26" borderId="12" xfId="385" applyFont="1" applyFill="1" applyBorder="1" applyAlignment="1">
      <alignment horizontal="left" vertical="center" wrapText="1"/>
    </xf>
    <xf numFmtId="0" fontId="97" fillId="33" borderId="42" xfId="0" applyFont="1" applyFill="1" applyBorder="1" applyAlignment="1">
      <alignment horizontal="center" vertical="center" wrapText="1"/>
    </xf>
    <xf numFmtId="0" fontId="97" fillId="33" borderId="43" xfId="0" applyFont="1" applyFill="1" applyBorder="1" applyAlignment="1">
      <alignment horizontal="center" vertical="center" wrapText="1"/>
    </xf>
    <xf numFmtId="0" fontId="97" fillId="33" borderId="54" xfId="0" applyFont="1" applyFill="1" applyBorder="1" applyAlignment="1">
      <alignment horizontal="center" vertical="center" wrapText="1"/>
    </xf>
    <xf numFmtId="0" fontId="97" fillId="33" borderId="55" xfId="0" applyFont="1" applyFill="1" applyBorder="1" applyAlignment="1">
      <alignment horizontal="center" vertical="center" wrapText="1"/>
    </xf>
    <xf numFmtId="0" fontId="97" fillId="33" borderId="10" xfId="385" applyFont="1" applyFill="1" applyBorder="1" applyAlignment="1">
      <alignment horizontal="left" vertical="center" wrapText="1"/>
    </xf>
    <xf numFmtId="0" fontId="97" fillId="26" borderId="18" xfId="385" applyFont="1" applyFill="1" applyBorder="1" applyAlignment="1">
      <alignment horizontal="left" vertical="center" wrapText="1"/>
    </xf>
    <xf numFmtId="0" fontId="97" fillId="26" borderId="20" xfId="385" applyFont="1" applyFill="1" applyBorder="1" applyAlignment="1">
      <alignment horizontal="left" vertical="center" wrapText="1"/>
    </xf>
    <xf numFmtId="0" fontId="97" fillId="26" borderId="21" xfId="385" applyFont="1" applyFill="1" applyBorder="1" applyAlignment="1">
      <alignment horizontal="left" vertical="center" wrapText="1"/>
    </xf>
    <xf numFmtId="0" fontId="97" fillId="26" borderId="17" xfId="385" applyFont="1" applyFill="1" applyBorder="1" applyAlignment="1">
      <alignment horizontal="left" vertical="center" wrapText="1"/>
    </xf>
    <xf numFmtId="0" fontId="97" fillId="26" borderId="40" xfId="385" applyFont="1" applyFill="1" applyBorder="1" applyAlignment="1">
      <alignment horizontal="left" vertical="center" wrapText="1"/>
    </xf>
    <xf numFmtId="0" fontId="97" fillId="26" borderId="26" xfId="385" applyFont="1" applyFill="1" applyBorder="1" applyAlignment="1">
      <alignment horizontal="left" vertical="center" wrapText="1"/>
    </xf>
    <xf numFmtId="0" fontId="97" fillId="33" borderId="35" xfId="385" applyFont="1" applyFill="1" applyBorder="1" applyAlignment="1">
      <alignment horizontal="left" vertical="center" wrapText="1"/>
    </xf>
    <xf numFmtId="0" fontId="97" fillId="33" borderId="56" xfId="385" applyFont="1" applyFill="1" applyBorder="1" applyAlignment="1">
      <alignment horizontal="left" vertical="center" wrapText="1"/>
    </xf>
    <xf numFmtId="0" fontId="97" fillId="26" borderId="41" xfId="385" applyFont="1" applyFill="1" applyBorder="1" applyAlignment="1">
      <alignment horizontal="left" vertical="center" wrapText="1"/>
    </xf>
    <xf numFmtId="0" fontId="97" fillId="26" borderId="38" xfId="385" applyFont="1" applyFill="1" applyBorder="1" applyAlignment="1">
      <alignment horizontal="left" vertical="center" wrapText="1"/>
    </xf>
    <xf numFmtId="0" fontId="97" fillId="26" borderId="39" xfId="385" applyFont="1" applyFill="1" applyBorder="1" applyAlignment="1">
      <alignment horizontal="left" vertical="center" wrapText="1"/>
    </xf>
    <xf numFmtId="0" fontId="97" fillId="26" borderId="42" xfId="0" applyFont="1" applyFill="1" applyBorder="1" applyAlignment="1">
      <alignment horizontal="center" vertical="center"/>
    </xf>
    <xf numFmtId="0" fontId="97" fillId="26" borderId="43" xfId="0" applyFont="1" applyFill="1" applyBorder="1" applyAlignment="1">
      <alignment horizontal="center" vertical="center"/>
    </xf>
    <xf numFmtId="0" fontId="97" fillId="26" borderId="41" xfId="0" applyFont="1" applyFill="1" applyBorder="1" applyAlignment="1">
      <alignment horizontal="center" vertical="center"/>
    </xf>
    <xf numFmtId="0" fontId="97" fillId="26" borderId="39" xfId="0" applyFont="1" applyFill="1" applyBorder="1" applyAlignment="1">
      <alignment horizontal="center" vertical="center"/>
    </xf>
    <xf numFmtId="0" fontId="97" fillId="26" borderId="49" xfId="385" applyFont="1" applyFill="1" applyBorder="1" applyAlignment="1">
      <alignment horizontal="left" vertical="center" wrapText="1"/>
    </xf>
    <xf numFmtId="0" fontId="97" fillId="26" borderId="50" xfId="385" applyFont="1" applyFill="1" applyBorder="1" applyAlignment="1">
      <alignment horizontal="left" vertical="center" wrapText="1"/>
    </xf>
    <xf numFmtId="0" fontId="97" fillId="26" borderId="51" xfId="385" applyFont="1" applyFill="1" applyBorder="1" applyAlignment="1">
      <alignment horizontal="left" vertical="center" wrapText="1"/>
    </xf>
    <xf numFmtId="0" fontId="35" fillId="0" borderId="18" xfId="1716" applyFont="1" applyBorder="1" applyAlignment="1">
      <alignment horizontal="center" vertical="center"/>
    </xf>
    <xf numFmtId="0" fontId="35" fillId="0" borderId="20" xfId="1716" applyFont="1" applyBorder="1" applyAlignment="1">
      <alignment horizontal="center" vertical="center"/>
    </xf>
    <xf numFmtId="0" fontId="35" fillId="0" borderId="21" xfId="1716" applyFont="1" applyBorder="1" applyAlignment="1">
      <alignment horizontal="center" vertical="center"/>
    </xf>
    <xf numFmtId="0" fontId="35" fillId="0" borderId="10" xfId="1716" applyFont="1" applyBorder="1" applyAlignment="1">
      <alignment horizontal="center" vertical="center"/>
    </xf>
    <xf numFmtId="0" fontId="35" fillId="0" borderId="41" xfId="1716" applyFont="1" applyBorder="1" applyAlignment="1">
      <alignment horizontal="center" vertical="center"/>
    </xf>
    <xf numFmtId="0" fontId="35" fillId="0" borderId="38" xfId="1716" applyFont="1" applyBorder="1" applyAlignment="1">
      <alignment horizontal="center" vertical="center"/>
    </xf>
    <xf numFmtId="0" fontId="35" fillId="0" borderId="39" xfId="1716" applyFont="1" applyBorder="1" applyAlignment="1">
      <alignment horizontal="center" vertical="center"/>
    </xf>
    <xf numFmtId="0" fontId="97" fillId="33" borderId="56" xfId="0" applyFont="1" applyFill="1" applyBorder="1" applyAlignment="1">
      <alignment horizontal="center" vertical="center"/>
    </xf>
    <xf numFmtId="0" fontId="97" fillId="26" borderId="54" xfId="0" applyFont="1" applyFill="1" applyBorder="1" applyAlignment="1">
      <alignment horizontal="center" vertical="center"/>
    </xf>
    <xf numFmtId="0" fontId="97" fillId="26" borderId="55" xfId="0" applyFont="1" applyFill="1" applyBorder="1" applyAlignment="1">
      <alignment horizontal="center" vertical="center"/>
    </xf>
    <xf numFmtId="0" fontId="52" fillId="26" borderId="17" xfId="0" applyFont="1" applyFill="1" applyBorder="1" applyAlignment="1">
      <alignment horizontal="center" vertical="center" wrapText="1"/>
    </xf>
    <xf numFmtId="0" fontId="52" fillId="26" borderId="26" xfId="0" applyFont="1" applyFill="1" applyBorder="1" applyAlignment="1">
      <alignment horizontal="center" vertical="center" wrapText="1"/>
    </xf>
    <xf numFmtId="0" fontId="52" fillId="26" borderId="10" xfId="0" applyFont="1" applyFill="1" applyBorder="1" applyAlignment="1">
      <alignment horizontal="center" vertical="center" wrapText="1"/>
    </xf>
    <xf numFmtId="0" fontId="52" fillId="26" borderId="42" xfId="0" applyFont="1" applyFill="1" applyBorder="1" applyAlignment="1">
      <alignment horizontal="center" vertical="center" wrapText="1"/>
    </xf>
    <xf numFmtId="0" fontId="52" fillId="26" borderId="43" xfId="0" applyFont="1" applyFill="1" applyBorder="1" applyAlignment="1">
      <alignment horizontal="center" vertical="center" wrapText="1"/>
    </xf>
    <xf numFmtId="0" fontId="52" fillId="26" borderId="54" xfId="0" applyFont="1" applyFill="1" applyBorder="1" applyAlignment="1">
      <alignment horizontal="center" vertical="center" wrapText="1"/>
    </xf>
    <xf numFmtId="0" fontId="52" fillId="26" borderId="55" xfId="0" applyFont="1" applyFill="1" applyBorder="1" applyAlignment="1">
      <alignment horizontal="center" vertical="center" wrapText="1"/>
    </xf>
    <xf numFmtId="0" fontId="52" fillId="33" borderId="58" xfId="0" applyFont="1" applyFill="1" applyBorder="1" applyAlignment="1">
      <alignment horizontal="center" vertical="center" wrapText="1"/>
    </xf>
    <xf numFmtId="0" fontId="52" fillId="33" borderId="59" xfId="0" applyFont="1" applyFill="1" applyBorder="1" applyAlignment="1">
      <alignment horizontal="center" vertical="center" wrapText="1"/>
    </xf>
    <xf numFmtId="0" fontId="52" fillId="33" borderId="42" xfId="0" applyFont="1" applyFill="1" applyBorder="1" applyAlignment="1">
      <alignment horizontal="center" vertical="center" wrapText="1"/>
    </xf>
    <xf numFmtId="0" fontId="52" fillId="33" borderId="43" xfId="0" applyFont="1" applyFill="1" applyBorder="1" applyAlignment="1">
      <alignment horizontal="center" vertical="center" wrapText="1"/>
    </xf>
    <xf numFmtId="0" fontId="52" fillId="33" borderId="10" xfId="0" applyFont="1" applyFill="1" applyBorder="1" applyAlignment="1">
      <alignment horizontal="center" vertical="center" wrapText="1"/>
    </xf>
    <xf numFmtId="0" fontId="52" fillId="33" borderId="54" xfId="0" applyFont="1" applyFill="1" applyBorder="1" applyAlignment="1">
      <alignment horizontal="center" vertical="center" wrapText="1"/>
    </xf>
    <xf numFmtId="0" fontId="52" fillId="33" borderId="55" xfId="0" applyFont="1" applyFill="1" applyBorder="1" applyAlignment="1">
      <alignment horizontal="center" vertical="center" wrapText="1"/>
    </xf>
    <xf numFmtId="0" fontId="52" fillId="26" borderId="11" xfId="0" applyFont="1" applyFill="1" applyBorder="1" applyAlignment="1">
      <alignment horizontal="center" vertical="center"/>
    </xf>
    <xf numFmtId="0" fontId="52" fillId="26" borderId="10" xfId="0" applyFont="1" applyFill="1" applyBorder="1" applyAlignment="1">
      <alignment horizontal="center" vertical="center"/>
    </xf>
    <xf numFmtId="0" fontId="52" fillId="26" borderId="12" xfId="0" applyFont="1" applyFill="1" applyBorder="1" applyAlignment="1">
      <alignment horizontal="center" vertical="center"/>
    </xf>
    <xf numFmtId="0" fontId="52" fillId="26" borderId="35" xfId="0" applyFont="1" applyFill="1" applyBorder="1" applyAlignment="1">
      <alignment horizontal="center" vertical="center"/>
    </xf>
    <xf numFmtId="0" fontId="52" fillId="26" borderId="41" xfId="0" applyFont="1" applyFill="1" applyBorder="1" applyAlignment="1">
      <alignment horizontal="center" vertical="center"/>
    </xf>
    <xf numFmtId="0" fontId="52" fillId="26" borderId="39" xfId="0" applyFont="1" applyFill="1" applyBorder="1" applyAlignment="1">
      <alignment horizontal="center" vertical="center"/>
    </xf>
    <xf numFmtId="0" fontId="97" fillId="26" borderId="35" xfId="385" applyFont="1" applyFill="1" applyBorder="1" applyAlignment="1">
      <alignment horizontal="left" vertical="center" wrapText="1"/>
    </xf>
    <xf numFmtId="0" fontId="97" fillId="39" borderId="61" xfId="385" applyFont="1" applyFill="1" applyBorder="1" applyAlignment="1">
      <alignment horizontal="left" vertical="center" wrapText="1"/>
    </xf>
    <xf numFmtId="0" fontId="97" fillId="39" borderId="28" xfId="385" applyFont="1" applyFill="1" applyBorder="1" applyAlignment="1">
      <alignment horizontal="left" vertical="center" wrapText="1"/>
    </xf>
    <xf numFmtId="0" fontId="97" fillId="39" borderId="62" xfId="385" applyFont="1" applyFill="1" applyBorder="1" applyAlignment="1">
      <alignment horizontal="left" vertical="center" wrapText="1"/>
    </xf>
    <xf numFmtId="0" fontId="52" fillId="33" borderId="57" xfId="0" applyFont="1" applyFill="1" applyBorder="1" applyAlignment="1">
      <alignment horizontal="center" vertical="center"/>
    </xf>
  </cellXfs>
  <cellStyles count="8764">
    <cellStyle name="??&amp;O?&amp;H?_x0008__x000f__x0007_?_x0007__x0001__x0001_" xfId="417" xr:uid="{00000000-0005-0000-0000-000000000000}"/>
    <cellStyle name="??&amp;O?&amp;H?_x0008_??_x0007__x0001__x0001_" xfId="444" xr:uid="{00000000-0005-0000-0000-000001000000}"/>
    <cellStyle name="_SK네트웍스_xxx_템플릿" xfId="463" xr:uid="{00000000-0005-0000-0000-000002000000}"/>
    <cellStyle name="20% - 강조색1" xfId="1" builtinId="30" customBuiltin="1"/>
    <cellStyle name="20% - 강조색1 10" xfId="464" xr:uid="{00000000-0005-0000-0000-000004000000}"/>
    <cellStyle name="20% - 강조색1 11" xfId="465" xr:uid="{00000000-0005-0000-0000-000005000000}"/>
    <cellStyle name="20% - 강조색1 12" xfId="466" xr:uid="{00000000-0005-0000-0000-000006000000}"/>
    <cellStyle name="20% - 강조색1 2" xfId="2" xr:uid="{00000000-0005-0000-0000-000007000000}"/>
    <cellStyle name="20% - 강조색1 2 10" xfId="467" xr:uid="{00000000-0005-0000-0000-000008000000}"/>
    <cellStyle name="20% - 강조색1 2 2" xfId="468" xr:uid="{00000000-0005-0000-0000-000009000000}"/>
    <cellStyle name="20% - 강조색1 2 3" xfId="469" xr:uid="{00000000-0005-0000-0000-00000A000000}"/>
    <cellStyle name="20% - 강조색1 2 4" xfId="470" xr:uid="{00000000-0005-0000-0000-00000B000000}"/>
    <cellStyle name="20% - 강조색1 2 5" xfId="471" xr:uid="{00000000-0005-0000-0000-00000C000000}"/>
    <cellStyle name="20% - 강조색1 2 6" xfId="472" xr:uid="{00000000-0005-0000-0000-00000D000000}"/>
    <cellStyle name="20% - 강조색1 2 7" xfId="473" xr:uid="{00000000-0005-0000-0000-00000E000000}"/>
    <cellStyle name="20% - 강조색1 2 8" xfId="474" xr:uid="{00000000-0005-0000-0000-00000F000000}"/>
    <cellStyle name="20% - 강조색1 2 9" xfId="475" xr:uid="{00000000-0005-0000-0000-000010000000}"/>
    <cellStyle name="20% - 강조색1 3" xfId="3" xr:uid="{00000000-0005-0000-0000-000011000000}"/>
    <cellStyle name="20% - 강조색1 3 2" xfId="476" xr:uid="{00000000-0005-0000-0000-000012000000}"/>
    <cellStyle name="20% - 강조색1 3 3" xfId="477" xr:uid="{00000000-0005-0000-0000-000013000000}"/>
    <cellStyle name="20% - 강조색1 3 4" xfId="478" xr:uid="{00000000-0005-0000-0000-000014000000}"/>
    <cellStyle name="20% - 강조색1 4" xfId="4" xr:uid="{00000000-0005-0000-0000-000015000000}"/>
    <cellStyle name="20% - 강조색1 5" xfId="479" xr:uid="{00000000-0005-0000-0000-000016000000}"/>
    <cellStyle name="20% - 강조색1 6" xfId="480" xr:uid="{00000000-0005-0000-0000-000017000000}"/>
    <cellStyle name="20% - 강조색1 7" xfId="481" xr:uid="{00000000-0005-0000-0000-000018000000}"/>
    <cellStyle name="20% - 강조색1 7 2" xfId="482" xr:uid="{00000000-0005-0000-0000-000019000000}"/>
    <cellStyle name="20% - 강조색1 8" xfId="483" xr:uid="{00000000-0005-0000-0000-00001A000000}"/>
    <cellStyle name="20% - 강조색1 9" xfId="484" xr:uid="{00000000-0005-0000-0000-00001B000000}"/>
    <cellStyle name="20% - 강조색2" xfId="5" builtinId="34" customBuiltin="1"/>
    <cellStyle name="20% - 강조색2 10" xfId="485" xr:uid="{00000000-0005-0000-0000-00001D000000}"/>
    <cellStyle name="20% - 강조색2 11" xfId="486" xr:uid="{00000000-0005-0000-0000-00001E000000}"/>
    <cellStyle name="20% - 강조색2 12" xfId="487" xr:uid="{00000000-0005-0000-0000-00001F000000}"/>
    <cellStyle name="20% - 강조색2 2" xfId="6" xr:uid="{00000000-0005-0000-0000-000020000000}"/>
    <cellStyle name="20% - 강조색2 2 10" xfId="488" xr:uid="{00000000-0005-0000-0000-000021000000}"/>
    <cellStyle name="20% - 강조색2 2 2" xfId="489" xr:uid="{00000000-0005-0000-0000-000022000000}"/>
    <cellStyle name="20% - 강조색2 2 3" xfId="490" xr:uid="{00000000-0005-0000-0000-000023000000}"/>
    <cellStyle name="20% - 강조색2 2 4" xfId="491" xr:uid="{00000000-0005-0000-0000-000024000000}"/>
    <cellStyle name="20% - 강조색2 2 5" xfId="492" xr:uid="{00000000-0005-0000-0000-000025000000}"/>
    <cellStyle name="20% - 강조색2 2 6" xfId="493" xr:uid="{00000000-0005-0000-0000-000026000000}"/>
    <cellStyle name="20% - 강조색2 2 7" xfId="494" xr:uid="{00000000-0005-0000-0000-000027000000}"/>
    <cellStyle name="20% - 강조색2 2 8" xfId="495" xr:uid="{00000000-0005-0000-0000-000028000000}"/>
    <cellStyle name="20% - 강조색2 2 9" xfId="496" xr:uid="{00000000-0005-0000-0000-000029000000}"/>
    <cellStyle name="20% - 강조색2 3" xfId="7" xr:uid="{00000000-0005-0000-0000-00002A000000}"/>
    <cellStyle name="20% - 강조색2 3 2" xfId="497" xr:uid="{00000000-0005-0000-0000-00002B000000}"/>
    <cellStyle name="20% - 강조색2 3 3" xfId="498" xr:uid="{00000000-0005-0000-0000-00002C000000}"/>
    <cellStyle name="20% - 강조색2 3 4" xfId="499" xr:uid="{00000000-0005-0000-0000-00002D000000}"/>
    <cellStyle name="20% - 강조색2 4" xfId="8" xr:uid="{00000000-0005-0000-0000-00002E000000}"/>
    <cellStyle name="20% - 강조색2 5" xfId="500" xr:uid="{00000000-0005-0000-0000-00002F000000}"/>
    <cellStyle name="20% - 강조색2 6" xfId="501" xr:uid="{00000000-0005-0000-0000-000030000000}"/>
    <cellStyle name="20% - 강조색2 7" xfId="502" xr:uid="{00000000-0005-0000-0000-000031000000}"/>
    <cellStyle name="20% - 강조색2 7 2" xfId="503" xr:uid="{00000000-0005-0000-0000-000032000000}"/>
    <cellStyle name="20% - 강조색2 8" xfId="504" xr:uid="{00000000-0005-0000-0000-000033000000}"/>
    <cellStyle name="20% - 강조색2 9" xfId="505" xr:uid="{00000000-0005-0000-0000-000034000000}"/>
    <cellStyle name="20% - 강조색3" xfId="9" builtinId="38" customBuiltin="1"/>
    <cellStyle name="20% - 강조색3 10" xfId="506" xr:uid="{00000000-0005-0000-0000-000036000000}"/>
    <cellStyle name="20% - 강조색3 11" xfId="507" xr:uid="{00000000-0005-0000-0000-000037000000}"/>
    <cellStyle name="20% - 강조색3 12" xfId="508" xr:uid="{00000000-0005-0000-0000-000038000000}"/>
    <cellStyle name="20% - 강조색3 2" xfId="10" xr:uid="{00000000-0005-0000-0000-000039000000}"/>
    <cellStyle name="20% - 강조색3 2 10" xfId="509" xr:uid="{00000000-0005-0000-0000-00003A000000}"/>
    <cellStyle name="20% - 강조색3 2 2" xfId="510" xr:uid="{00000000-0005-0000-0000-00003B000000}"/>
    <cellStyle name="20% - 강조색3 2 3" xfId="511" xr:uid="{00000000-0005-0000-0000-00003C000000}"/>
    <cellStyle name="20% - 강조색3 2 4" xfId="512" xr:uid="{00000000-0005-0000-0000-00003D000000}"/>
    <cellStyle name="20% - 강조색3 2 5" xfId="513" xr:uid="{00000000-0005-0000-0000-00003E000000}"/>
    <cellStyle name="20% - 강조색3 2 6" xfId="514" xr:uid="{00000000-0005-0000-0000-00003F000000}"/>
    <cellStyle name="20% - 강조색3 2 7" xfId="515" xr:uid="{00000000-0005-0000-0000-000040000000}"/>
    <cellStyle name="20% - 강조색3 2 8" xfId="516" xr:uid="{00000000-0005-0000-0000-000041000000}"/>
    <cellStyle name="20% - 강조색3 2 9" xfId="517" xr:uid="{00000000-0005-0000-0000-000042000000}"/>
    <cellStyle name="20% - 강조색3 3" xfId="11" xr:uid="{00000000-0005-0000-0000-000043000000}"/>
    <cellStyle name="20% - 강조색3 3 2" xfId="518" xr:uid="{00000000-0005-0000-0000-000044000000}"/>
    <cellStyle name="20% - 강조색3 3 3" xfId="519" xr:uid="{00000000-0005-0000-0000-000045000000}"/>
    <cellStyle name="20% - 강조색3 3 4" xfId="520" xr:uid="{00000000-0005-0000-0000-000046000000}"/>
    <cellStyle name="20% - 강조색3 4" xfId="12" xr:uid="{00000000-0005-0000-0000-000047000000}"/>
    <cellStyle name="20% - 강조색3 5" xfId="521" xr:uid="{00000000-0005-0000-0000-000048000000}"/>
    <cellStyle name="20% - 강조색3 6" xfId="522" xr:uid="{00000000-0005-0000-0000-000049000000}"/>
    <cellStyle name="20% - 강조색3 7" xfId="523" xr:uid="{00000000-0005-0000-0000-00004A000000}"/>
    <cellStyle name="20% - 강조색3 7 2" xfId="524" xr:uid="{00000000-0005-0000-0000-00004B000000}"/>
    <cellStyle name="20% - 강조색3 8" xfId="525" xr:uid="{00000000-0005-0000-0000-00004C000000}"/>
    <cellStyle name="20% - 강조색3 9" xfId="526" xr:uid="{00000000-0005-0000-0000-00004D000000}"/>
    <cellStyle name="20% - 강조색4" xfId="13" builtinId="42" customBuiltin="1"/>
    <cellStyle name="20% - 강조색4 10" xfId="527" xr:uid="{00000000-0005-0000-0000-00004F000000}"/>
    <cellStyle name="20% - 강조색4 11" xfId="528" xr:uid="{00000000-0005-0000-0000-000050000000}"/>
    <cellStyle name="20% - 강조색4 12" xfId="529" xr:uid="{00000000-0005-0000-0000-000051000000}"/>
    <cellStyle name="20% - 강조색4 2" xfId="14" xr:uid="{00000000-0005-0000-0000-000052000000}"/>
    <cellStyle name="20% - 강조색4 2 10" xfId="530" xr:uid="{00000000-0005-0000-0000-000053000000}"/>
    <cellStyle name="20% - 강조색4 2 2" xfId="531" xr:uid="{00000000-0005-0000-0000-000054000000}"/>
    <cellStyle name="20% - 강조색4 2 3" xfId="532" xr:uid="{00000000-0005-0000-0000-000055000000}"/>
    <cellStyle name="20% - 강조색4 2 4" xfId="533" xr:uid="{00000000-0005-0000-0000-000056000000}"/>
    <cellStyle name="20% - 강조색4 2 5" xfId="534" xr:uid="{00000000-0005-0000-0000-000057000000}"/>
    <cellStyle name="20% - 강조색4 2 6" xfId="535" xr:uid="{00000000-0005-0000-0000-000058000000}"/>
    <cellStyle name="20% - 강조색4 2 7" xfId="536" xr:uid="{00000000-0005-0000-0000-000059000000}"/>
    <cellStyle name="20% - 강조색4 2 8" xfId="537" xr:uid="{00000000-0005-0000-0000-00005A000000}"/>
    <cellStyle name="20% - 강조색4 2 9" xfId="538" xr:uid="{00000000-0005-0000-0000-00005B000000}"/>
    <cellStyle name="20% - 강조색4 3" xfId="15" xr:uid="{00000000-0005-0000-0000-00005C000000}"/>
    <cellStyle name="20% - 강조색4 3 2" xfId="539" xr:uid="{00000000-0005-0000-0000-00005D000000}"/>
    <cellStyle name="20% - 강조색4 3 3" xfId="540" xr:uid="{00000000-0005-0000-0000-00005E000000}"/>
    <cellStyle name="20% - 강조색4 3 4" xfId="541" xr:uid="{00000000-0005-0000-0000-00005F000000}"/>
    <cellStyle name="20% - 강조색4 4" xfId="16" xr:uid="{00000000-0005-0000-0000-000060000000}"/>
    <cellStyle name="20% - 강조색4 5" xfId="542" xr:uid="{00000000-0005-0000-0000-000061000000}"/>
    <cellStyle name="20% - 강조색4 6" xfId="543" xr:uid="{00000000-0005-0000-0000-000062000000}"/>
    <cellStyle name="20% - 강조색4 7" xfId="544" xr:uid="{00000000-0005-0000-0000-000063000000}"/>
    <cellStyle name="20% - 강조색4 7 2" xfId="545" xr:uid="{00000000-0005-0000-0000-000064000000}"/>
    <cellStyle name="20% - 강조색4 8" xfId="546" xr:uid="{00000000-0005-0000-0000-000065000000}"/>
    <cellStyle name="20% - 강조색4 9" xfId="547" xr:uid="{00000000-0005-0000-0000-000066000000}"/>
    <cellStyle name="20% - 강조색5" xfId="17" builtinId="46" customBuiltin="1"/>
    <cellStyle name="20% - 강조색5 10" xfId="548" xr:uid="{00000000-0005-0000-0000-000068000000}"/>
    <cellStyle name="20% - 강조색5 11" xfId="549" xr:uid="{00000000-0005-0000-0000-000069000000}"/>
    <cellStyle name="20% - 강조색5 12" xfId="550" xr:uid="{00000000-0005-0000-0000-00006A000000}"/>
    <cellStyle name="20% - 강조색5 2" xfId="18" xr:uid="{00000000-0005-0000-0000-00006B000000}"/>
    <cellStyle name="20% - 강조색5 2 10" xfId="551" xr:uid="{00000000-0005-0000-0000-00006C000000}"/>
    <cellStyle name="20% - 강조색5 2 2" xfId="552" xr:uid="{00000000-0005-0000-0000-00006D000000}"/>
    <cellStyle name="20% - 강조색5 2 3" xfId="553" xr:uid="{00000000-0005-0000-0000-00006E000000}"/>
    <cellStyle name="20% - 강조색5 2 4" xfId="554" xr:uid="{00000000-0005-0000-0000-00006F000000}"/>
    <cellStyle name="20% - 강조색5 2 5" xfId="555" xr:uid="{00000000-0005-0000-0000-000070000000}"/>
    <cellStyle name="20% - 강조색5 2 6" xfId="556" xr:uid="{00000000-0005-0000-0000-000071000000}"/>
    <cellStyle name="20% - 강조색5 2 7" xfId="557" xr:uid="{00000000-0005-0000-0000-000072000000}"/>
    <cellStyle name="20% - 강조색5 2 8" xfId="558" xr:uid="{00000000-0005-0000-0000-000073000000}"/>
    <cellStyle name="20% - 강조색5 2 9" xfId="559" xr:uid="{00000000-0005-0000-0000-000074000000}"/>
    <cellStyle name="20% - 강조색5 3" xfId="19" xr:uid="{00000000-0005-0000-0000-000075000000}"/>
    <cellStyle name="20% - 강조색5 3 2" xfId="560" xr:uid="{00000000-0005-0000-0000-000076000000}"/>
    <cellStyle name="20% - 강조색5 3 3" xfId="561" xr:uid="{00000000-0005-0000-0000-000077000000}"/>
    <cellStyle name="20% - 강조색5 3 4" xfId="562" xr:uid="{00000000-0005-0000-0000-000078000000}"/>
    <cellStyle name="20% - 강조색5 4" xfId="20" xr:uid="{00000000-0005-0000-0000-000079000000}"/>
    <cellStyle name="20% - 강조색5 5" xfId="563" xr:uid="{00000000-0005-0000-0000-00007A000000}"/>
    <cellStyle name="20% - 강조색5 6" xfId="564" xr:uid="{00000000-0005-0000-0000-00007B000000}"/>
    <cellStyle name="20% - 강조색5 7" xfId="565" xr:uid="{00000000-0005-0000-0000-00007C000000}"/>
    <cellStyle name="20% - 강조색5 7 2" xfId="566" xr:uid="{00000000-0005-0000-0000-00007D000000}"/>
    <cellStyle name="20% - 강조색5 8" xfId="567" xr:uid="{00000000-0005-0000-0000-00007E000000}"/>
    <cellStyle name="20% - 강조색5 9" xfId="568" xr:uid="{00000000-0005-0000-0000-00007F000000}"/>
    <cellStyle name="20% - 강조색6" xfId="21" builtinId="50" customBuiltin="1"/>
    <cellStyle name="20% - 강조색6 10" xfId="570" xr:uid="{00000000-0005-0000-0000-000081000000}"/>
    <cellStyle name="20% - 강조색6 10 2" xfId="571" xr:uid="{00000000-0005-0000-0000-000082000000}"/>
    <cellStyle name="20% - 강조색6 10 3" xfId="572" xr:uid="{00000000-0005-0000-0000-000083000000}"/>
    <cellStyle name="20% - 강조색6 10 4" xfId="573" xr:uid="{00000000-0005-0000-0000-000084000000}"/>
    <cellStyle name="20% - 강조색6 10 5" xfId="574" xr:uid="{00000000-0005-0000-0000-000085000000}"/>
    <cellStyle name="20% - 강조색6 10 6" xfId="575" xr:uid="{00000000-0005-0000-0000-000086000000}"/>
    <cellStyle name="20% - 강조색6 10 7" xfId="576" xr:uid="{00000000-0005-0000-0000-000087000000}"/>
    <cellStyle name="20% - 강조색6 10 8" xfId="577" xr:uid="{00000000-0005-0000-0000-000088000000}"/>
    <cellStyle name="20% - 강조색6 10 9" xfId="578" xr:uid="{00000000-0005-0000-0000-000089000000}"/>
    <cellStyle name="20% - 강조색6 11" xfId="579" xr:uid="{00000000-0005-0000-0000-00008A000000}"/>
    <cellStyle name="20% - 강조색6 11 2" xfId="580" xr:uid="{00000000-0005-0000-0000-00008B000000}"/>
    <cellStyle name="20% - 강조색6 11 3" xfId="581" xr:uid="{00000000-0005-0000-0000-00008C000000}"/>
    <cellStyle name="20% - 강조색6 11 4" xfId="582" xr:uid="{00000000-0005-0000-0000-00008D000000}"/>
    <cellStyle name="20% - 강조색6 11 5" xfId="583" xr:uid="{00000000-0005-0000-0000-00008E000000}"/>
    <cellStyle name="20% - 강조색6 11 6" xfId="584" xr:uid="{00000000-0005-0000-0000-00008F000000}"/>
    <cellStyle name="20% - 강조색6 11 7" xfId="585" xr:uid="{00000000-0005-0000-0000-000090000000}"/>
    <cellStyle name="20% - 강조색6 11 8" xfId="586" xr:uid="{00000000-0005-0000-0000-000091000000}"/>
    <cellStyle name="20% - 강조색6 11 9" xfId="587" xr:uid="{00000000-0005-0000-0000-000092000000}"/>
    <cellStyle name="20% - 강조색6 12" xfId="588" xr:uid="{00000000-0005-0000-0000-000093000000}"/>
    <cellStyle name="20% - 강조색6 12 2" xfId="589" xr:uid="{00000000-0005-0000-0000-000094000000}"/>
    <cellStyle name="20% - 강조색6 12 3" xfId="590" xr:uid="{00000000-0005-0000-0000-000095000000}"/>
    <cellStyle name="20% - 강조색6 12 4" xfId="591" xr:uid="{00000000-0005-0000-0000-000096000000}"/>
    <cellStyle name="20% - 강조색6 12 5" xfId="592" xr:uid="{00000000-0005-0000-0000-000097000000}"/>
    <cellStyle name="20% - 강조색6 12 6" xfId="593" xr:uid="{00000000-0005-0000-0000-000098000000}"/>
    <cellStyle name="20% - 강조색6 12 7" xfId="594" xr:uid="{00000000-0005-0000-0000-000099000000}"/>
    <cellStyle name="20% - 강조색6 12 8" xfId="595" xr:uid="{00000000-0005-0000-0000-00009A000000}"/>
    <cellStyle name="20% - 강조색6 13" xfId="596" xr:uid="{00000000-0005-0000-0000-00009B000000}"/>
    <cellStyle name="20% - 강조색6 13 2" xfId="597" xr:uid="{00000000-0005-0000-0000-00009C000000}"/>
    <cellStyle name="20% - 강조색6 13 3" xfId="598" xr:uid="{00000000-0005-0000-0000-00009D000000}"/>
    <cellStyle name="20% - 강조색6 13 4" xfId="599" xr:uid="{00000000-0005-0000-0000-00009E000000}"/>
    <cellStyle name="20% - 강조색6 13 5" xfId="600" xr:uid="{00000000-0005-0000-0000-00009F000000}"/>
    <cellStyle name="20% - 강조색6 13 6" xfId="601" xr:uid="{00000000-0005-0000-0000-0000A0000000}"/>
    <cellStyle name="20% - 강조색6 13 7" xfId="602" xr:uid="{00000000-0005-0000-0000-0000A1000000}"/>
    <cellStyle name="20% - 강조색6 13 8" xfId="603" xr:uid="{00000000-0005-0000-0000-0000A2000000}"/>
    <cellStyle name="20% - 강조색6 14" xfId="604" xr:uid="{00000000-0005-0000-0000-0000A3000000}"/>
    <cellStyle name="20% - 강조색6 14 2" xfId="605" xr:uid="{00000000-0005-0000-0000-0000A4000000}"/>
    <cellStyle name="20% - 강조색6 14 3" xfId="606" xr:uid="{00000000-0005-0000-0000-0000A5000000}"/>
    <cellStyle name="20% - 강조색6 14 4" xfId="607" xr:uid="{00000000-0005-0000-0000-0000A6000000}"/>
    <cellStyle name="20% - 강조색6 14 5" xfId="608" xr:uid="{00000000-0005-0000-0000-0000A7000000}"/>
    <cellStyle name="20% - 강조색6 14 6" xfId="609" xr:uid="{00000000-0005-0000-0000-0000A8000000}"/>
    <cellStyle name="20% - 강조색6 14 7" xfId="610" xr:uid="{00000000-0005-0000-0000-0000A9000000}"/>
    <cellStyle name="20% - 강조색6 14 8" xfId="611" xr:uid="{00000000-0005-0000-0000-0000AA000000}"/>
    <cellStyle name="20% - 강조색6 15" xfId="612" xr:uid="{00000000-0005-0000-0000-0000AB000000}"/>
    <cellStyle name="20% - 강조색6 15 2" xfId="613" xr:uid="{00000000-0005-0000-0000-0000AC000000}"/>
    <cellStyle name="20% - 강조색6 15 3" xfId="614" xr:uid="{00000000-0005-0000-0000-0000AD000000}"/>
    <cellStyle name="20% - 강조색6 15 4" xfId="615" xr:uid="{00000000-0005-0000-0000-0000AE000000}"/>
    <cellStyle name="20% - 강조색6 15 5" xfId="616" xr:uid="{00000000-0005-0000-0000-0000AF000000}"/>
    <cellStyle name="20% - 강조색6 15 6" xfId="617" xr:uid="{00000000-0005-0000-0000-0000B0000000}"/>
    <cellStyle name="20% - 강조색6 15 7" xfId="618" xr:uid="{00000000-0005-0000-0000-0000B1000000}"/>
    <cellStyle name="20% - 강조색6 15 8" xfId="619" xr:uid="{00000000-0005-0000-0000-0000B2000000}"/>
    <cellStyle name="20% - 강조색6 16" xfId="620" xr:uid="{00000000-0005-0000-0000-0000B3000000}"/>
    <cellStyle name="20% - 강조색6 16 2" xfId="621" xr:uid="{00000000-0005-0000-0000-0000B4000000}"/>
    <cellStyle name="20% - 강조색6 16 3" xfId="622" xr:uid="{00000000-0005-0000-0000-0000B5000000}"/>
    <cellStyle name="20% - 강조색6 16 4" xfId="623" xr:uid="{00000000-0005-0000-0000-0000B6000000}"/>
    <cellStyle name="20% - 강조색6 16 5" xfId="624" xr:uid="{00000000-0005-0000-0000-0000B7000000}"/>
    <cellStyle name="20% - 강조색6 16 6" xfId="625" xr:uid="{00000000-0005-0000-0000-0000B8000000}"/>
    <cellStyle name="20% - 강조색6 16 7" xfId="626" xr:uid="{00000000-0005-0000-0000-0000B9000000}"/>
    <cellStyle name="20% - 강조색6 16 8" xfId="627" xr:uid="{00000000-0005-0000-0000-0000BA000000}"/>
    <cellStyle name="20% - 강조색6 17" xfId="628" xr:uid="{00000000-0005-0000-0000-0000BB000000}"/>
    <cellStyle name="20% - 강조색6 17 2" xfId="629" xr:uid="{00000000-0005-0000-0000-0000BC000000}"/>
    <cellStyle name="20% - 강조색6 17 3" xfId="630" xr:uid="{00000000-0005-0000-0000-0000BD000000}"/>
    <cellStyle name="20% - 강조색6 17 4" xfId="631" xr:uid="{00000000-0005-0000-0000-0000BE000000}"/>
    <cellStyle name="20% - 강조색6 17 5" xfId="632" xr:uid="{00000000-0005-0000-0000-0000BF000000}"/>
    <cellStyle name="20% - 강조색6 17 6" xfId="633" xr:uid="{00000000-0005-0000-0000-0000C0000000}"/>
    <cellStyle name="20% - 강조색6 17 7" xfId="634" xr:uid="{00000000-0005-0000-0000-0000C1000000}"/>
    <cellStyle name="20% - 강조색6 17 8" xfId="635" xr:uid="{00000000-0005-0000-0000-0000C2000000}"/>
    <cellStyle name="20% - 강조색6 18" xfId="636" xr:uid="{00000000-0005-0000-0000-0000C3000000}"/>
    <cellStyle name="20% - 강조색6 18 2" xfId="637" xr:uid="{00000000-0005-0000-0000-0000C4000000}"/>
    <cellStyle name="20% - 강조색6 18 3" xfId="638" xr:uid="{00000000-0005-0000-0000-0000C5000000}"/>
    <cellStyle name="20% - 강조색6 18 4" xfId="639" xr:uid="{00000000-0005-0000-0000-0000C6000000}"/>
    <cellStyle name="20% - 강조색6 18 5" xfId="640" xr:uid="{00000000-0005-0000-0000-0000C7000000}"/>
    <cellStyle name="20% - 강조색6 18 6" xfId="641" xr:uid="{00000000-0005-0000-0000-0000C8000000}"/>
    <cellStyle name="20% - 강조색6 18 7" xfId="642" xr:uid="{00000000-0005-0000-0000-0000C9000000}"/>
    <cellStyle name="20% - 강조색6 18 8" xfId="643" xr:uid="{00000000-0005-0000-0000-0000CA000000}"/>
    <cellStyle name="20% - 강조색6 19" xfId="644" xr:uid="{00000000-0005-0000-0000-0000CB000000}"/>
    <cellStyle name="20% - 강조색6 2" xfId="22" xr:uid="{00000000-0005-0000-0000-0000CC000000}"/>
    <cellStyle name="20% - 강조색6 2 10" xfId="646" xr:uid="{00000000-0005-0000-0000-0000CD000000}"/>
    <cellStyle name="20% - 강조색6 2 11" xfId="647" xr:uid="{00000000-0005-0000-0000-0000CE000000}"/>
    <cellStyle name="20% - 강조색6 2 11 2" xfId="648" xr:uid="{00000000-0005-0000-0000-0000CF000000}"/>
    <cellStyle name="20% - 강조색6 2 11 2 2" xfId="649" xr:uid="{00000000-0005-0000-0000-0000D0000000}"/>
    <cellStyle name="20% - 강조색6 2 11 2 3" xfId="650" xr:uid="{00000000-0005-0000-0000-0000D1000000}"/>
    <cellStyle name="20% - 강조색6 2 11 3" xfId="651" xr:uid="{00000000-0005-0000-0000-0000D2000000}"/>
    <cellStyle name="20% - 강조색6 2 12" xfId="652" xr:uid="{00000000-0005-0000-0000-0000D3000000}"/>
    <cellStyle name="20% - 강조색6 2 13" xfId="653" xr:uid="{00000000-0005-0000-0000-0000D4000000}"/>
    <cellStyle name="20% - 강조색6 2 14" xfId="654" xr:uid="{00000000-0005-0000-0000-0000D5000000}"/>
    <cellStyle name="20% - 강조색6 2 14 2" xfId="655" xr:uid="{00000000-0005-0000-0000-0000D6000000}"/>
    <cellStyle name="20% - 강조색6 2 14 2 2" xfId="656" xr:uid="{00000000-0005-0000-0000-0000D7000000}"/>
    <cellStyle name="20% - 강조색6 2 14 2 3" xfId="657" xr:uid="{00000000-0005-0000-0000-0000D8000000}"/>
    <cellStyle name="20% - 강조색6 2 14 3" xfId="658" xr:uid="{00000000-0005-0000-0000-0000D9000000}"/>
    <cellStyle name="20% - 강조색6 2 15" xfId="659" xr:uid="{00000000-0005-0000-0000-0000DA000000}"/>
    <cellStyle name="20% - 강조색6 2 16" xfId="660" xr:uid="{00000000-0005-0000-0000-0000DB000000}"/>
    <cellStyle name="20% - 강조색6 2 17" xfId="661" xr:uid="{00000000-0005-0000-0000-0000DC000000}"/>
    <cellStyle name="20% - 강조색6 2 17 2" xfId="662" xr:uid="{00000000-0005-0000-0000-0000DD000000}"/>
    <cellStyle name="20% - 강조색6 2 17 2 2" xfId="663" xr:uid="{00000000-0005-0000-0000-0000DE000000}"/>
    <cellStyle name="20% - 강조색6 2 17 2 3" xfId="664" xr:uid="{00000000-0005-0000-0000-0000DF000000}"/>
    <cellStyle name="20% - 강조색6 2 17 3" xfId="665" xr:uid="{00000000-0005-0000-0000-0000E0000000}"/>
    <cellStyle name="20% - 강조색6 2 18" xfId="666" xr:uid="{00000000-0005-0000-0000-0000E1000000}"/>
    <cellStyle name="20% - 강조색6 2 19" xfId="667" xr:uid="{00000000-0005-0000-0000-0000E2000000}"/>
    <cellStyle name="20% - 강조색6 2 2" xfId="668" xr:uid="{00000000-0005-0000-0000-0000E3000000}"/>
    <cellStyle name="20% - 강조색6 2 20" xfId="669" xr:uid="{00000000-0005-0000-0000-0000E4000000}"/>
    <cellStyle name="20% - 강조색6 2 21" xfId="645" xr:uid="{00000000-0005-0000-0000-0000E5000000}"/>
    <cellStyle name="20% - 강조색6 2 3" xfId="670" xr:uid="{00000000-0005-0000-0000-0000E6000000}"/>
    <cellStyle name="20% - 강조색6 2 4" xfId="671" xr:uid="{00000000-0005-0000-0000-0000E7000000}"/>
    <cellStyle name="20% - 강조색6 2 5" xfId="672" xr:uid="{00000000-0005-0000-0000-0000E8000000}"/>
    <cellStyle name="20% - 강조색6 2 6" xfId="673" xr:uid="{00000000-0005-0000-0000-0000E9000000}"/>
    <cellStyle name="20% - 강조색6 2 7" xfId="674" xr:uid="{00000000-0005-0000-0000-0000EA000000}"/>
    <cellStyle name="20% - 강조색6 2 7 2" xfId="675" xr:uid="{00000000-0005-0000-0000-0000EB000000}"/>
    <cellStyle name="20% - 강조색6 2 7 2 2" xfId="676" xr:uid="{00000000-0005-0000-0000-0000EC000000}"/>
    <cellStyle name="20% - 강조색6 2 7 2 2 2" xfId="677" xr:uid="{00000000-0005-0000-0000-0000ED000000}"/>
    <cellStyle name="20% - 강조색6 2 7 2 2 2 2" xfId="678" xr:uid="{00000000-0005-0000-0000-0000EE000000}"/>
    <cellStyle name="20% - 강조색6 2 7 2 2 2 3" xfId="679" xr:uid="{00000000-0005-0000-0000-0000EF000000}"/>
    <cellStyle name="20% - 강조색6 2 7 2 2 3" xfId="680" xr:uid="{00000000-0005-0000-0000-0000F0000000}"/>
    <cellStyle name="20% - 강조색6 2 7 2 3" xfId="681" xr:uid="{00000000-0005-0000-0000-0000F1000000}"/>
    <cellStyle name="20% - 강조색6 2 7 2 4" xfId="682" xr:uid="{00000000-0005-0000-0000-0000F2000000}"/>
    <cellStyle name="20% - 강조색6 2 7 3" xfId="683" xr:uid="{00000000-0005-0000-0000-0000F3000000}"/>
    <cellStyle name="20% - 강조색6 2 7 3 2" xfId="684" xr:uid="{00000000-0005-0000-0000-0000F4000000}"/>
    <cellStyle name="20% - 강조색6 2 7 3 3" xfId="685" xr:uid="{00000000-0005-0000-0000-0000F5000000}"/>
    <cellStyle name="20% - 강조색6 2 7 4" xfId="686" xr:uid="{00000000-0005-0000-0000-0000F6000000}"/>
    <cellStyle name="20% - 강조색6 2 8" xfId="687" xr:uid="{00000000-0005-0000-0000-0000F7000000}"/>
    <cellStyle name="20% - 강조색6 2 9" xfId="688" xr:uid="{00000000-0005-0000-0000-0000F8000000}"/>
    <cellStyle name="20% - 강조색6 20" xfId="569" xr:uid="{00000000-0005-0000-0000-0000F9000000}"/>
    <cellStyle name="20% - 강조색6 3" xfId="23" xr:uid="{00000000-0005-0000-0000-0000FA000000}"/>
    <cellStyle name="20% - 강조색6 3 2" xfId="690" xr:uid="{00000000-0005-0000-0000-0000FB000000}"/>
    <cellStyle name="20% - 강조색6 3 3" xfId="691" xr:uid="{00000000-0005-0000-0000-0000FC000000}"/>
    <cellStyle name="20% - 강조색6 3 4" xfId="692" xr:uid="{00000000-0005-0000-0000-0000FD000000}"/>
    <cellStyle name="20% - 강조색6 3 5" xfId="689" xr:uid="{00000000-0005-0000-0000-0000FE000000}"/>
    <cellStyle name="20% - 강조색6 4" xfId="24" xr:uid="{00000000-0005-0000-0000-0000FF000000}"/>
    <cellStyle name="20% - 강조색6 4 2" xfId="693" xr:uid="{00000000-0005-0000-0000-000000010000}"/>
    <cellStyle name="20% - 강조색6 5" xfId="694" xr:uid="{00000000-0005-0000-0000-000001010000}"/>
    <cellStyle name="20% - 강조색6 6" xfId="695" xr:uid="{00000000-0005-0000-0000-000002010000}"/>
    <cellStyle name="20% - 강조색6 7" xfId="696" xr:uid="{00000000-0005-0000-0000-000003010000}"/>
    <cellStyle name="20% - 강조색6 7 2" xfId="697" xr:uid="{00000000-0005-0000-0000-000004010000}"/>
    <cellStyle name="20% - 강조색6 8" xfId="698" xr:uid="{00000000-0005-0000-0000-000005010000}"/>
    <cellStyle name="20% - 강조색6 9" xfId="699" xr:uid="{00000000-0005-0000-0000-000006010000}"/>
    <cellStyle name="20% - 강조색6 9 10" xfId="1822" xr:uid="{00000000-0005-0000-0000-000007010000}"/>
    <cellStyle name="20% - 강조색6 9 2" xfId="700" xr:uid="{00000000-0005-0000-0000-000008010000}"/>
    <cellStyle name="20% - 강조색6 9 3" xfId="701" xr:uid="{00000000-0005-0000-0000-000009010000}"/>
    <cellStyle name="20% - 강조색6 9 4" xfId="702" xr:uid="{00000000-0005-0000-0000-00000A010000}"/>
    <cellStyle name="20% - 강조색6 9 5" xfId="703" xr:uid="{00000000-0005-0000-0000-00000B010000}"/>
    <cellStyle name="20% - 강조색6 9 6" xfId="704" xr:uid="{00000000-0005-0000-0000-00000C010000}"/>
    <cellStyle name="20% - 강조색6 9 7" xfId="705" xr:uid="{00000000-0005-0000-0000-00000D010000}"/>
    <cellStyle name="20% - 강조색6 9 8" xfId="706" xr:uid="{00000000-0005-0000-0000-00000E010000}"/>
    <cellStyle name="20% - 강조색6 9 9" xfId="707" xr:uid="{00000000-0005-0000-0000-00000F010000}"/>
    <cellStyle name="40% - 강조색1" xfId="25" builtinId="31" customBuiltin="1"/>
    <cellStyle name="40% - 강조색1 10" xfId="708" xr:uid="{00000000-0005-0000-0000-000011010000}"/>
    <cellStyle name="40% - 강조색1 11" xfId="709" xr:uid="{00000000-0005-0000-0000-000012010000}"/>
    <cellStyle name="40% - 강조색1 12" xfId="710" xr:uid="{00000000-0005-0000-0000-000013010000}"/>
    <cellStyle name="40% - 강조색1 2" xfId="26" xr:uid="{00000000-0005-0000-0000-000014010000}"/>
    <cellStyle name="40% - 강조색1 2 10" xfId="711" xr:uid="{00000000-0005-0000-0000-000015010000}"/>
    <cellStyle name="40% - 강조색1 2 2" xfId="712" xr:uid="{00000000-0005-0000-0000-000016010000}"/>
    <cellStyle name="40% - 강조색1 2 3" xfId="713" xr:uid="{00000000-0005-0000-0000-000017010000}"/>
    <cellStyle name="40% - 강조색1 2 4" xfId="714" xr:uid="{00000000-0005-0000-0000-000018010000}"/>
    <cellStyle name="40% - 강조색1 2 5" xfId="715" xr:uid="{00000000-0005-0000-0000-000019010000}"/>
    <cellStyle name="40% - 강조색1 2 6" xfId="716" xr:uid="{00000000-0005-0000-0000-00001A010000}"/>
    <cellStyle name="40% - 강조색1 2 7" xfId="717" xr:uid="{00000000-0005-0000-0000-00001B010000}"/>
    <cellStyle name="40% - 강조색1 2 8" xfId="718" xr:uid="{00000000-0005-0000-0000-00001C010000}"/>
    <cellStyle name="40% - 강조색1 2 9" xfId="719" xr:uid="{00000000-0005-0000-0000-00001D010000}"/>
    <cellStyle name="40% - 강조색1 3" xfId="27" xr:uid="{00000000-0005-0000-0000-00001E010000}"/>
    <cellStyle name="40% - 강조색1 3 2" xfId="720" xr:uid="{00000000-0005-0000-0000-00001F010000}"/>
    <cellStyle name="40% - 강조색1 3 3" xfId="721" xr:uid="{00000000-0005-0000-0000-000020010000}"/>
    <cellStyle name="40% - 강조색1 3 4" xfId="722" xr:uid="{00000000-0005-0000-0000-000021010000}"/>
    <cellStyle name="40% - 강조색1 4" xfId="28" xr:uid="{00000000-0005-0000-0000-000022010000}"/>
    <cellStyle name="40% - 강조색1 5" xfId="723" xr:uid="{00000000-0005-0000-0000-000023010000}"/>
    <cellStyle name="40% - 강조색1 6" xfId="724" xr:uid="{00000000-0005-0000-0000-000024010000}"/>
    <cellStyle name="40% - 강조색1 7" xfId="725" xr:uid="{00000000-0005-0000-0000-000025010000}"/>
    <cellStyle name="40% - 강조색1 7 2" xfId="726" xr:uid="{00000000-0005-0000-0000-000026010000}"/>
    <cellStyle name="40% - 강조색1 8" xfId="727" xr:uid="{00000000-0005-0000-0000-000027010000}"/>
    <cellStyle name="40% - 강조색1 9" xfId="728" xr:uid="{00000000-0005-0000-0000-000028010000}"/>
    <cellStyle name="40% - 강조색2" xfId="29" builtinId="35" customBuiltin="1"/>
    <cellStyle name="40% - 강조색2 10" xfId="729" xr:uid="{00000000-0005-0000-0000-00002A010000}"/>
    <cellStyle name="40% - 강조색2 11" xfId="730" xr:uid="{00000000-0005-0000-0000-00002B010000}"/>
    <cellStyle name="40% - 강조색2 12" xfId="731" xr:uid="{00000000-0005-0000-0000-00002C010000}"/>
    <cellStyle name="40% - 강조색2 2" xfId="30" xr:uid="{00000000-0005-0000-0000-00002D010000}"/>
    <cellStyle name="40% - 강조색2 2 10" xfId="732" xr:uid="{00000000-0005-0000-0000-00002E010000}"/>
    <cellStyle name="40% - 강조색2 2 2" xfId="733" xr:uid="{00000000-0005-0000-0000-00002F010000}"/>
    <cellStyle name="40% - 강조색2 2 3" xfId="734" xr:uid="{00000000-0005-0000-0000-000030010000}"/>
    <cellStyle name="40% - 강조색2 2 4" xfId="735" xr:uid="{00000000-0005-0000-0000-000031010000}"/>
    <cellStyle name="40% - 강조색2 2 5" xfId="736" xr:uid="{00000000-0005-0000-0000-000032010000}"/>
    <cellStyle name="40% - 강조색2 2 6" xfId="737" xr:uid="{00000000-0005-0000-0000-000033010000}"/>
    <cellStyle name="40% - 강조색2 2 7" xfId="738" xr:uid="{00000000-0005-0000-0000-000034010000}"/>
    <cellStyle name="40% - 강조색2 2 8" xfId="739" xr:uid="{00000000-0005-0000-0000-000035010000}"/>
    <cellStyle name="40% - 강조색2 2 9" xfId="740" xr:uid="{00000000-0005-0000-0000-000036010000}"/>
    <cellStyle name="40% - 강조색2 3" xfId="31" xr:uid="{00000000-0005-0000-0000-000037010000}"/>
    <cellStyle name="40% - 강조색2 3 2" xfId="741" xr:uid="{00000000-0005-0000-0000-000038010000}"/>
    <cellStyle name="40% - 강조색2 3 3" xfId="742" xr:uid="{00000000-0005-0000-0000-000039010000}"/>
    <cellStyle name="40% - 강조색2 3 4" xfId="743" xr:uid="{00000000-0005-0000-0000-00003A010000}"/>
    <cellStyle name="40% - 강조색2 4" xfId="32" xr:uid="{00000000-0005-0000-0000-00003B010000}"/>
    <cellStyle name="40% - 강조색2 5" xfId="744" xr:uid="{00000000-0005-0000-0000-00003C010000}"/>
    <cellStyle name="40% - 강조색2 6" xfId="745" xr:uid="{00000000-0005-0000-0000-00003D010000}"/>
    <cellStyle name="40% - 강조색2 7" xfId="746" xr:uid="{00000000-0005-0000-0000-00003E010000}"/>
    <cellStyle name="40% - 강조색2 7 2" xfId="747" xr:uid="{00000000-0005-0000-0000-00003F010000}"/>
    <cellStyle name="40% - 강조색2 8" xfId="748" xr:uid="{00000000-0005-0000-0000-000040010000}"/>
    <cellStyle name="40% - 강조색2 9" xfId="749" xr:uid="{00000000-0005-0000-0000-000041010000}"/>
    <cellStyle name="40% - 강조색3" xfId="33" builtinId="39" customBuiltin="1"/>
    <cellStyle name="40% - 강조색3 10" xfId="750" xr:uid="{00000000-0005-0000-0000-000043010000}"/>
    <cellStyle name="40% - 강조색3 11" xfId="751" xr:uid="{00000000-0005-0000-0000-000044010000}"/>
    <cellStyle name="40% - 강조색3 12" xfId="752" xr:uid="{00000000-0005-0000-0000-000045010000}"/>
    <cellStyle name="40% - 강조색3 2" xfId="34" xr:uid="{00000000-0005-0000-0000-000046010000}"/>
    <cellStyle name="40% - 강조색3 2 10" xfId="753" xr:uid="{00000000-0005-0000-0000-000047010000}"/>
    <cellStyle name="40% - 강조색3 2 2" xfId="754" xr:uid="{00000000-0005-0000-0000-000048010000}"/>
    <cellStyle name="40% - 강조색3 2 3" xfId="755" xr:uid="{00000000-0005-0000-0000-000049010000}"/>
    <cellStyle name="40% - 강조색3 2 4" xfId="756" xr:uid="{00000000-0005-0000-0000-00004A010000}"/>
    <cellStyle name="40% - 강조색3 2 5" xfId="757" xr:uid="{00000000-0005-0000-0000-00004B010000}"/>
    <cellStyle name="40% - 강조색3 2 6" xfId="758" xr:uid="{00000000-0005-0000-0000-00004C010000}"/>
    <cellStyle name="40% - 강조색3 2 7" xfId="759" xr:uid="{00000000-0005-0000-0000-00004D010000}"/>
    <cellStyle name="40% - 강조색3 2 8" xfId="760" xr:uid="{00000000-0005-0000-0000-00004E010000}"/>
    <cellStyle name="40% - 강조색3 2 9" xfId="761" xr:uid="{00000000-0005-0000-0000-00004F010000}"/>
    <cellStyle name="40% - 강조색3 3" xfId="35" xr:uid="{00000000-0005-0000-0000-000050010000}"/>
    <cellStyle name="40% - 강조색3 3 2" xfId="762" xr:uid="{00000000-0005-0000-0000-000051010000}"/>
    <cellStyle name="40% - 강조색3 3 3" xfId="763" xr:uid="{00000000-0005-0000-0000-000052010000}"/>
    <cellStyle name="40% - 강조색3 3 4" xfId="764" xr:uid="{00000000-0005-0000-0000-000053010000}"/>
    <cellStyle name="40% - 강조색3 4" xfId="36" xr:uid="{00000000-0005-0000-0000-000054010000}"/>
    <cellStyle name="40% - 강조색3 5" xfId="765" xr:uid="{00000000-0005-0000-0000-000055010000}"/>
    <cellStyle name="40% - 강조색3 6" xfId="766" xr:uid="{00000000-0005-0000-0000-000056010000}"/>
    <cellStyle name="40% - 강조색3 7" xfId="767" xr:uid="{00000000-0005-0000-0000-000057010000}"/>
    <cellStyle name="40% - 강조색3 7 2" xfId="768" xr:uid="{00000000-0005-0000-0000-000058010000}"/>
    <cellStyle name="40% - 강조색3 8" xfId="769" xr:uid="{00000000-0005-0000-0000-000059010000}"/>
    <cellStyle name="40% - 강조색3 9" xfId="770" xr:uid="{00000000-0005-0000-0000-00005A010000}"/>
    <cellStyle name="40% - 강조색4" xfId="37" builtinId="43" customBuiltin="1"/>
    <cellStyle name="40% - 강조색4 10" xfId="771" xr:uid="{00000000-0005-0000-0000-00005C010000}"/>
    <cellStyle name="40% - 강조색4 11" xfId="772" xr:uid="{00000000-0005-0000-0000-00005D010000}"/>
    <cellStyle name="40% - 강조색4 12" xfId="773" xr:uid="{00000000-0005-0000-0000-00005E010000}"/>
    <cellStyle name="40% - 강조색4 2" xfId="38" xr:uid="{00000000-0005-0000-0000-00005F010000}"/>
    <cellStyle name="40% - 강조색4 2 10" xfId="774" xr:uid="{00000000-0005-0000-0000-000060010000}"/>
    <cellStyle name="40% - 강조색4 2 2" xfId="775" xr:uid="{00000000-0005-0000-0000-000061010000}"/>
    <cellStyle name="40% - 강조색4 2 3" xfId="776" xr:uid="{00000000-0005-0000-0000-000062010000}"/>
    <cellStyle name="40% - 강조색4 2 4" xfId="777" xr:uid="{00000000-0005-0000-0000-000063010000}"/>
    <cellStyle name="40% - 강조색4 2 5" xfId="778" xr:uid="{00000000-0005-0000-0000-000064010000}"/>
    <cellStyle name="40% - 강조색4 2 6" xfId="779" xr:uid="{00000000-0005-0000-0000-000065010000}"/>
    <cellStyle name="40% - 강조색4 2 7" xfId="780" xr:uid="{00000000-0005-0000-0000-000066010000}"/>
    <cellStyle name="40% - 강조색4 2 8" xfId="781" xr:uid="{00000000-0005-0000-0000-000067010000}"/>
    <cellStyle name="40% - 강조색4 2 9" xfId="782" xr:uid="{00000000-0005-0000-0000-000068010000}"/>
    <cellStyle name="40% - 강조색4 3" xfId="39" xr:uid="{00000000-0005-0000-0000-000069010000}"/>
    <cellStyle name="40% - 강조색4 3 2" xfId="783" xr:uid="{00000000-0005-0000-0000-00006A010000}"/>
    <cellStyle name="40% - 강조색4 3 3" xfId="784" xr:uid="{00000000-0005-0000-0000-00006B010000}"/>
    <cellStyle name="40% - 강조색4 3 4" xfId="785" xr:uid="{00000000-0005-0000-0000-00006C010000}"/>
    <cellStyle name="40% - 강조색4 4" xfId="40" xr:uid="{00000000-0005-0000-0000-00006D010000}"/>
    <cellStyle name="40% - 강조색4 5" xfId="786" xr:uid="{00000000-0005-0000-0000-00006E010000}"/>
    <cellStyle name="40% - 강조색4 6" xfId="787" xr:uid="{00000000-0005-0000-0000-00006F010000}"/>
    <cellStyle name="40% - 강조색4 7" xfId="788" xr:uid="{00000000-0005-0000-0000-000070010000}"/>
    <cellStyle name="40% - 강조색4 7 2" xfId="789" xr:uid="{00000000-0005-0000-0000-000071010000}"/>
    <cellStyle name="40% - 강조색4 8" xfId="790" xr:uid="{00000000-0005-0000-0000-000072010000}"/>
    <cellStyle name="40% - 강조색4 9" xfId="791" xr:uid="{00000000-0005-0000-0000-000073010000}"/>
    <cellStyle name="40% - 강조색5" xfId="41" builtinId="47" customBuiltin="1"/>
    <cellStyle name="40% - 강조색5 10" xfId="792" xr:uid="{00000000-0005-0000-0000-000075010000}"/>
    <cellStyle name="40% - 강조색5 11" xfId="793" xr:uid="{00000000-0005-0000-0000-000076010000}"/>
    <cellStyle name="40% - 강조색5 12" xfId="794" xr:uid="{00000000-0005-0000-0000-000077010000}"/>
    <cellStyle name="40% - 강조색5 2" xfId="42" xr:uid="{00000000-0005-0000-0000-000078010000}"/>
    <cellStyle name="40% - 강조색5 2 10" xfId="795" xr:uid="{00000000-0005-0000-0000-000079010000}"/>
    <cellStyle name="40% - 강조색5 2 2" xfId="796" xr:uid="{00000000-0005-0000-0000-00007A010000}"/>
    <cellStyle name="40% - 강조색5 2 3" xfId="797" xr:uid="{00000000-0005-0000-0000-00007B010000}"/>
    <cellStyle name="40% - 강조색5 2 4" xfId="798" xr:uid="{00000000-0005-0000-0000-00007C010000}"/>
    <cellStyle name="40% - 강조색5 2 5" xfId="799" xr:uid="{00000000-0005-0000-0000-00007D010000}"/>
    <cellStyle name="40% - 강조색5 2 6" xfId="800" xr:uid="{00000000-0005-0000-0000-00007E010000}"/>
    <cellStyle name="40% - 강조색5 2 7" xfId="801" xr:uid="{00000000-0005-0000-0000-00007F010000}"/>
    <cellStyle name="40% - 강조색5 2 8" xfId="802" xr:uid="{00000000-0005-0000-0000-000080010000}"/>
    <cellStyle name="40% - 강조색5 2 9" xfId="803" xr:uid="{00000000-0005-0000-0000-000081010000}"/>
    <cellStyle name="40% - 강조색5 3" xfId="43" xr:uid="{00000000-0005-0000-0000-000082010000}"/>
    <cellStyle name="40% - 강조색5 3 2" xfId="804" xr:uid="{00000000-0005-0000-0000-000083010000}"/>
    <cellStyle name="40% - 강조색5 3 3" xfId="805" xr:uid="{00000000-0005-0000-0000-000084010000}"/>
    <cellStyle name="40% - 강조색5 3 4" xfId="806" xr:uid="{00000000-0005-0000-0000-000085010000}"/>
    <cellStyle name="40% - 강조색5 4" xfId="44" xr:uid="{00000000-0005-0000-0000-000086010000}"/>
    <cellStyle name="40% - 강조색5 5" xfId="807" xr:uid="{00000000-0005-0000-0000-000087010000}"/>
    <cellStyle name="40% - 강조색5 6" xfId="808" xr:uid="{00000000-0005-0000-0000-000088010000}"/>
    <cellStyle name="40% - 강조색5 7" xfId="809" xr:uid="{00000000-0005-0000-0000-000089010000}"/>
    <cellStyle name="40% - 강조색5 7 2" xfId="810" xr:uid="{00000000-0005-0000-0000-00008A010000}"/>
    <cellStyle name="40% - 강조색5 8" xfId="811" xr:uid="{00000000-0005-0000-0000-00008B010000}"/>
    <cellStyle name="40% - 강조색5 9" xfId="812" xr:uid="{00000000-0005-0000-0000-00008C010000}"/>
    <cellStyle name="40% - 강조색6" xfId="45" builtinId="51" customBuiltin="1"/>
    <cellStyle name="40% - 강조색6 10" xfId="813" xr:uid="{00000000-0005-0000-0000-00008E010000}"/>
    <cellStyle name="40% - 강조색6 11" xfId="814" xr:uid="{00000000-0005-0000-0000-00008F010000}"/>
    <cellStyle name="40% - 강조색6 12" xfId="815" xr:uid="{00000000-0005-0000-0000-000090010000}"/>
    <cellStyle name="40% - 강조색6 2" xfId="46" xr:uid="{00000000-0005-0000-0000-000091010000}"/>
    <cellStyle name="40% - 강조색6 2 10" xfId="816" xr:uid="{00000000-0005-0000-0000-000092010000}"/>
    <cellStyle name="40% - 강조색6 2 2" xfId="817" xr:uid="{00000000-0005-0000-0000-000093010000}"/>
    <cellStyle name="40% - 강조색6 2 3" xfId="818" xr:uid="{00000000-0005-0000-0000-000094010000}"/>
    <cellStyle name="40% - 강조색6 2 4" xfId="819" xr:uid="{00000000-0005-0000-0000-000095010000}"/>
    <cellStyle name="40% - 강조색6 2 5" xfId="820" xr:uid="{00000000-0005-0000-0000-000096010000}"/>
    <cellStyle name="40% - 강조색6 2 6" xfId="821" xr:uid="{00000000-0005-0000-0000-000097010000}"/>
    <cellStyle name="40% - 강조색6 2 7" xfId="822" xr:uid="{00000000-0005-0000-0000-000098010000}"/>
    <cellStyle name="40% - 강조색6 2 8" xfId="823" xr:uid="{00000000-0005-0000-0000-000099010000}"/>
    <cellStyle name="40% - 강조색6 2 9" xfId="824" xr:uid="{00000000-0005-0000-0000-00009A010000}"/>
    <cellStyle name="40% - 강조색6 3" xfId="47" xr:uid="{00000000-0005-0000-0000-00009B010000}"/>
    <cellStyle name="40% - 강조색6 3 2" xfId="825" xr:uid="{00000000-0005-0000-0000-00009C010000}"/>
    <cellStyle name="40% - 강조색6 3 3" xfId="826" xr:uid="{00000000-0005-0000-0000-00009D010000}"/>
    <cellStyle name="40% - 강조색6 3 4" xfId="827" xr:uid="{00000000-0005-0000-0000-00009E010000}"/>
    <cellStyle name="40% - 강조색6 4" xfId="48" xr:uid="{00000000-0005-0000-0000-00009F010000}"/>
    <cellStyle name="40% - 강조색6 5" xfId="828" xr:uid="{00000000-0005-0000-0000-0000A0010000}"/>
    <cellStyle name="40% - 강조색6 6" xfId="829" xr:uid="{00000000-0005-0000-0000-0000A1010000}"/>
    <cellStyle name="40% - 강조색6 7" xfId="830" xr:uid="{00000000-0005-0000-0000-0000A2010000}"/>
    <cellStyle name="40% - 강조색6 7 2" xfId="831" xr:uid="{00000000-0005-0000-0000-0000A3010000}"/>
    <cellStyle name="40% - 강조색6 8" xfId="832" xr:uid="{00000000-0005-0000-0000-0000A4010000}"/>
    <cellStyle name="40% - 강조색6 9" xfId="833" xr:uid="{00000000-0005-0000-0000-0000A5010000}"/>
    <cellStyle name="60% - 강조색1" xfId="49" builtinId="32" customBuiltin="1"/>
    <cellStyle name="60% - 강조색1 10" xfId="834" xr:uid="{00000000-0005-0000-0000-0000A7010000}"/>
    <cellStyle name="60% - 강조색1 11" xfId="835" xr:uid="{00000000-0005-0000-0000-0000A8010000}"/>
    <cellStyle name="60% - 강조색1 12" xfId="836" xr:uid="{00000000-0005-0000-0000-0000A9010000}"/>
    <cellStyle name="60% - 강조색1 2" xfId="50" xr:uid="{00000000-0005-0000-0000-0000AA010000}"/>
    <cellStyle name="60% - 강조색1 2 10" xfId="837" xr:uid="{00000000-0005-0000-0000-0000AB010000}"/>
    <cellStyle name="60% - 강조색1 2 2" xfId="838" xr:uid="{00000000-0005-0000-0000-0000AC010000}"/>
    <cellStyle name="60% - 강조색1 2 3" xfId="839" xr:uid="{00000000-0005-0000-0000-0000AD010000}"/>
    <cellStyle name="60% - 강조색1 2 4" xfId="840" xr:uid="{00000000-0005-0000-0000-0000AE010000}"/>
    <cellStyle name="60% - 강조색1 2 5" xfId="841" xr:uid="{00000000-0005-0000-0000-0000AF010000}"/>
    <cellStyle name="60% - 강조색1 2 6" xfId="842" xr:uid="{00000000-0005-0000-0000-0000B0010000}"/>
    <cellStyle name="60% - 강조색1 2 7" xfId="843" xr:uid="{00000000-0005-0000-0000-0000B1010000}"/>
    <cellStyle name="60% - 강조색1 2 8" xfId="844" xr:uid="{00000000-0005-0000-0000-0000B2010000}"/>
    <cellStyle name="60% - 강조색1 2 9" xfId="845" xr:uid="{00000000-0005-0000-0000-0000B3010000}"/>
    <cellStyle name="60% - 강조색1 3" xfId="51" xr:uid="{00000000-0005-0000-0000-0000B4010000}"/>
    <cellStyle name="60% - 강조색1 3 2" xfId="846" xr:uid="{00000000-0005-0000-0000-0000B5010000}"/>
    <cellStyle name="60% - 강조색1 3 3" xfId="847" xr:uid="{00000000-0005-0000-0000-0000B6010000}"/>
    <cellStyle name="60% - 강조색1 3 4" xfId="848" xr:uid="{00000000-0005-0000-0000-0000B7010000}"/>
    <cellStyle name="60% - 강조색1 4" xfId="849" xr:uid="{00000000-0005-0000-0000-0000B8010000}"/>
    <cellStyle name="60% - 강조색1 5" xfId="850" xr:uid="{00000000-0005-0000-0000-0000B9010000}"/>
    <cellStyle name="60% - 강조색1 6" xfId="851" xr:uid="{00000000-0005-0000-0000-0000BA010000}"/>
    <cellStyle name="60% - 강조색1 7" xfId="852" xr:uid="{00000000-0005-0000-0000-0000BB010000}"/>
    <cellStyle name="60% - 강조색1 7 2" xfId="853" xr:uid="{00000000-0005-0000-0000-0000BC010000}"/>
    <cellStyle name="60% - 강조색1 8" xfId="854" xr:uid="{00000000-0005-0000-0000-0000BD010000}"/>
    <cellStyle name="60% - 강조색1 9" xfId="855" xr:uid="{00000000-0005-0000-0000-0000BE010000}"/>
    <cellStyle name="60% - 강조색2" xfId="52" builtinId="36" customBuiltin="1"/>
    <cellStyle name="60% - 강조색2 10" xfId="856" xr:uid="{00000000-0005-0000-0000-0000C0010000}"/>
    <cellStyle name="60% - 강조색2 11" xfId="857" xr:uid="{00000000-0005-0000-0000-0000C1010000}"/>
    <cellStyle name="60% - 강조색2 12" xfId="858" xr:uid="{00000000-0005-0000-0000-0000C2010000}"/>
    <cellStyle name="60% - 강조색2 2" xfId="53" xr:uid="{00000000-0005-0000-0000-0000C3010000}"/>
    <cellStyle name="60% - 강조색2 2 10" xfId="859" xr:uid="{00000000-0005-0000-0000-0000C4010000}"/>
    <cellStyle name="60% - 강조색2 2 2" xfId="860" xr:uid="{00000000-0005-0000-0000-0000C5010000}"/>
    <cellStyle name="60% - 강조색2 2 3" xfId="861" xr:uid="{00000000-0005-0000-0000-0000C6010000}"/>
    <cellStyle name="60% - 강조색2 2 4" xfId="862" xr:uid="{00000000-0005-0000-0000-0000C7010000}"/>
    <cellStyle name="60% - 강조색2 2 5" xfId="863" xr:uid="{00000000-0005-0000-0000-0000C8010000}"/>
    <cellStyle name="60% - 강조색2 2 6" xfId="864" xr:uid="{00000000-0005-0000-0000-0000C9010000}"/>
    <cellStyle name="60% - 강조색2 2 7" xfId="865" xr:uid="{00000000-0005-0000-0000-0000CA010000}"/>
    <cellStyle name="60% - 강조색2 2 8" xfId="866" xr:uid="{00000000-0005-0000-0000-0000CB010000}"/>
    <cellStyle name="60% - 강조색2 2 9" xfId="867" xr:uid="{00000000-0005-0000-0000-0000CC010000}"/>
    <cellStyle name="60% - 강조색2 3" xfId="54" xr:uid="{00000000-0005-0000-0000-0000CD010000}"/>
    <cellStyle name="60% - 강조색2 3 2" xfId="868" xr:uid="{00000000-0005-0000-0000-0000CE010000}"/>
    <cellStyle name="60% - 강조색2 3 3" xfId="869" xr:uid="{00000000-0005-0000-0000-0000CF010000}"/>
    <cellStyle name="60% - 강조색2 3 4" xfId="870" xr:uid="{00000000-0005-0000-0000-0000D0010000}"/>
    <cellStyle name="60% - 강조색2 4" xfId="871" xr:uid="{00000000-0005-0000-0000-0000D1010000}"/>
    <cellStyle name="60% - 강조색2 5" xfId="872" xr:uid="{00000000-0005-0000-0000-0000D2010000}"/>
    <cellStyle name="60% - 강조색2 6" xfId="873" xr:uid="{00000000-0005-0000-0000-0000D3010000}"/>
    <cellStyle name="60% - 강조색2 7" xfId="874" xr:uid="{00000000-0005-0000-0000-0000D4010000}"/>
    <cellStyle name="60% - 강조색2 7 2" xfId="875" xr:uid="{00000000-0005-0000-0000-0000D5010000}"/>
    <cellStyle name="60% - 강조색2 8" xfId="876" xr:uid="{00000000-0005-0000-0000-0000D6010000}"/>
    <cellStyle name="60% - 강조색2 9" xfId="877" xr:uid="{00000000-0005-0000-0000-0000D7010000}"/>
    <cellStyle name="60% - 강조색3" xfId="55" builtinId="40" customBuiltin="1"/>
    <cellStyle name="60% - 강조색3 10" xfId="878" xr:uid="{00000000-0005-0000-0000-0000D9010000}"/>
    <cellStyle name="60% - 강조색3 11" xfId="879" xr:uid="{00000000-0005-0000-0000-0000DA010000}"/>
    <cellStyle name="60% - 강조색3 12" xfId="880" xr:uid="{00000000-0005-0000-0000-0000DB010000}"/>
    <cellStyle name="60% - 강조색3 2" xfId="56" xr:uid="{00000000-0005-0000-0000-0000DC010000}"/>
    <cellStyle name="60% - 강조색3 2 10" xfId="881" xr:uid="{00000000-0005-0000-0000-0000DD010000}"/>
    <cellStyle name="60% - 강조색3 2 2" xfId="882" xr:uid="{00000000-0005-0000-0000-0000DE010000}"/>
    <cellStyle name="60% - 강조색3 2 3" xfId="883" xr:uid="{00000000-0005-0000-0000-0000DF010000}"/>
    <cellStyle name="60% - 강조색3 2 4" xfId="884" xr:uid="{00000000-0005-0000-0000-0000E0010000}"/>
    <cellStyle name="60% - 강조색3 2 5" xfId="885" xr:uid="{00000000-0005-0000-0000-0000E1010000}"/>
    <cellStyle name="60% - 강조색3 2 6" xfId="886" xr:uid="{00000000-0005-0000-0000-0000E2010000}"/>
    <cellStyle name="60% - 강조색3 2 7" xfId="887" xr:uid="{00000000-0005-0000-0000-0000E3010000}"/>
    <cellStyle name="60% - 강조색3 2 8" xfId="888" xr:uid="{00000000-0005-0000-0000-0000E4010000}"/>
    <cellStyle name="60% - 강조색3 2 9" xfId="889" xr:uid="{00000000-0005-0000-0000-0000E5010000}"/>
    <cellStyle name="60% - 강조색3 3" xfId="57" xr:uid="{00000000-0005-0000-0000-0000E6010000}"/>
    <cellStyle name="60% - 강조색3 3 2" xfId="890" xr:uid="{00000000-0005-0000-0000-0000E7010000}"/>
    <cellStyle name="60% - 강조색3 3 3" xfId="891" xr:uid="{00000000-0005-0000-0000-0000E8010000}"/>
    <cellStyle name="60% - 강조색3 3 4" xfId="892" xr:uid="{00000000-0005-0000-0000-0000E9010000}"/>
    <cellStyle name="60% - 강조색3 4" xfId="893" xr:uid="{00000000-0005-0000-0000-0000EA010000}"/>
    <cellStyle name="60% - 강조색3 5" xfId="894" xr:uid="{00000000-0005-0000-0000-0000EB010000}"/>
    <cellStyle name="60% - 강조색3 6" xfId="895" xr:uid="{00000000-0005-0000-0000-0000EC010000}"/>
    <cellStyle name="60% - 강조색3 7" xfId="896" xr:uid="{00000000-0005-0000-0000-0000ED010000}"/>
    <cellStyle name="60% - 강조색3 7 2" xfId="897" xr:uid="{00000000-0005-0000-0000-0000EE010000}"/>
    <cellStyle name="60% - 강조색3 8" xfId="898" xr:uid="{00000000-0005-0000-0000-0000EF010000}"/>
    <cellStyle name="60% - 강조색3 9" xfId="899" xr:uid="{00000000-0005-0000-0000-0000F0010000}"/>
    <cellStyle name="60% - 강조색4" xfId="58" builtinId="44" customBuiltin="1"/>
    <cellStyle name="60% - 강조색4 10" xfId="900" xr:uid="{00000000-0005-0000-0000-0000F2010000}"/>
    <cellStyle name="60% - 강조색4 11" xfId="901" xr:uid="{00000000-0005-0000-0000-0000F3010000}"/>
    <cellStyle name="60% - 강조색4 12" xfId="902" xr:uid="{00000000-0005-0000-0000-0000F4010000}"/>
    <cellStyle name="60% - 강조색4 2" xfId="59" xr:uid="{00000000-0005-0000-0000-0000F5010000}"/>
    <cellStyle name="60% - 강조색4 2 10" xfId="903" xr:uid="{00000000-0005-0000-0000-0000F6010000}"/>
    <cellStyle name="60% - 강조색4 2 2" xfId="904" xr:uid="{00000000-0005-0000-0000-0000F7010000}"/>
    <cellStyle name="60% - 강조색4 2 3" xfId="905" xr:uid="{00000000-0005-0000-0000-0000F8010000}"/>
    <cellStyle name="60% - 강조색4 2 4" xfId="906" xr:uid="{00000000-0005-0000-0000-0000F9010000}"/>
    <cellStyle name="60% - 강조색4 2 5" xfId="907" xr:uid="{00000000-0005-0000-0000-0000FA010000}"/>
    <cellStyle name="60% - 강조색4 2 6" xfId="908" xr:uid="{00000000-0005-0000-0000-0000FB010000}"/>
    <cellStyle name="60% - 강조색4 2 7" xfId="909" xr:uid="{00000000-0005-0000-0000-0000FC010000}"/>
    <cellStyle name="60% - 강조색4 2 8" xfId="910" xr:uid="{00000000-0005-0000-0000-0000FD010000}"/>
    <cellStyle name="60% - 강조색4 2 9" xfId="911" xr:uid="{00000000-0005-0000-0000-0000FE010000}"/>
    <cellStyle name="60% - 강조색4 3" xfId="60" xr:uid="{00000000-0005-0000-0000-0000FF010000}"/>
    <cellStyle name="60% - 강조색4 3 2" xfId="912" xr:uid="{00000000-0005-0000-0000-000000020000}"/>
    <cellStyle name="60% - 강조색4 3 3" xfId="913" xr:uid="{00000000-0005-0000-0000-000001020000}"/>
    <cellStyle name="60% - 강조색4 3 4" xfId="914" xr:uid="{00000000-0005-0000-0000-000002020000}"/>
    <cellStyle name="60% - 강조색4 4" xfId="915" xr:uid="{00000000-0005-0000-0000-000003020000}"/>
    <cellStyle name="60% - 강조색4 5" xfId="916" xr:uid="{00000000-0005-0000-0000-000004020000}"/>
    <cellStyle name="60% - 강조색4 6" xfId="917" xr:uid="{00000000-0005-0000-0000-000005020000}"/>
    <cellStyle name="60% - 강조색4 7" xfId="918" xr:uid="{00000000-0005-0000-0000-000006020000}"/>
    <cellStyle name="60% - 강조색4 7 2" xfId="919" xr:uid="{00000000-0005-0000-0000-000007020000}"/>
    <cellStyle name="60% - 강조색4 8" xfId="920" xr:uid="{00000000-0005-0000-0000-000008020000}"/>
    <cellStyle name="60% - 강조색4 9" xfId="921" xr:uid="{00000000-0005-0000-0000-000009020000}"/>
    <cellStyle name="60% - 강조색5" xfId="61" builtinId="48" customBuiltin="1"/>
    <cellStyle name="60% - 강조색5 10" xfId="922" xr:uid="{00000000-0005-0000-0000-00000B020000}"/>
    <cellStyle name="60% - 강조색5 11" xfId="923" xr:uid="{00000000-0005-0000-0000-00000C020000}"/>
    <cellStyle name="60% - 강조색5 12" xfId="924" xr:uid="{00000000-0005-0000-0000-00000D020000}"/>
    <cellStyle name="60% - 강조색5 2" xfId="62" xr:uid="{00000000-0005-0000-0000-00000E020000}"/>
    <cellStyle name="60% - 강조색5 2 10" xfId="925" xr:uid="{00000000-0005-0000-0000-00000F020000}"/>
    <cellStyle name="60% - 강조색5 2 2" xfId="926" xr:uid="{00000000-0005-0000-0000-000010020000}"/>
    <cellStyle name="60% - 강조색5 2 3" xfId="927" xr:uid="{00000000-0005-0000-0000-000011020000}"/>
    <cellStyle name="60% - 강조색5 2 4" xfId="928" xr:uid="{00000000-0005-0000-0000-000012020000}"/>
    <cellStyle name="60% - 강조색5 2 5" xfId="929" xr:uid="{00000000-0005-0000-0000-000013020000}"/>
    <cellStyle name="60% - 강조색5 2 6" xfId="930" xr:uid="{00000000-0005-0000-0000-000014020000}"/>
    <cellStyle name="60% - 강조색5 2 7" xfId="931" xr:uid="{00000000-0005-0000-0000-000015020000}"/>
    <cellStyle name="60% - 강조색5 2 8" xfId="932" xr:uid="{00000000-0005-0000-0000-000016020000}"/>
    <cellStyle name="60% - 강조색5 2 9" xfId="933" xr:uid="{00000000-0005-0000-0000-000017020000}"/>
    <cellStyle name="60% - 강조색5 3" xfId="63" xr:uid="{00000000-0005-0000-0000-000018020000}"/>
    <cellStyle name="60% - 강조색5 3 2" xfId="934" xr:uid="{00000000-0005-0000-0000-000019020000}"/>
    <cellStyle name="60% - 강조색5 3 3" xfId="935" xr:uid="{00000000-0005-0000-0000-00001A020000}"/>
    <cellStyle name="60% - 강조색5 3 4" xfId="936" xr:uid="{00000000-0005-0000-0000-00001B020000}"/>
    <cellStyle name="60% - 강조색5 4" xfId="937" xr:uid="{00000000-0005-0000-0000-00001C020000}"/>
    <cellStyle name="60% - 강조색5 5" xfId="938" xr:uid="{00000000-0005-0000-0000-00001D020000}"/>
    <cellStyle name="60% - 강조색5 6" xfId="939" xr:uid="{00000000-0005-0000-0000-00001E020000}"/>
    <cellStyle name="60% - 강조색5 7" xfId="940" xr:uid="{00000000-0005-0000-0000-00001F020000}"/>
    <cellStyle name="60% - 강조색5 7 2" xfId="941" xr:uid="{00000000-0005-0000-0000-000020020000}"/>
    <cellStyle name="60% - 강조색5 8" xfId="942" xr:uid="{00000000-0005-0000-0000-000021020000}"/>
    <cellStyle name="60% - 강조색5 9" xfId="943" xr:uid="{00000000-0005-0000-0000-000022020000}"/>
    <cellStyle name="60% - 강조색6" xfId="64" builtinId="52" customBuiltin="1"/>
    <cellStyle name="60% - 강조색6 10" xfId="944" xr:uid="{00000000-0005-0000-0000-000024020000}"/>
    <cellStyle name="60% - 강조색6 11" xfId="945" xr:uid="{00000000-0005-0000-0000-000025020000}"/>
    <cellStyle name="60% - 강조색6 12" xfId="946" xr:uid="{00000000-0005-0000-0000-000026020000}"/>
    <cellStyle name="60% - 강조색6 2" xfId="65" xr:uid="{00000000-0005-0000-0000-000027020000}"/>
    <cellStyle name="60% - 강조색6 2 10" xfId="947" xr:uid="{00000000-0005-0000-0000-000028020000}"/>
    <cellStyle name="60% - 강조색6 2 2" xfId="948" xr:uid="{00000000-0005-0000-0000-000029020000}"/>
    <cellStyle name="60% - 강조색6 2 3" xfId="949" xr:uid="{00000000-0005-0000-0000-00002A020000}"/>
    <cellStyle name="60% - 강조색6 2 4" xfId="950" xr:uid="{00000000-0005-0000-0000-00002B020000}"/>
    <cellStyle name="60% - 강조색6 2 5" xfId="951" xr:uid="{00000000-0005-0000-0000-00002C020000}"/>
    <cellStyle name="60% - 강조색6 2 6" xfId="952" xr:uid="{00000000-0005-0000-0000-00002D020000}"/>
    <cellStyle name="60% - 강조색6 2 7" xfId="953" xr:uid="{00000000-0005-0000-0000-00002E020000}"/>
    <cellStyle name="60% - 강조색6 2 8" xfId="954" xr:uid="{00000000-0005-0000-0000-00002F020000}"/>
    <cellStyle name="60% - 강조색6 2 9" xfId="955" xr:uid="{00000000-0005-0000-0000-000030020000}"/>
    <cellStyle name="60% - 강조색6 3" xfId="66" xr:uid="{00000000-0005-0000-0000-000031020000}"/>
    <cellStyle name="60% - 강조색6 3 2" xfId="956" xr:uid="{00000000-0005-0000-0000-000032020000}"/>
    <cellStyle name="60% - 강조색6 3 3" xfId="957" xr:uid="{00000000-0005-0000-0000-000033020000}"/>
    <cellStyle name="60% - 강조색6 3 4" xfId="958" xr:uid="{00000000-0005-0000-0000-000034020000}"/>
    <cellStyle name="60% - 강조색6 4" xfId="959" xr:uid="{00000000-0005-0000-0000-000035020000}"/>
    <cellStyle name="60% - 강조색6 5" xfId="960" xr:uid="{00000000-0005-0000-0000-000036020000}"/>
    <cellStyle name="60% - 강조색6 6" xfId="961" xr:uid="{00000000-0005-0000-0000-000037020000}"/>
    <cellStyle name="60% - 강조색6 7" xfId="962" xr:uid="{00000000-0005-0000-0000-000038020000}"/>
    <cellStyle name="60% - 강조색6 7 2" xfId="963" xr:uid="{00000000-0005-0000-0000-000039020000}"/>
    <cellStyle name="60% - 강조색6 8" xfId="964" xr:uid="{00000000-0005-0000-0000-00003A020000}"/>
    <cellStyle name="60% - 강조색6 9" xfId="965" xr:uid="{00000000-0005-0000-0000-00003B020000}"/>
    <cellStyle name="Calc Currency (0)" xfId="436" xr:uid="{00000000-0005-0000-0000-00003C020000}"/>
    <cellStyle name="Comma [0]_ SG&amp;A Bridge " xfId="67" xr:uid="{00000000-0005-0000-0000-00003D020000}"/>
    <cellStyle name="Comma_ SG&amp;A Bridge " xfId="68" xr:uid="{00000000-0005-0000-0000-00003E020000}"/>
    <cellStyle name="Currency [0]_ SG&amp;A Bridge " xfId="69" xr:uid="{00000000-0005-0000-0000-00003F020000}"/>
    <cellStyle name="Currency_ SG&amp;A Bridge " xfId="70" xr:uid="{00000000-0005-0000-0000-000040020000}"/>
    <cellStyle name="Currency1" xfId="445" xr:uid="{00000000-0005-0000-0000-000041020000}"/>
    <cellStyle name="Header1" xfId="437" xr:uid="{00000000-0005-0000-0000-000042020000}"/>
    <cellStyle name="Header2" xfId="438" xr:uid="{00000000-0005-0000-0000-000043020000}"/>
    <cellStyle name="Heading" xfId="439" xr:uid="{00000000-0005-0000-0000-000044020000}"/>
    <cellStyle name="Normal_ SG&amp;A Bridge " xfId="71" xr:uid="{00000000-0005-0000-0000-000045020000}"/>
    <cellStyle name="강조색1" xfId="72" builtinId="29" customBuiltin="1"/>
    <cellStyle name="강조색1 10" xfId="966" xr:uid="{00000000-0005-0000-0000-000047020000}"/>
    <cellStyle name="강조색1 11" xfId="967" xr:uid="{00000000-0005-0000-0000-000048020000}"/>
    <cellStyle name="강조색1 12" xfId="968" xr:uid="{00000000-0005-0000-0000-000049020000}"/>
    <cellStyle name="강조색1 2" xfId="73" xr:uid="{00000000-0005-0000-0000-00004A020000}"/>
    <cellStyle name="강조색1 2 10" xfId="969" xr:uid="{00000000-0005-0000-0000-00004B020000}"/>
    <cellStyle name="강조색1 2 2" xfId="970" xr:uid="{00000000-0005-0000-0000-00004C020000}"/>
    <cellStyle name="강조색1 2 3" xfId="971" xr:uid="{00000000-0005-0000-0000-00004D020000}"/>
    <cellStyle name="강조색1 2 4" xfId="972" xr:uid="{00000000-0005-0000-0000-00004E020000}"/>
    <cellStyle name="강조색1 2 5" xfId="973" xr:uid="{00000000-0005-0000-0000-00004F020000}"/>
    <cellStyle name="강조색1 2 6" xfId="974" xr:uid="{00000000-0005-0000-0000-000050020000}"/>
    <cellStyle name="강조색1 2 7" xfId="975" xr:uid="{00000000-0005-0000-0000-000051020000}"/>
    <cellStyle name="강조색1 2 8" xfId="976" xr:uid="{00000000-0005-0000-0000-000052020000}"/>
    <cellStyle name="강조색1 2 9" xfId="977" xr:uid="{00000000-0005-0000-0000-000053020000}"/>
    <cellStyle name="강조색1 3" xfId="74" xr:uid="{00000000-0005-0000-0000-000054020000}"/>
    <cellStyle name="강조색1 3 2" xfId="978" xr:uid="{00000000-0005-0000-0000-000055020000}"/>
    <cellStyle name="강조색1 3 3" xfId="979" xr:uid="{00000000-0005-0000-0000-000056020000}"/>
    <cellStyle name="강조색1 3 4" xfId="980" xr:uid="{00000000-0005-0000-0000-000057020000}"/>
    <cellStyle name="강조색1 4" xfId="981" xr:uid="{00000000-0005-0000-0000-000058020000}"/>
    <cellStyle name="강조색1 5" xfId="982" xr:uid="{00000000-0005-0000-0000-000059020000}"/>
    <cellStyle name="강조색1 6" xfId="983" xr:uid="{00000000-0005-0000-0000-00005A020000}"/>
    <cellStyle name="강조색1 7" xfId="984" xr:uid="{00000000-0005-0000-0000-00005B020000}"/>
    <cellStyle name="강조색1 7 2" xfId="985" xr:uid="{00000000-0005-0000-0000-00005C020000}"/>
    <cellStyle name="강조색1 8" xfId="986" xr:uid="{00000000-0005-0000-0000-00005D020000}"/>
    <cellStyle name="강조색1 9" xfId="987" xr:uid="{00000000-0005-0000-0000-00005E020000}"/>
    <cellStyle name="강조색2" xfId="75" builtinId="33" customBuiltin="1"/>
    <cellStyle name="강조색2 10" xfId="988" xr:uid="{00000000-0005-0000-0000-000060020000}"/>
    <cellStyle name="강조색2 11" xfId="989" xr:uid="{00000000-0005-0000-0000-000061020000}"/>
    <cellStyle name="강조색2 12" xfId="990" xr:uid="{00000000-0005-0000-0000-000062020000}"/>
    <cellStyle name="강조색2 2" xfId="76" xr:uid="{00000000-0005-0000-0000-000063020000}"/>
    <cellStyle name="강조색2 2 10" xfId="991" xr:uid="{00000000-0005-0000-0000-000064020000}"/>
    <cellStyle name="강조색2 2 2" xfId="992" xr:uid="{00000000-0005-0000-0000-000065020000}"/>
    <cellStyle name="강조색2 2 3" xfId="993" xr:uid="{00000000-0005-0000-0000-000066020000}"/>
    <cellStyle name="강조색2 2 4" xfId="994" xr:uid="{00000000-0005-0000-0000-000067020000}"/>
    <cellStyle name="강조색2 2 5" xfId="995" xr:uid="{00000000-0005-0000-0000-000068020000}"/>
    <cellStyle name="강조색2 2 6" xfId="996" xr:uid="{00000000-0005-0000-0000-000069020000}"/>
    <cellStyle name="강조색2 2 7" xfId="997" xr:uid="{00000000-0005-0000-0000-00006A020000}"/>
    <cellStyle name="강조색2 2 8" xfId="998" xr:uid="{00000000-0005-0000-0000-00006B020000}"/>
    <cellStyle name="강조색2 2 9" xfId="999" xr:uid="{00000000-0005-0000-0000-00006C020000}"/>
    <cellStyle name="강조색2 3" xfId="77" xr:uid="{00000000-0005-0000-0000-00006D020000}"/>
    <cellStyle name="강조색2 3 2" xfId="1000" xr:uid="{00000000-0005-0000-0000-00006E020000}"/>
    <cellStyle name="강조색2 3 3" xfId="1001" xr:uid="{00000000-0005-0000-0000-00006F020000}"/>
    <cellStyle name="강조색2 3 4" xfId="1002" xr:uid="{00000000-0005-0000-0000-000070020000}"/>
    <cellStyle name="강조색2 4" xfId="1003" xr:uid="{00000000-0005-0000-0000-000071020000}"/>
    <cellStyle name="강조색2 5" xfId="1004" xr:uid="{00000000-0005-0000-0000-000072020000}"/>
    <cellStyle name="강조색2 6" xfId="1005" xr:uid="{00000000-0005-0000-0000-000073020000}"/>
    <cellStyle name="강조색2 7" xfId="1006" xr:uid="{00000000-0005-0000-0000-000074020000}"/>
    <cellStyle name="강조색2 7 2" xfId="1007" xr:uid="{00000000-0005-0000-0000-000075020000}"/>
    <cellStyle name="강조색2 8" xfId="1008" xr:uid="{00000000-0005-0000-0000-000076020000}"/>
    <cellStyle name="강조색2 9" xfId="1009" xr:uid="{00000000-0005-0000-0000-000077020000}"/>
    <cellStyle name="강조색3" xfId="78" builtinId="37" customBuiltin="1"/>
    <cellStyle name="강조색3 10" xfId="1010" xr:uid="{00000000-0005-0000-0000-000079020000}"/>
    <cellStyle name="강조색3 11" xfId="1011" xr:uid="{00000000-0005-0000-0000-00007A020000}"/>
    <cellStyle name="강조색3 12" xfId="1012" xr:uid="{00000000-0005-0000-0000-00007B020000}"/>
    <cellStyle name="강조색3 2" xfId="79" xr:uid="{00000000-0005-0000-0000-00007C020000}"/>
    <cellStyle name="강조색3 2 10" xfId="1013" xr:uid="{00000000-0005-0000-0000-00007D020000}"/>
    <cellStyle name="강조색3 2 2" xfId="1014" xr:uid="{00000000-0005-0000-0000-00007E020000}"/>
    <cellStyle name="강조색3 2 3" xfId="1015" xr:uid="{00000000-0005-0000-0000-00007F020000}"/>
    <cellStyle name="강조색3 2 4" xfId="1016" xr:uid="{00000000-0005-0000-0000-000080020000}"/>
    <cellStyle name="강조색3 2 5" xfId="1017" xr:uid="{00000000-0005-0000-0000-000081020000}"/>
    <cellStyle name="강조색3 2 6" xfId="1018" xr:uid="{00000000-0005-0000-0000-000082020000}"/>
    <cellStyle name="강조색3 2 7" xfId="1019" xr:uid="{00000000-0005-0000-0000-000083020000}"/>
    <cellStyle name="강조색3 2 8" xfId="1020" xr:uid="{00000000-0005-0000-0000-000084020000}"/>
    <cellStyle name="강조색3 2 9" xfId="1021" xr:uid="{00000000-0005-0000-0000-000085020000}"/>
    <cellStyle name="강조색3 3" xfId="80" xr:uid="{00000000-0005-0000-0000-000086020000}"/>
    <cellStyle name="강조색3 3 2" xfId="1022" xr:uid="{00000000-0005-0000-0000-000087020000}"/>
    <cellStyle name="강조색3 3 3" xfId="1023" xr:uid="{00000000-0005-0000-0000-000088020000}"/>
    <cellStyle name="강조색3 3 4" xfId="1024" xr:uid="{00000000-0005-0000-0000-000089020000}"/>
    <cellStyle name="강조색3 4" xfId="1025" xr:uid="{00000000-0005-0000-0000-00008A020000}"/>
    <cellStyle name="강조색3 5" xfId="1026" xr:uid="{00000000-0005-0000-0000-00008B020000}"/>
    <cellStyle name="강조색3 6" xfId="1027" xr:uid="{00000000-0005-0000-0000-00008C020000}"/>
    <cellStyle name="강조색3 7" xfId="1028" xr:uid="{00000000-0005-0000-0000-00008D020000}"/>
    <cellStyle name="강조색3 7 2" xfId="1029" xr:uid="{00000000-0005-0000-0000-00008E020000}"/>
    <cellStyle name="강조색3 8" xfId="1030" xr:uid="{00000000-0005-0000-0000-00008F020000}"/>
    <cellStyle name="강조색3 9" xfId="1031" xr:uid="{00000000-0005-0000-0000-000090020000}"/>
    <cellStyle name="강조색4" xfId="81" builtinId="41" customBuiltin="1"/>
    <cellStyle name="강조색4 10" xfId="1032" xr:uid="{00000000-0005-0000-0000-000092020000}"/>
    <cellStyle name="강조색4 11" xfId="1033" xr:uid="{00000000-0005-0000-0000-000093020000}"/>
    <cellStyle name="강조색4 12" xfId="1034" xr:uid="{00000000-0005-0000-0000-000094020000}"/>
    <cellStyle name="강조색4 2" xfId="82" xr:uid="{00000000-0005-0000-0000-000095020000}"/>
    <cellStyle name="강조색4 2 10" xfId="1035" xr:uid="{00000000-0005-0000-0000-000096020000}"/>
    <cellStyle name="강조색4 2 2" xfId="1036" xr:uid="{00000000-0005-0000-0000-000097020000}"/>
    <cellStyle name="강조색4 2 3" xfId="1037" xr:uid="{00000000-0005-0000-0000-000098020000}"/>
    <cellStyle name="강조색4 2 4" xfId="1038" xr:uid="{00000000-0005-0000-0000-000099020000}"/>
    <cellStyle name="강조색4 2 5" xfId="1039" xr:uid="{00000000-0005-0000-0000-00009A020000}"/>
    <cellStyle name="강조색4 2 6" xfId="1040" xr:uid="{00000000-0005-0000-0000-00009B020000}"/>
    <cellStyle name="강조색4 2 7" xfId="1041" xr:uid="{00000000-0005-0000-0000-00009C020000}"/>
    <cellStyle name="강조색4 2 8" xfId="1042" xr:uid="{00000000-0005-0000-0000-00009D020000}"/>
    <cellStyle name="강조색4 2 9" xfId="1043" xr:uid="{00000000-0005-0000-0000-00009E020000}"/>
    <cellStyle name="강조색4 3" xfId="83" xr:uid="{00000000-0005-0000-0000-00009F020000}"/>
    <cellStyle name="강조색4 3 2" xfId="1044" xr:uid="{00000000-0005-0000-0000-0000A0020000}"/>
    <cellStyle name="강조색4 3 3" xfId="1045" xr:uid="{00000000-0005-0000-0000-0000A1020000}"/>
    <cellStyle name="강조색4 3 4" xfId="1046" xr:uid="{00000000-0005-0000-0000-0000A2020000}"/>
    <cellStyle name="강조색4 4" xfId="1047" xr:uid="{00000000-0005-0000-0000-0000A3020000}"/>
    <cellStyle name="강조색4 5" xfId="1048" xr:uid="{00000000-0005-0000-0000-0000A4020000}"/>
    <cellStyle name="강조색4 6" xfId="1049" xr:uid="{00000000-0005-0000-0000-0000A5020000}"/>
    <cellStyle name="강조색4 7" xfId="1050" xr:uid="{00000000-0005-0000-0000-0000A6020000}"/>
    <cellStyle name="강조색4 7 2" xfId="1051" xr:uid="{00000000-0005-0000-0000-0000A7020000}"/>
    <cellStyle name="강조색4 8" xfId="1052" xr:uid="{00000000-0005-0000-0000-0000A8020000}"/>
    <cellStyle name="강조색4 9" xfId="1053" xr:uid="{00000000-0005-0000-0000-0000A9020000}"/>
    <cellStyle name="강조색5" xfId="84" builtinId="45" customBuiltin="1"/>
    <cellStyle name="강조색5 10" xfId="1054" xr:uid="{00000000-0005-0000-0000-0000AB020000}"/>
    <cellStyle name="강조색5 11" xfId="1055" xr:uid="{00000000-0005-0000-0000-0000AC020000}"/>
    <cellStyle name="강조색5 12" xfId="1056" xr:uid="{00000000-0005-0000-0000-0000AD020000}"/>
    <cellStyle name="강조색5 2" xfId="85" xr:uid="{00000000-0005-0000-0000-0000AE020000}"/>
    <cellStyle name="강조색5 2 10" xfId="1057" xr:uid="{00000000-0005-0000-0000-0000AF020000}"/>
    <cellStyle name="강조색5 2 2" xfId="1058" xr:uid="{00000000-0005-0000-0000-0000B0020000}"/>
    <cellStyle name="강조색5 2 3" xfId="1059" xr:uid="{00000000-0005-0000-0000-0000B1020000}"/>
    <cellStyle name="강조색5 2 4" xfId="1060" xr:uid="{00000000-0005-0000-0000-0000B2020000}"/>
    <cellStyle name="강조색5 2 5" xfId="1061" xr:uid="{00000000-0005-0000-0000-0000B3020000}"/>
    <cellStyle name="강조색5 2 6" xfId="1062" xr:uid="{00000000-0005-0000-0000-0000B4020000}"/>
    <cellStyle name="강조색5 2 7" xfId="1063" xr:uid="{00000000-0005-0000-0000-0000B5020000}"/>
    <cellStyle name="강조색5 2 8" xfId="1064" xr:uid="{00000000-0005-0000-0000-0000B6020000}"/>
    <cellStyle name="강조색5 2 9" xfId="1065" xr:uid="{00000000-0005-0000-0000-0000B7020000}"/>
    <cellStyle name="강조색5 3" xfId="86" xr:uid="{00000000-0005-0000-0000-0000B8020000}"/>
    <cellStyle name="강조색5 3 2" xfId="1066" xr:uid="{00000000-0005-0000-0000-0000B9020000}"/>
    <cellStyle name="강조색5 3 3" xfId="1067" xr:uid="{00000000-0005-0000-0000-0000BA020000}"/>
    <cellStyle name="강조색5 3 4" xfId="1068" xr:uid="{00000000-0005-0000-0000-0000BB020000}"/>
    <cellStyle name="강조색5 4" xfId="1069" xr:uid="{00000000-0005-0000-0000-0000BC020000}"/>
    <cellStyle name="강조색5 5" xfId="1070" xr:uid="{00000000-0005-0000-0000-0000BD020000}"/>
    <cellStyle name="강조색5 6" xfId="1071" xr:uid="{00000000-0005-0000-0000-0000BE020000}"/>
    <cellStyle name="강조색5 7" xfId="1072" xr:uid="{00000000-0005-0000-0000-0000BF020000}"/>
    <cellStyle name="강조색5 7 2" xfId="1073" xr:uid="{00000000-0005-0000-0000-0000C0020000}"/>
    <cellStyle name="강조색5 8" xfId="1074" xr:uid="{00000000-0005-0000-0000-0000C1020000}"/>
    <cellStyle name="강조색5 9" xfId="1075" xr:uid="{00000000-0005-0000-0000-0000C2020000}"/>
    <cellStyle name="강조색6" xfId="87" builtinId="49" customBuiltin="1"/>
    <cellStyle name="강조색6 10" xfId="1076" xr:uid="{00000000-0005-0000-0000-0000C4020000}"/>
    <cellStyle name="강조색6 11" xfId="1077" xr:uid="{00000000-0005-0000-0000-0000C5020000}"/>
    <cellStyle name="강조색6 12" xfId="1078" xr:uid="{00000000-0005-0000-0000-0000C6020000}"/>
    <cellStyle name="강조색6 2" xfId="88" xr:uid="{00000000-0005-0000-0000-0000C7020000}"/>
    <cellStyle name="강조색6 2 10" xfId="1079" xr:uid="{00000000-0005-0000-0000-0000C8020000}"/>
    <cellStyle name="강조색6 2 2" xfId="1080" xr:uid="{00000000-0005-0000-0000-0000C9020000}"/>
    <cellStyle name="강조색6 2 3" xfId="1081" xr:uid="{00000000-0005-0000-0000-0000CA020000}"/>
    <cellStyle name="강조색6 2 4" xfId="1082" xr:uid="{00000000-0005-0000-0000-0000CB020000}"/>
    <cellStyle name="강조색6 2 5" xfId="1083" xr:uid="{00000000-0005-0000-0000-0000CC020000}"/>
    <cellStyle name="강조색6 2 6" xfId="1084" xr:uid="{00000000-0005-0000-0000-0000CD020000}"/>
    <cellStyle name="강조색6 2 7" xfId="1085" xr:uid="{00000000-0005-0000-0000-0000CE020000}"/>
    <cellStyle name="강조색6 2 8" xfId="1086" xr:uid="{00000000-0005-0000-0000-0000CF020000}"/>
    <cellStyle name="강조색6 2 9" xfId="1087" xr:uid="{00000000-0005-0000-0000-0000D0020000}"/>
    <cellStyle name="강조색6 3" xfId="89" xr:uid="{00000000-0005-0000-0000-0000D1020000}"/>
    <cellStyle name="강조색6 3 2" xfId="1088" xr:uid="{00000000-0005-0000-0000-0000D2020000}"/>
    <cellStyle name="강조색6 3 3" xfId="1089" xr:uid="{00000000-0005-0000-0000-0000D3020000}"/>
    <cellStyle name="강조색6 3 4" xfId="1090" xr:uid="{00000000-0005-0000-0000-0000D4020000}"/>
    <cellStyle name="강조색6 4" xfId="1091" xr:uid="{00000000-0005-0000-0000-0000D5020000}"/>
    <cellStyle name="강조색6 5" xfId="1092" xr:uid="{00000000-0005-0000-0000-0000D6020000}"/>
    <cellStyle name="강조색6 6" xfId="1093" xr:uid="{00000000-0005-0000-0000-0000D7020000}"/>
    <cellStyle name="강조색6 7" xfId="1094" xr:uid="{00000000-0005-0000-0000-0000D8020000}"/>
    <cellStyle name="강조색6 7 2" xfId="1095" xr:uid="{00000000-0005-0000-0000-0000D9020000}"/>
    <cellStyle name="강조색6 8" xfId="1096" xr:uid="{00000000-0005-0000-0000-0000DA020000}"/>
    <cellStyle name="강조색6 9" xfId="1097" xr:uid="{00000000-0005-0000-0000-0000DB020000}"/>
    <cellStyle name="경고문" xfId="90" builtinId="11" customBuiltin="1"/>
    <cellStyle name="경고문 10" xfId="1098" xr:uid="{00000000-0005-0000-0000-0000DD020000}"/>
    <cellStyle name="경고문 11" xfId="1099" xr:uid="{00000000-0005-0000-0000-0000DE020000}"/>
    <cellStyle name="경고문 12" xfId="1100" xr:uid="{00000000-0005-0000-0000-0000DF020000}"/>
    <cellStyle name="경고문 2" xfId="91" xr:uid="{00000000-0005-0000-0000-0000E0020000}"/>
    <cellStyle name="경고문 2 10" xfId="1101" xr:uid="{00000000-0005-0000-0000-0000E1020000}"/>
    <cellStyle name="경고문 2 2" xfId="1102" xr:uid="{00000000-0005-0000-0000-0000E2020000}"/>
    <cellStyle name="경고문 2 3" xfId="1103" xr:uid="{00000000-0005-0000-0000-0000E3020000}"/>
    <cellStyle name="경고문 2 4" xfId="1104" xr:uid="{00000000-0005-0000-0000-0000E4020000}"/>
    <cellStyle name="경고문 2 5" xfId="1105" xr:uid="{00000000-0005-0000-0000-0000E5020000}"/>
    <cellStyle name="경고문 2 6" xfId="1106" xr:uid="{00000000-0005-0000-0000-0000E6020000}"/>
    <cellStyle name="경고문 2 7" xfId="1107" xr:uid="{00000000-0005-0000-0000-0000E7020000}"/>
    <cellStyle name="경고문 2 8" xfId="1108" xr:uid="{00000000-0005-0000-0000-0000E8020000}"/>
    <cellStyle name="경고문 2 9" xfId="1109" xr:uid="{00000000-0005-0000-0000-0000E9020000}"/>
    <cellStyle name="경고문 3" xfId="92" xr:uid="{00000000-0005-0000-0000-0000EA020000}"/>
    <cellStyle name="경고문 3 2" xfId="1110" xr:uid="{00000000-0005-0000-0000-0000EB020000}"/>
    <cellStyle name="경고문 3 3" xfId="1111" xr:uid="{00000000-0005-0000-0000-0000EC020000}"/>
    <cellStyle name="경고문 3 4" xfId="1112" xr:uid="{00000000-0005-0000-0000-0000ED020000}"/>
    <cellStyle name="경고문 4" xfId="1113" xr:uid="{00000000-0005-0000-0000-0000EE020000}"/>
    <cellStyle name="경고문 5" xfId="1114" xr:uid="{00000000-0005-0000-0000-0000EF020000}"/>
    <cellStyle name="경고문 6" xfId="1115" xr:uid="{00000000-0005-0000-0000-0000F0020000}"/>
    <cellStyle name="경고문 7" xfId="1116" xr:uid="{00000000-0005-0000-0000-0000F1020000}"/>
    <cellStyle name="경고문 7 2" xfId="1117" xr:uid="{00000000-0005-0000-0000-0000F2020000}"/>
    <cellStyle name="경고문 8" xfId="1118" xr:uid="{00000000-0005-0000-0000-0000F3020000}"/>
    <cellStyle name="경고문 9" xfId="1119" xr:uid="{00000000-0005-0000-0000-0000F4020000}"/>
    <cellStyle name="계산" xfId="93" builtinId="22" customBuiltin="1"/>
    <cellStyle name="계산 10" xfId="1120" xr:uid="{00000000-0005-0000-0000-0000F6020000}"/>
    <cellStyle name="계산 11" xfId="1121" xr:uid="{00000000-0005-0000-0000-0000F7020000}"/>
    <cellStyle name="계산 12" xfId="1122" xr:uid="{00000000-0005-0000-0000-0000F8020000}"/>
    <cellStyle name="계산 2" xfId="94" xr:uid="{00000000-0005-0000-0000-0000F9020000}"/>
    <cellStyle name="계산 2 10" xfId="1123" xr:uid="{00000000-0005-0000-0000-0000FA020000}"/>
    <cellStyle name="계산 2 2" xfId="1124" xr:uid="{00000000-0005-0000-0000-0000FB020000}"/>
    <cellStyle name="계산 2 3" xfId="1125" xr:uid="{00000000-0005-0000-0000-0000FC020000}"/>
    <cellStyle name="계산 2 4" xfId="1126" xr:uid="{00000000-0005-0000-0000-0000FD020000}"/>
    <cellStyle name="계산 2 5" xfId="1127" xr:uid="{00000000-0005-0000-0000-0000FE020000}"/>
    <cellStyle name="계산 2 6" xfId="1128" xr:uid="{00000000-0005-0000-0000-0000FF020000}"/>
    <cellStyle name="계산 2 7" xfId="1129" xr:uid="{00000000-0005-0000-0000-000000030000}"/>
    <cellStyle name="계산 2 8" xfId="1130" xr:uid="{00000000-0005-0000-0000-000001030000}"/>
    <cellStyle name="계산 2 9" xfId="1131" xr:uid="{00000000-0005-0000-0000-000002030000}"/>
    <cellStyle name="계산 3" xfId="95" xr:uid="{00000000-0005-0000-0000-000003030000}"/>
    <cellStyle name="계산 3 2" xfId="1132" xr:uid="{00000000-0005-0000-0000-000004030000}"/>
    <cellStyle name="계산 3 3" xfId="1133" xr:uid="{00000000-0005-0000-0000-000005030000}"/>
    <cellStyle name="계산 3 4" xfId="1134" xr:uid="{00000000-0005-0000-0000-000006030000}"/>
    <cellStyle name="계산 4" xfId="1135" xr:uid="{00000000-0005-0000-0000-000007030000}"/>
    <cellStyle name="계산 5" xfId="1136" xr:uid="{00000000-0005-0000-0000-000008030000}"/>
    <cellStyle name="계산 6" xfId="1137" xr:uid="{00000000-0005-0000-0000-000009030000}"/>
    <cellStyle name="계산 7" xfId="1138" xr:uid="{00000000-0005-0000-0000-00000A030000}"/>
    <cellStyle name="계산 7 2" xfId="1139" xr:uid="{00000000-0005-0000-0000-00000B030000}"/>
    <cellStyle name="계산 8" xfId="1140" xr:uid="{00000000-0005-0000-0000-00000C030000}"/>
    <cellStyle name="계산 9" xfId="1141" xr:uid="{00000000-0005-0000-0000-00000D030000}"/>
    <cellStyle name="고정소숫점" xfId="418" xr:uid="{00000000-0005-0000-0000-00000E030000}"/>
    <cellStyle name="고정출력1" xfId="419" xr:uid="{00000000-0005-0000-0000-00000F030000}"/>
    <cellStyle name="고정출력2" xfId="420" xr:uid="{00000000-0005-0000-0000-000010030000}"/>
    <cellStyle name="나쁨" xfId="96" builtinId="27" customBuiltin="1"/>
    <cellStyle name="나쁨 10" xfId="1142" xr:uid="{00000000-0005-0000-0000-000012030000}"/>
    <cellStyle name="나쁨 11" xfId="1143" xr:uid="{00000000-0005-0000-0000-000013030000}"/>
    <cellStyle name="나쁨 12" xfId="1144" xr:uid="{00000000-0005-0000-0000-000014030000}"/>
    <cellStyle name="나쁨 2" xfId="97" xr:uid="{00000000-0005-0000-0000-000015030000}"/>
    <cellStyle name="나쁨 2 10" xfId="1145" xr:uid="{00000000-0005-0000-0000-000016030000}"/>
    <cellStyle name="나쁨 2 11" xfId="5610" xr:uid="{00000000-0005-0000-0000-000017030000}"/>
    <cellStyle name="나쁨 2 2" xfId="1146" xr:uid="{00000000-0005-0000-0000-000018030000}"/>
    <cellStyle name="나쁨 2 3" xfId="1147" xr:uid="{00000000-0005-0000-0000-000019030000}"/>
    <cellStyle name="나쁨 2 4" xfId="1148" xr:uid="{00000000-0005-0000-0000-00001A030000}"/>
    <cellStyle name="나쁨 2 5" xfId="1149" xr:uid="{00000000-0005-0000-0000-00001B030000}"/>
    <cellStyle name="나쁨 2 6" xfId="1150" xr:uid="{00000000-0005-0000-0000-00001C030000}"/>
    <cellStyle name="나쁨 2 7" xfId="1151" xr:uid="{00000000-0005-0000-0000-00001D030000}"/>
    <cellStyle name="나쁨 2 8" xfId="1152" xr:uid="{00000000-0005-0000-0000-00001E030000}"/>
    <cellStyle name="나쁨 2 9" xfId="1153" xr:uid="{00000000-0005-0000-0000-00001F030000}"/>
    <cellStyle name="나쁨 3" xfId="98" xr:uid="{00000000-0005-0000-0000-000020030000}"/>
    <cellStyle name="나쁨 3 2" xfId="1154" xr:uid="{00000000-0005-0000-0000-000021030000}"/>
    <cellStyle name="나쁨 3 3" xfId="1155" xr:uid="{00000000-0005-0000-0000-000022030000}"/>
    <cellStyle name="나쁨 3 4" xfId="1156" xr:uid="{00000000-0005-0000-0000-000023030000}"/>
    <cellStyle name="나쁨 4" xfId="1157" xr:uid="{00000000-0005-0000-0000-000024030000}"/>
    <cellStyle name="나쁨 5" xfId="1158" xr:uid="{00000000-0005-0000-0000-000025030000}"/>
    <cellStyle name="나쁨 6" xfId="1159" xr:uid="{00000000-0005-0000-0000-000026030000}"/>
    <cellStyle name="나쁨 7" xfId="1160" xr:uid="{00000000-0005-0000-0000-000027030000}"/>
    <cellStyle name="나쁨 7 2" xfId="1161" xr:uid="{00000000-0005-0000-0000-000028030000}"/>
    <cellStyle name="나쁨 8" xfId="1162" xr:uid="{00000000-0005-0000-0000-000029030000}"/>
    <cellStyle name="나쁨 9" xfId="1163" xr:uid="{00000000-0005-0000-0000-00002A030000}"/>
    <cellStyle name="날짜" xfId="421" xr:uid="{00000000-0005-0000-0000-00002B030000}"/>
    <cellStyle name="달러" xfId="422" xr:uid="{00000000-0005-0000-0000-00002C030000}"/>
    <cellStyle name="똿뗦먛귟 [0.00]_PRODUCT DETAIL Q1" xfId="423" xr:uid="{00000000-0005-0000-0000-00002D030000}"/>
    <cellStyle name="똿뗦먛귟_PRODUCT DETAIL Q1" xfId="424" xr:uid="{00000000-0005-0000-0000-00002E030000}"/>
    <cellStyle name="메모" xfId="99" builtinId="10" customBuiltin="1"/>
    <cellStyle name="메모 10" xfId="1165" xr:uid="{00000000-0005-0000-0000-000030030000}"/>
    <cellStyle name="메모 10 2" xfId="1166" xr:uid="{00000000-0005-0000-0000-000031030000}"/>
    <cellStyle name="메모 10 3" xfId="1167" xr:uid="{00000000-0005-0000-0000-000032030000}"/>
    <cellStyle name="메모 10 4" xfId="1168" xr:uid="{00000000-0005-0000-0000-000033030000}"/>
    <cellStyle name="메모 10 5" xfId="1169" xr:uid="{00000000-0005-0000-0000-000034030000}"/>
    <cellStyle name="메모 10 6" xfId="1170" xr:uid="{00000000-0005-0000-0000-000035030000}"/>
    <cellStyle name="메모 10 7" xfId="1171" xr:uid="{00000000-0005-0000-0000-000036030000}"/>
    <cellStyle name="메모 10 8" xfId="1172" xr:uid="{00000000-0005-0000-0000-000037030000}"/>
    <cellStyle name="메모 10 9" xfId="1173" xr:uid="{00000000-0005-0000-0000-000038030000}"/>
    <cellStyle name="메모 11" xfId="1174" xr:uid="{00000000-0005-0000-0000-000039030000}"/>
    <cellStyle name="메모 11 2" xfId="1175" xr:uid="{00000000-0005-0000-0000-00003A030000}"/>
    <cellStyle name="메모 11 3" xfId="1176" xr:uid="{00000000-0005-0000-0000-00003B030000}"/>
    <cellStyle name="메모 11 4" xfId="1177" xr:uid="{00000000-0005-0000-0000-00003C030000}"/>
    <cellStyle name="메모 11 5" xfId="1178" xr:uid="{00000000-0005-0000-0000-00003D030000}"/>
    <cellStyle name="메모 11 6" xfId="1179" xr:uid="{00000000-0005-0000-0000-00003E030000}"/>
    <cellStyle name="메모 11 7" xfId="1180" xr:uid="{00000000-0005-0000-0000-00003F030000}"/>
    <cellStyle name="메모 11 8" xfId="1181" xr:uid="{00000000-0005-0000-0000-000040030000}"/>
    <cellStyle name="메모 11 9" xfId="1182" xr:uid="{00000000-0005-0000-0000-000041030000}"/>
    <cellStyle name="메모 12" xfId="1183" xr:uid="{00000000-0005-0000-0000-000042030000}"/>
    <cellStyle name="메모 12 2" xfId="1184" xr:uid="{00000000-0005-0000-0000-000043030000}"/>
    <cellStyle name="메모 12 3" xfId="1185" xr:uid="{00000000-0005-0000-0000-000044030000}"/>
    <cellStyle name="메모 12 4" xfId="1186" xr:uid="{00000000-0005-0000-0000-000045030000}"/>
    <cellStyle name="메모 12 5" xfId="1187" xr:uid="{00000000-0005-0000-0000-000046030000}"/>
    <cellStyle name="메모 12 6" xfId="1188" xr:uid="{00000000-0005-0000-0000-000047030000}"/>
    <cellStyle name="메모 12 7" xfId="1189" xr:uid="{00000000-0005-0000-0000-000048030000}"/>
    <cellStyle name="메모 12 8" xfId="1190" xr:uid="{00000000-0005-0000-0000-000049030000}"/>
    <cellStyle name="메모 13" xfId="1191" xr:uid="{00000000-0005-0000-0000-00004A030000}"/>
    <cellStyle name="메모 13 2" xfId="1192" xr:uid="{00000000-0005-0000-0000-00004B030000}"/>
    <cellStyle name="메모 13 3" xfId="1193" xr:uid="{00000000-0005-0000-0000-00004C030000}"/>
    <cellStyle name="메모 13 4" xfId="1194" xr:uid="{00000000-0005-0000-0000-00004D030000}"/>
    <cellStyle name="메모 13 5" xfId="1195" xr:uid="{00000000-0005-0000-0000-00004E030000}"/>
    <cellStyle name="메모 13 6" xfId="1196" xr:uid="{00000000-0005-0000-0000-00004F030000}"/>
    <cellStyle name="메모 13 7" xfId="1197" xr:uid="{00000000-0005-0000-0000-000050030000}"/>
    <cellStyle name="메모 13 8" xfId="1198" xr:uid="{00000000-0005-0000-0000-000051030000}"/>
    <cellStyle name="메모 14" xfId="1199" xr:uid="{00000000-0005-0000-0000-000052030000}"/>
    <cellStyle name="메모 14 2" xfId="1200" xr:uid="{00000000-0005-0000-0000-000053030000}"/>
    <cellStyle name="메모 14 3" xfId="1201" xr:uid="{00000000-0005-0000-0000-000054030000}"/>
    <cellStyle name="메모 14 4" xfId="1202" xr:uid="{00000000-0005-0000-0000-000055030000}"/>
    <cellStyle name="메모 14 5" xfId="1203" xr:uid="{00000000-0005-0000-0000-000056030000}"/>
    <cellStyle name="메모 14 6" xfId="1204" xr:uid="{00000000-0005-0000-0000-000057030000}"/>
    <cellStyle name="메모 14 7" xfId="1205" xr:uid="{00000000-0005-0000-0000-000058030000}"/>
    <cellStyle name="메모 14 8" xfId="1206" xr:uid="{00000000-0005-0000-0000-000059030000}"/>
    <cellStyle name="메모 15" xfId="1207" xr:uid="{00000000-0005-0000-0000-00005A030000}"/>
    <cellStyle name="메모 15 2" xfId="1208" xr:uid="{00000000-0005-0000-0000-00005B030000}"/>
    <cellStyle name="메모 15 3" xfId="1209" xr:uid="{00000000-0005-0000-0000-00005C030000}"/>
    <cellStyle name="메모 15 4" xfId="1210" xr:uid="{00000000-0005-0000-0000-00005D030000}"/>
    <cellStyle name="메모 15 5" xfId="1211" xr:uid="{00000000-0005-0000-0000-00005E030000}"/>
    <cellStyle name="메모 15 6" xfId="1212" xr:uid="{00000000-0005-0000-0000-00005F030000}"/>
    <cellStyle name="메모 15 7" xfId="1213" xr:uid="{00000000-0005-0000-0000-000060030000}"/>
    <cellStyle name="메모 15 8" xfId="1214" xr:uid="{00000000-0005-0000-0000-000061030000}"/>
    <cellStyle name="메모 16" xfId="1215" xr:uid="{00000000-0005-0000-0000-000062030000}"/>
    <cellStyle name="메모 16 2" xfId="1216" xr:uid="{00000000-0005-0000-0000-000063030000}"/>
    <cellStyle name="메모 16 3" xfId="1217" xr:uid="{00000000-0005-0000-0000-000064030000}"/>
    <cellStyle name="메모 16 4" xfId="1218" xr:uid="{00000000-0005-0000-0000-000065030000}"/>
    <cellStyle name="메모 16 5" xfId="1219" xr:uid="{00000000-0005-0000-0000-000066030000}"/>
    <cellStyle name="메모 16 6" xfId="1220" xr:uid="{00000000-0005-0000-0000-000067030000}"/>
    <cellStyle name="메모 16 7" xfId="1221" xr:uid="{00000000-0005-0000-0000-000068030000}"/>
    <cellStyle name="메모 16 8" xfId="1222" xr:uid="{00000000-0005-0000-0000-000069030000}"/>
    <cellStyle name="메모 17" xfId="1223" xr:uid="{00000000-0005-0000-0000-00006A030000}"/>
    <cellStyle name="메모 17 2" xfId="1224" xr:uid="{00000000-0005-0000-0000-00006B030000}"/>
    <cellStyle name="메모 17 3" xfId="1225" xr:uid="{00000000-0005-0000-0000-00006C030000}"/>
    <cellStyle name="메모 17 4" xfId="1226" xr:uid="{00000000-0005-0000-0000-00006D030000}"/>
    <cellStyle name="메모 17 5" xfId="1227" xr:uid="{00000000-0005-0000-0000-00006E030000}"/>
    <cellStyle name="메모 17 6" xfId="1228" xr:uid="{00000000-0005-0000-0000-00006F030000}"/>
    <cellStyle name="메모 17 7" xfId="1229" xr:uid="{00000000-0005-0000-0000-000070030000}"/>
    <cellStyle name="메모 17 8" xfId="1230" xr:uid="{00000000-0005-0000-0000-000071030000}"/>
    <cellStyle name="메모 18" xfId="1231" xr:uid="{00000000-0005-0000-0000-000072030000}"/>
    <cellStyle name="메모 18 2" xfId="1232" xr:uid="{00000000-0005-0000-0000-000073030000}"/>
    <cellStyle name="메모 18 3" xfId="1233" xr:uid="{00000000-0005-0000-0000-000074030000}"/>
    <cellStyle name="메모 18 4" xfId="1234" xr:uid="{00000000-0005-0000-0000-000075030000}"/>
    <cellStyle name="메모 18 5" xfId="1235" xr:uid="{00000000-0005-0000-0000-000076030000}"/>
    <cellStyle name="메모 18 6" xfId="1236" xr:uid="{00000000-0005-0000-0000-000077030000}"/>
    <cellStyle name="메모 18 7" xfId="1237" xr:uid="{00000000-0005-0000-0000-000078030000}"/>
    <cellStyle name="메모 18 8" xfId="1238" xr:uid="{00000000-0005-0000-0000-000079030000}"/>
    <cellStyle name="메모 19" xfId="1239" xr:uid="{00000000-0005-0000-0000-00007A030000}"/>
    <cellStyle name="메모 2" xfId="100" xr:uid="{00000000-0005-0000-0000-00007B030000}"/>
    <cellStyle name="메모 2 10" xfId="1241" xr:uid="{00000000-0005-0000-0000-00007C030000}"/>
    <cellStyle name="메모 2 11" xfId="1242" xr:uid="{00000000-0005-0000-0000-00007D030000}"/>
    <cellStyle name="메모 2 11 2" xfId="1243" xr:uid="{00000000-0005-0000-0000-00007E030000}"/>
    <cellStyle name="메모 2 11 2 2" xfId="1244" xr:uid="{00000000-0005-0000-0000-00007F030000}"/>
    <cellStyle name="메모 2 11 2 3" xfId="1245" xr:uid="{00000000-0005-0000-0000-000080030000}"/>
    <cellStyle name="메모 2 11 3" xfId="1246" xr:uid="{00000000-0005-0000-0000-000081030000}"/>
    <cellStyle name="메모 2 12" xfId="1247" xr:uid="{00000000-0005-0000-0000-000082030000}"/>
    <cellStyle name="메모 2 13" xfId="1248" xr:uid="{00000000-0005-0000-0000-000083030000}"/>
    <cellStyle name="메모 2 14" xfId="1249" xr:uid="{00000000-0005-0000-0000-000084030000}"/>
    <cellStyle name="메모 2 14 2" xfId="1250" xr:uid="{00000000-0005-0000-0000-000085030000}"/>
    <cellStyle name="메모 2 14 2 2" xfId="1251" xr:uid="{00000000-0005-0000-0000-000086030000}"/>
    <cellStyle name="메모 2 14 2 3" xfId="1252" xr:uid="{00000000-0005-0000-0000-000087030000}"/>
    <cellStyle name="메모 2 14 3" xfId="1253" xr:uid="{00000000-0005-0000-0000-000088030000}"/>
    <cellStyle name="메모 2 15" xfId="1254" xr:uid="{00000000-0005-0000-0000-000089030000}"/>
    <cellStyle name="메모 2 16" xfId="1255" xr:uid="{00000000-0005-0000-0000-00008A030000}"/>
    <cellStyle name="메모 2 17" xfId="1256" xr:uid="{00000000-0005-0000-0000-00008B030000}"/>
    <cellStyle name="메모 2 17 2" xfId="1257" xr:uid="{00000000-0005-0000-0000-00008C030000}"/>
    <cellStyle name="메모 2 17 2 2" xfId="1258" xr:uid="{00000000-0005-0000-0000-00008D030000}"/>
    <cellStyle name="메모 2 17 2 3" xfId="1259" xr:uid="{00000000-0005-0000-0000-00008E030000}"/>
    <cellStyle name="메모 2 17 3" xfId="1260" xr:uid="{00000000-0005-0000-0000-00008F030000}"/>
    <cellStyle name="메모 2 18" xfId="1261" xr:uid="{00000000-0005-0000-0000-000090030000}"/>
    <cellStyle name="메모 2 19" xfId="1262" xr:uid="{00000000-0005-0000-0000-000091030000}"/>
    <cellStyle name="메모 2 2" xfId="1263" xr:uid="{00000000-0005-0000-0000-000092030000}"/>
    <cellStyle name="메모 2 20" xfId="1264" xr:uid="{00000000-0005-0000-0000-000093030000}"/>
    <cellStyle name="메모 2 21" xfId="1240" xr:uid="{00000000-0005-0000-0000-000094030000}"/>
    <cellStyle name="메모 2 3" xfId="1265" xr:uid="{00000000-0005-0000-0000-000095030000}"/>
    <cellStyle name="메모 2 4" xfId="1266" xr:uid="{00000000-0005-0000-0000-000096030000}"/>
    <cellStyle name="메모 2 5" xfId="1267" xr:uid="{00000000-0005-0000-0000-000097030000}"/>
    <cellStyle name="메모 2 6" xfId="1268" xr:uid="{00000000-0005-0000-0000-000098030000}"/>
    <cellStyle name="메모 2 7" xfId="1269" xr:uid="{00000000-0005-0000-0000-000099030000}"/>
    <cellStyle name="메모 2 7 2" xfId="1270" xr:uid="{00000000-0005-0000-0000-00009A030000}"/>
    <cellStyle name="메모 2 7 2 2" xfId="1271" xr:uid="{00000000-0005-0000-0000-00009B030000}"/>
    <cellStyle name="메모 2 7 2 2 2" xfId="1272" xr:uid="{00000000-0005-0000-0000-00009C030000}"/>
    <cellStyle name="메모 2 7 2 2 2 2" xfId="1273" xr:uid="{00000000-0005-0000-0000-00009D030000}"/>
    <cellStyle name="메모 2 7 2 2 2 3" xfId="1274" xr:uid="{00000000-0005-0000-0000-00009E030000}"/>
    <cellStyle name="메모 2 7 2 2 3" xfId="1275" xr:uid="{00000000-0005-0000-0000-00009F030000}"/>
    <cellStyle name="메모 2 7 2 3" xfId="1276" xr:uid="{00000000-0005-0000-0000-0000A0030000}"/>
    <cellStyle name="메모 2 7 2 4" xfId="1277" xr:uid="{00000000-0005-0000-0000-0000A1030000}"/>
    <cellStyle name="메모 2 7 3" xfId="1278" xr:uid="{00000000-0005-0000-0000-0000A2030000}"/>
    <cellStyle name="메모 2 7 3 2" xfId="1279" xr:uid="{00000000-0005-0000-0000-0000A3030000}"/>
    <cellStyle name="메모 2 7 3 3" xfId="1280" xr:uid="{00000000-0005-0000-0000-0000A4030000}"/>
    <cellStyle name="메모 2 7 4" xfId="1281" xr:uid="{00000000-0005-0000-0000-0000A5030000}"/>
    <cellStyle name="메모 2 8" xfId="1282" xr:uid="{00000000-0005-0000-0000-0000A6030000}"/>
    <cellStyle name="메모 2 9" xfId="1283" xr:uid="{00000000-0005-0000-0000-0000A7030000}"/>
    <cellStyle name="메모 20" xfId="1164" xr:uid="{00000000-0005-0000-0000-0000A8030000}"/>
    <cellStyle name="메모 3" xfId="101" xr:uid="{00000000-0005-0000-0000-0000A9030000}"/>
    <cellStyle name="메모 3 2" xfId="1285" xr:uid="{00000000-0005-0000-0000-0000AA030000}"/>
    <cellStyle name="메모 3 3" xfId="1286" xr:uid="{00000000-0005-0000-0000-0000AB030000}"/>
    <cellStyle name="메모 3 4" xfId="1287" xr:uid="{00000000-0005-0000-0000-0000AC030000}"/>
    <cellStyle name="메모 3 5" xfId="1284" xr:uid="{00000000-0005-0000-0000-0000AD030000}"/>
    <cellStyle name="메모 4" xfId="1288" xr:uid="{00000000-0005-0000-0000-0000AE030000}"/>
    <cellStyle name="메모 5" xfId="1289" xr:uid="{00000000-0005-0000-0000-0000AF030000}"/>
    <cellStyle name="메모 6" xfId="1290" xr:uid="{00000000-0005-0000-0000-0000B0030000}"/>
    <cellStyle name="메모 7" xfId="1291" xr:uid="{00000000-0005-0000-0000-0000B1030000}"/>
    <cellStyle name="메모 7 2" xfId="1292" xr:uid="{00000000-0005-0000-0000-0000B2030000}"/>
    <cellStyle name="메모 8" xfId="1293" xr:uid="{00000000-0005-0000-0000-0000B3030000}"/>
    <cellStyle name="메모 9" xfId="1294" xr:uid="{00000000-0005-0000-0000-0000B4030000}"/>
    <cellStyle name="메모 9 10" xfId="1823" xr:uid="{00000000-0005-0000-0000-0000B5030000}"/>
    <cellStyle name="메모 9 2" xfId="1295" xr:uid="{00000000-0005-0000-0000-0000B6030000}"/>
    <cellStyle name="메모 9 3" xfId="1296" xr:uid="{00000000-0005-0000-0000-0000B7030000}"/>
    <cellStyle name="메모 9 4" xfId="1297" xr:uid="{00000000-0005-0000-0000-0000B8030000}"/>
    <cellStyle name="메모 9 5" xfId="1298" xr:uid="{00000000-0005-0000-0000-0000B9030000}"/>
    <cellStyle name="메모 9 6" xfId="1299" xr:uid="{00000000-0005-0000-0000-0000BA030000}"/>
    <cellStyle name="메모 9 7" xfId="1300" xr:uid="{00000000-0005-0000-0000-0000BB030000}"/>
    <cellStyle name="메모 9 8" xfId="1301" xr:uid="{00000000-0005-0000-0000-0000BC030000}"/>
    <cellStyle name="메모 9 9" xfId="1302" xr:uid="{00000000-0005-0000-0000-0000BD030000}"/>
    <cellStyle name="믅됞 [0.00]_PRODUCT DETAIL Q1" xfId="425" xr:uid="{00000000-0005-0000-0000-0000BE030000}"/>
    <cellStyle name="믅됞_PRODUCT DETAIL Q1" xfId="426" xr:uid="{00000000-0005-0000-0000-0000BF030000}"/>
    <cellStyle name="백분율 2" xfId="102" xr:uid="{00000000-0005-0000-0000-0000C0030000}"/>
    <cellStyle name="보통" xfId="103" builtinId="28" customBuiltin="1"/>
    <cellStyle name="보통 10" xfId="1303" xr:uid="{00000000-0005-0000-0000-0000C2030000}"/>
    <cellStyle name="보통 11" xfId="1304" xr:uid="{00000000-0005-0000-0000-0000C3030000}"/>
    <cellStyle name="보통 12" xfId="1305" xr:uid="{00000000-0005-0000-0000-0000C4030000}"/>
    <cellStyle name="보통 2" xfId="104" xr:uid="{00000000-0005-0000-0000-0000C5030000}"/>
    <cellStyle name="보통 2 10" xfId="1306" xr:uid="{00000000-0005-0000-0000-0000C6030000}"/>
    <cellStyle name="보통 2 2" xfId="1307" xr:uid="{00000000-0005-0000-0000-0000C7030000}"/>
    <cellStyle name="보통 2 3" xfId="1308" xr:uid="{00000000-0005-0000-0000-0000C8030000}"/>
    <cellStyle name="보통 2 4" xfId="1309" xr:uid="{00000000-0005-0000-0000-0000C9030000}"/>
    <cellStyle name="보통 2 5" xfId="1310" xr:uid="{00000000-0005-0000-0000-0000CA030000}"/>
    <cellStyle name="보통 2 6" xfId="1311" xr:uid="{00000000-0005-0000-0000-0000CB030000}"/>
    <cellStyle name="보통 2 7" xfId="1312" xr:uid="{00000000-0005-0000-0000-0000CC030000}"/>
    <cellStyle name="보통 2 8" xfId="1313" xr:uid="{00000000-0005-0000-0000-0000CD030000}"/>
    <cellStyle name="보통 2 9" xfId="1314" xr:uid="{00000000-0005-0000-0000-0000CE030000}"/>
    <cellStyle name="보통 3" xfId="105" xr:uid="{00000000-0005-0000-0000-0000CF030000}"/>
    <cellStyle name="보통 3 2" xfId="1315" xr:uid="{00000000-0005-0000-0000-0000D0030000}"/>
    <cellStyle name="보통 3 3" xfId="1316" xr:uid="{00000000-0005-0000-0000-0000D1030000}"/>
    <cellStyle name="보통 3 4" xfId="1317" xr:uid="{00000000-0005-0000-0000-0000D2030000}"/>
    <cellStyle name="보통 4" xfId="1318" xr:uid="{00000000-0005-0000-0000-0000D3030000}"/>
    <cellStyle name="보통 5" xfId="1319" xr:uid="{00000000-0005-0000-0000-0000D4030000}"/>
    <cellStyle name="보통 6" xfId="1320" xr:uid="{00000000-0005-0000-0000-0000D5030000}"/>
    <cellStyle name="보통 7" xfId="1321" xr:uid="{00000000-0005-0000-0000-0000D6030000}"/>
    <cellStyle name="보통 7 2" xfId="1322" xr:uid="{00000000-0005-0000-0000-0000D7030000}"/>
    <cellStyle name="보통 8" xfId="1323" xr:uid="{00000000-0005-0000-0000-0000D8030000}"/>
    <cellStyle name="보통 9" xfId="1324" xr:uid="{00000000-0005-0000-0000-0000D9030000}"/>
    <cellStyle name="뷭?_BOOKSHIP" xfId="427" xr:uid="{00000000-0005-0000-0000-0000DA030000}"/>
    <cellStyle name="설명 텍스트" xfId="106" builtinId="53" customBuiltin="1"/>
    <cellStyle name="설명 텍스트 10" xfId="1325" xr:uid="{00000000-0005-0000-0000-0000DC030000}"/>
    <cellStyle name="설명 텍스트 11" xfId="1326" xr:uid="{00000000-0005-0000-0000-0000DD030000}"/>
    <cellStyle name="설명 텍스트 12" xfId="1327" xr:uid="{00000000-0005-0000-0000-0000DE030000}"/>
    <cellStyle name="설명 텍스트 2" xfId="107" xr:uid="{00000000-0005-0000-0000-0000DF030000}"/>
    <cellStyle name="설명 텍스트 2 10" xfId="1328" xr:uid="{00000000-0005-0000-0000-0000E0030000}"/>
    <cellStyle name="설명 텍스트 2 2" xfId="1329" xr:uid="{00000000-0005-0000-0000-0000E1030000}"/>
    <cellStyle name="설명 텍스트 2 3" xfId="1330" xr:uid="{00000000-0005-0000-0000-0000E2030000}"/>
    <cellStyle name="설명 텍스트 2 4" xfId="1331" xr:uid="{00000000-0005-0000-0000-0000E3030000}"/>
    <cellStyle name="설명 텍스트 2 5" xfId="1332" xr:uid="{00000000-0005-0000-0000-0000E4030000}"/>
    <cellStyle name="설명 텍스트 2 6" xfId="1333" xr:uid="{00000000-0005-0000-0000-0000E5030000}"/>
    <cellStyle name="설명 텍스트 2 7" xfId="1334" xr:uid="{00000000-0005-0000-0000-0000E6030000}"/>
    <cellStyle name="설명 텍스트 2 8" xfId="1335" xr:uid="{00000000-0005-0000-0000-0000E7030000}"/>
    <cellStyle name="설명 텍스트 2 9" xfId="1336" xr:uid="{00000000-0005-0000-0000-0000E8030000}"/>
    <cellStyle name="설명 텍스트 3" xfId="108" xr:uid="{00000000-0005-0000-0000-0000E9030000}"/>
    <cellStyle name="설명 텍스트 3 2" xfId="1337" xr:uid="{00000000-0005-0000-0000-0000EA030000}"/>
    <cellStyle name="설명 텍스트 3 3" xfId="1338" xr:uid="{00000000-0005-0000-0000-0000EB030000}"/>
    <cellStyle name="설명 텍스트 3 4" xfId="1339" xr:uid="{00000000-0005-0000-0000-0000EC030000}"/>
    <cellStyle name="설명 텍스트 4" xfId="1340" xr:uid="{00000000-0005-0000-0000-0000ED030000}"/>
    <cellStyle name="설명 텍스트 5" xfId="1341" xr:uid="{00000000-0005-0000-0000-0000EE030000}"/>
    <cellStyle name="설명 텍스트 6" xfId="1342" xr:uid="{00000000-0005-0000-0000-0000EF030000}"/>
    <cellStyle name="설명 텍스트 7" xfId="1343" xr:uid="{00000000-0005-0000-0000-0000F0030000}"/>
    <cellStyle name="설명 텍스트 7 2" xfId="1344" xr:uid="{00000000-0005-0000-0000-0000F1030000}"/>
    <cellStyle name="설명 텍스트 8" xfId="1345" xr:uid="{00000000-0005-0000-0000-0000F2030000}"/>
    <cellStyle name="설명 텍스트 9" xfId="1346" xr:uid="{00000000-0005-0000-0000-0000F3030000}"/>
    <cellStyle name="셀 확인" xfId="109" builtinId="23" customBuiltin="1"/>
    <cellStyle name="셀 확인 10" xfId="1347" xr:uid="{00000000-0005-0000-0000-0000F5030000}"/>
    <cellStyle name="셀 확인 11" xfId="1348" xr:uid="{00000000-0005-0000-0000-0000F6030000}"/>
    <cellStyle name="셀 확인 12" xfId="1349" xr:uid="{00000000-0005-0000-0000-0000F7030000}"/>
    <cellStyle name="셀 확인 2" xfId="110" xr:uid="{00000000-0005-0000-0000-0000F8030000}"/>
    <cellStyle name="셀 확인 2 10" xfId="1350" xr:uid="{00000000-0005-0000-0000-0000F9030000}"/>
    <cellStyle name="셀 확인 2 2" xfId="1351" xr:uid="{00000000-0005-0000-0000-0000FA030000}"/>
    <cellStyle name="셀 확인 2 3" xfId="1352" xr:uid="{00000000-0005-0000-0000-0000FB030000}"/>
    <cellStyle name="셀 확인 2 4" xfId="1353" xr:uid="{00000000-0005-0000-0000-0000FC030000}"/>
    <cellStyle name="셀 확인 2 5" xfId="1354" xr:uid="{00000000-0005-0000-0000-0000FD030000}"/>
    <cellStyle name="셀 확인 2 6" xfId="1355" xr:uid="{00000000-0005-0000-0000-0000FE030000}"/>
    <cellStyle name="셀 확인 2 7" xfId="1356" xr:uid="{00000000-0005-0000-0000-0000FF030000}"/>
    <cellStyle name="셀 확인 2 8" xfId="1357" xr:uid="{00000000-0005-0000-0000-000000040000}"/>
    <cellStyle name="셀 확인 2 9" xfId="1358" xr:uid="{00000000-0005-0000-0000-000001040000}"/>
    <cellStyle name="셀 확인 3" xfId="111" xr:uid="{00000000-0005-0000-0000-000002040000}"/>
    <cellStyle name="셀 확인 3 2" xfId="1359" xr:uid="{00000000-0005-0000-0000-000003040000}"/>
    <cellStyle name="셀 확인 3 3" xfId="1360" xr:uid="{00000000-0005-0000-0000-000004040000}"/>
    <cellStyle name="셀 확인 3 4" xfId="1361" xr:uid="{00000000-0005-0000-0000-000005040000}"/>
    <cellStyle name="셀 확인 4" xfId="1362" xr:uid="{00000000-0005-0000-0000-000006040000}"/>
    <cellStyle name="셀 확인 5" xfId="1363" xr:uid="{00000000-0005-0000-0000-000007040000}"/>
    <cellStyle name="셀 확인 6" xfId="1364" xr:uid="{00000000-0005-0000-0000-000008040000}"/>
    <cellStyle name="셀 확인 7" xfId="1365" xr:uid="{00000000-0005-0000-0000-000009040000}"/>
    <cellStyle name="셀 확인 7 2" xfId="1366" xr:uid="{00000000-0005-0000-0000-00000A040000}"/>
    <cellStyle name="셀 확인 8" xfId="1367" xr:uid="{00000000-0005-0000-0000-00000B040000}"/>
    <cellStyle name="셀 확인 9" xfId="1368" xr:uid="{00000000-0005-0000-0000-00000C040000}"/>
    <cellStyle name="쉼표 [0] 2" xfId="443" xr:uid="{00000000-0005-0000-0000-00000D040000}"/>
    <cellStyle name="쉼표 [0] 2 2" xfId="2996" xr:uid="{00000000-0005-0000-0000-00000E040000}"/>
    <cellStyle name="쉼표 [0] 2 2 2" xfId="4046" xr:uid="{00000000-0005-0000-0000-00000F040000}"/>
    <cellStyle name="쉼표 [0] 2 2 2 2" xfId="7196" xr:uid="{00000000-0005-0000-0000-000010040000}"/>
    <cellStyle name="쉼표 [0] 2 2 3" xfId="6149" xr:uid="{00000000-0005-0000-0000-000011040000}"/>
    <cellStyle name="쉼표 [0] 2 3" xfId="2993" xr:uid="{00000000-0005-0000-0000-000012040000}"/>
    <cellStyle name="쉼표 [0] 2 3 2" xfId="4043" xr:uid="{00000000-0005-0000-0000-000013040000}"/>
    <cellStyle name="쉼표 [0] 2 3 2 2" xfId="7193" xr:uid="{00000000-0005-0000-0000-000014040000}"/>
    <cellStyle name="쉼표 [0] 2 3 3" xfId="6146" xr:uid="{00000000-0005-0000-0000-000015040000}"/>
    <cellStyle name="쉼표 [0] 3" xfId="446" xr:uid="{00000000-0005-0000-0000-000016040000}"/>
    <cellStyle name="쉼표 [0] 3 2" xfId="2986" xr:uid="{00000000-0005-0000-0000-000017040000}"/>
    <cellStyle name="쉼표 [0] 4" xfId="442" xr:uid="{00000000-0005-0000-0000-000018040000}"/>
    <cellStyle name="쉼표 2" xfId="112" xr:uid="{00000000-0005-0000-0000-000019040000}"/>
    <cellStyle name="쉼표 3" xfId="113" xr:uid="{00000000-0005-0000-0000-00001A040000}"/>
    <cellStyle name="스타일 1" xfId="114" xr:uid="{00000000-0005-0000-0000-00001B040000}"/>
    <cellStyle name="스타일 1 2" xfId="1369" xr:uid="{00000000-0005-0000-0000-00001C040000}"/>
    <cellStyle name="스타일 1 3" xfId="428" xr:uid="{00000000-0005-0000-0000-00001D040000}"/>
    <cellStyle name="안건회계법인" xfId="429" xr:uid="{00000000-0005-0000-0000-00001E040000}"/>
    <cellStyle name="연결된 셀" xfId="115" builtinId="24" customBuiltin="1"/>
    <cellStyle name="연결된 셀 10" xfId="1370" xr:uid="{00000000-0005-0000-0000-000020040000}"/>
    <cellStyle name="연결된 셀 11" xfId="1371" xr:uid="{00000000-0005-0000-0000-000021040000}"/>
    <cellStyle name="연결된 셀 12" xfId="1372" xr:uid="{00000000-0005-0000-0000-000022040000}"/>
    <cellStyle name="연결된 셀 2" xfId="116" xr:uid="{00000000-0005-0000-0000-000023040000}"/>
    <cellStyle name="연결된 셀 2 10" xfId="1373" xr:uid="{00000000-0005-0000-0000-000024040000}"/>
    <cellStyle name="연결된 셀 2 2" xfId="1374" xr:uid="{00000000-0005-0000-0000-000025040000}"/>
    <cellStyle name="연결된 셀 2 3" xfId="1375" xr:uid="{00000000-0005-0000-0000-000026040000}"/>
    <cellStyle name="연결된 셀 2 4" xfId="1376" xr:uid="{00000000-0005-0000-0000-000027040000}"/>
    <cellStyle name="연결된 셀 2 5" xfId="1377" xr:uid="{00000000-0005-0000-0000-000028040000}"/>
    <cellStyle name="연결된 셀 2 6" xfId="1378" xr:uid="{00000000-0005-0000-0000-000029040000}"/>
    <cellStyle name="연결된 셀 2 7" xfId="1379" xr:uid="{00000000-0005-0000-0000-00002A040000}"/>
    <cellStyle name="연결된 셀 2 8" xfId="1380" xr:uid="{00000000-0005-0000-0000-00002B040000}"/>
    <cellStyle name="연결된 셀 2 9" xfId="1381" xr:uid="{00000000-0005-0000-0000-00002C040000}"/>
    <cellStyle name="연결된 셀 3" xfId="117" xr:uid="{00000000-0005-0000-0000-00002D040000}"/>
    <cellStyle name="연결된 셀 3 2" xfId="1382" xr:uid="{00000000-0005-0000-0000-00002E040000}"/>
    <cellStyle name="연결된 셀 3 3" xfId="1383" xr:uid="{00000000-0005-0000-0000-00002F040000}"/>
    <cellStyle name="연결된 셀 3 4" xfId="1384" xr:uid="{00000000-0005-0000-0000-000030040000}"/>
    <cellStyle name="연결된 셀 4" xfId="1385" xr:uid="{00000000-0005-0000-0000-000031040000}"/>
    <cellStyle name="연결된 셀 5" xfId="1386" xr:uid="{00000000-0005-0000-0000-000032040000}"/>
    <cellStyle name="연결된 셀 6" xfId="1387" xr:uid="{00000000-0005-0000-0000-000033040000}"/>
    <cellStyle name="연결된 셀 7" xfId="1388" xr:uid="{00000000-0005-0000-0000-000034040000}"/>
    <cellStyle name="연결된 셀 7 2" xfId="1389" xr:uid="{00000000-0005-0000-0000-000035040000}"/>
    <cellStyle name="연결된 셀 8" xfId="1390" xr:uid="{00000000-0005-0000-0000-000036040000}"/>
    <cellStyle name="연결된 셀 9" xfId="1391" xr:uid="{00000000-0005-0000-0000-000037040000}"/>
    <cellStyle name="요약" xfId="118" builtinId="25" customBuiltin="1"/>
    <cellStyle name="요약 10" xfId="1392" xr:uid="{00000000-0005-0000-0000-000039040000}"/>
    <cellStyle name="요약 11" xfId="1393" xr:uid="{00000000-0005-0000-0000-00003A040000}"/>
    <cellStyle name="요약 12" xfId="1394" xr:uid="{00000000-0005-0000-0000-00003B040000}"/>
    <cellStyle name="요약 2" xfId="119" xr:uid="{00000000-0005-0000-0000-00003C040000}"/>
    <cellStyle name="요약 2 10" xfId="1395" xr:uid="{00000000-0005-0000-0000-00003D040000}"/>
    <cellStyle name="요약 2 2" xfId="1396" xr:uid="{00000000-0005-0000-0000-00003E040000}"/>
    <cellStyle name="요약 2 3" xfId="1397" xr:uid="{00000000-0005-0000-0000-00003F040000}"/>
    <cellStyle name="요약 2 4" xfId="1398" xr:uid="{00000000-0005-0000-0000-000040040000}"/>
    <cellStyle name="요약 2 5" xfId="1399" xr:uid="{00000000-0005-0000-0000-000041040000}"/>
    <cellStyle name="요약 2 6" xfId="1400" xr:uid="{00000000-0005-0000-0000-000042040000}"/>
    <cellStyle name="요약 2 7" xfId="1401" xr:uid="{00000000-0005-0000-0000-000043040000}"/>
    <cellStyle name="요약 2 8" xfId="1402" xr:uid="{00000000-0005-0000-0000-000044040000}"/>
    <cellStyle name="요약 2 9" xfId="1403" xr:uid="{00000000-0005-0000-0000-000045040000}"/>
    <cellStyle name="요약 3" xfId="120" xr:uid="{00000000-0005-0000-0000-000046040000}"/>
    <cellStyle name="요약 3 2" xfId="1404" xr:uid="{00000000-0005-0000-0000-000047040000}"/>
    <cellStyle name="요약 3 3" xfId="1405" xr:uid="{00000000-0005-0000-0000-000048040000}"/>
    <cellStyle name="요약 3 4" xfId="1406" xr:uid="{00000000-0005-0000-0000-000049040000}"/>
    <cellStyle name="요약 4" xfId="1407" xr:uid="{00000000-0005-0000-0000-00004A040000}"/>
    <cellStyle name="요약 5" xfId="1408" xr:uid="{00000000-0005-0000-0000-00004B040000}"/>
    <cellStyle name="요약 6" xfId="1409" xr:uid="{00000000-0005-0000-0000-00004C040000}"/>
    <cellStyle name="요약 7" xfId="1410" xr:uid="{00000000-0005-0000-0000-00004D040000}"/>
    <cellStyle name="요약 7 2" xfId="1411" xr:uid="{00000000-0005-0000-0000-00004E040000}"/>
    <cellStyle name="요약 8" xfId="1412" xr:uid="{00000000-0005-0000-0000-00004F040000}"/>
    <cellStyle name="요약 9" xfId="1413" xr:uid="{00000000-0005-0000-0000-000050040000}"/>
    <cellStyle name="입력" xfId="121" builtinId="20" customBuiltin="1"/>
    <cellStyle name="입력 10" xfId="1415" xr:uid="{00000000-0005-0000-0000-000052040000}"/>
    <cellStyle name="입력 10 2" xfId="1416" xr:uid="{00000000-0005-0000-0000-000053040000}"/>
    <cellStyle name="입력 10 3" xfId="1417" xr:uid="{00000000-0005-0000-0000-000054040000}"/>
    <cellStyle name="입력 10 4" xfId="1418" xr:uid="{00000000-0005-0000-0000-000055040000}"/>
    <cellStyle name="입력 10 5" xfId="1419" xr:uid="{00000000-0005-0000-0000-000056040000}"/>
    <cellStyle name="입력 10 6" xfId="1420" xr:uid="{00000000-0005-0000-0000-000057040000}"/>
    <cellStyle name="입력 10 7" xfId="1421" xr:uid="{00000000-0005-0000-0000-000058040000}"/>
    <cellStyle name="입력 10 8" xfId="1422" xr:uid="{00000000-0005-0000-0000-000059040000}"/>
    <cellStyle name="입력 10 9" xfId="1423" xr:uid="{00000000-0005-0000-0000-00005A040000}"/>
    <cellStyle name="입력 11" xfId="1424" xr:uid="{00000000-0005-0000-0000-00005B040000}"/>
    <cellStyle name="입력 11 2" xfId="1425" xr:uid="{00000000-0005-0000-0000-00005C040000}"/>
    <cellStyle name="입력 11 3" xfId="1426" xr:uid="{00000000-0005-0000-0000-00005D040000}"/>
    <cellStyle name="입력 11 4" xfId="1427" xr:uid="{00000000-0005-0000-0000-00005E040000}"/>
    <cellStyle name="입력 11 5" xfId="1428" xr:uid="{00000000-0005-0000-0000-00005F040000}"/>
    <cellStyle name="입력 11 6" xfId="1429" xr:uid="{00000000-0005-0000-0000-000060040000}"/>
    <cellStyle name="입력 11 7" xfId="1430" xr:uid="{00000000-0005-0000-0000-000061040000}"/>
    <cellStyle name="입력 11 8" xfId="1431" xr:uid="{00000000-0005-0000-0000-000062040000}"/>
    <cellStyle name="입력 11 9" xfId="1432" xr:uid="{00000000-0005-0000-0000-000063040000}"/>
    <cellStyle name="입력 12" xfId="1433" xr:uid="{00000000-0005-0000-0000-000064040000}"/>
    <cellStyle name="입력 12 2" xfId="1434" xr:uid="{00000000-0005-0000-0000-000065040000}"/>
    <cellStyle name="입력 12 3" xfId="1435" xr:uid="{00000000-0005-0000-0000-000066040000}"/>
    <cellStyle name="입력 12 4" xfId="1436" xr:uid="{00000000-0005-0000-0000-000067040000}"/>
    <cellStyle name="입력 12 5" xfId="1437" xr:uid="{00000000-0005-0000-0000-000068040000}"/>
    <cellStyle name="입력 12 6" xfId="1438" xr:uid="{00000000-0005-0000-0000-000069040000}"/>
    <cellStyle name="입력 12 7" xfId="1439" xr:uid="{00000000-0005-0000-0000-00006A040000}"/>
    <cellStyle name="입력 12 8" xfId="1440" xr:uid="{00000000-0005-0000-0000-00006B040000}"/>
    <cellStyle name="입력 13" xfId="1441" xr:uid="{00000000-0005-0000-0000-00006C040000}"/>
    <cellStyle name="입력 13 2" xfId="1442" xr:uid="{00000000-0005-0000-0000-00006D040000}"/>
    <cellStyle name="입력 13 3" xfId="1443" xr:uid="{00000000-0005-0000-0000-00006E040000}"/>
    <cellStyle name="입력 13 4" xfId="1444" xr:uid="{00000000-0005-0000-0000-00006F040000}"/>
    <cellStyle name="입력 13 5" xfId="1445" xr:uid="{00000000-0005-0000-0000-000070040000}"/>
    <cellStyle name="입력 13 6" xfId="1446" xr:uid="{00000000-0005-0000-0000-000071040000}"/>
    <cellStyle name="입력 13 7" xfId="1447" xr:uid="{00000000-0005-0000-0000-000072040000}"/>
    <cellStyle name="입력 13 8" xfId="1448" xr:uid="{00000000-0005-0000-0000-000073040000}"/>
    <cellStyle name="입력 14" xfId="1449" xr:uid="{00000000-0005-0000-0000-000074040000}"/>
    <cellStyle name="입력 14 2" xfId="1450" xr:uid="{00000000-0005-0000-0000-000075040000}"/>
    <cellStyle name="입력 14 3" xfId="1451" xr:uid="{00000000-0005-0000-0000-000076040000}"/>
    <cellStyle name="입력 14 4" xfId="1452" xr:uid="{00000000-0005-0000-0000-000077040000}"/>
    <cellStyle name="입력 14 5" xfId="1453" xr:uid="{00000000-0005-0000-0000-000078040000}"/>
    <cellStyle name="입력 14 6" xfId="1454" xr:uid="{00000000-0005-0000-0000-000079040000}"/>
    <cellStyle name="입력 14 7" xfId="1455" xr:uid="{00000000-0005-0000-0000-00007A040000}"/>
    <cellStyle name="입력 14 8" xfId="1456" xr:uid="{00000000-0005-0000-0000-00007B040000}"/>
    <cellStyle name="입력 15" xfId="1457" xr:uid="{00000000-0005-0000-0000-00007C040000}"/>
    <cellStyle name="입력 15 2" xfId="1458" xr:uid="{00000000-0005-0000-0000-00007D040000}"/>
    <cellStyle name="입력 15 3" xfId="1459" xr:uid="{00000000-0005-0000-0000-00007E040000}"/>
    <cellStyle name="입력 15 4" xfId="1460" xr:uid="{00000000-0005-0000-0000-00007F040000}"/>
    <cellStyle name="입력 15 5" xfId="1461" xr:uid="{00000000-0005-0000-0000-000080040000}"/>
    <cellStyle name="입력 15 6" xfId="1462" xr:uid="{00000000-0005-0000-0000-000081040000}"/>
    <cellStyle name="입력 15 7" xfId="1463" xr:uid="{00000000-0005-0000-0000-000082040000}"/>
    <cellStyle name="입력 15 8" xfId="1464" xr:uid="{00000000-0005-0000-0000-000083040000}"/>
    <cellStyle name="입력 16" xfId="1465" xr:uid="{00000000-0005-0000-0000-000084040000}"/>
    <cellStyle name="입력 16 2" xfId="1466" xr:uid="{00000000-0005-0000-0000-000085040000}"/>
    <cellStyle name="입력 16 3" xfId="1467" xr:uid="{00000000-0005-0000-0000-000086040000}"/>
    <cellStyle name="입력 16 4" xfId="1468" xr:uid="{00000000-0005-0000-0000-000087040000}"/>
    <cellStyle name="입력 16 5" xfId="1469" xr:uid="{00000000-0005-0000-0000-000088040000}"/>
    <cellStyle name="입력 16 6" xfId="1470" xr:uid="{00000000-0005-0000-0000-000089040000}"/>
    <cellStyle name="입력 16 7" xfId="1471" xr:uid="{00000000-0005-0000-0000-00008A040000}"/>
    <cellStyle name="입력 16 8" xfId="1472" xr:uid="{00000000-0005-0000-0000-00008B040000}"/>
    <cellStyle name="입력 17" xfId="1473" xr:uid="{00000000-0005-0000-0000-00008C040000}"/>
    <cellStyle name="입력 17 2" xfId="1474" xr:uid="{00000000-0005-0000-0000-00008D040000}"/>
    <cellStyle name="입력 17 3" xfId="1475" xr:uid="{00000000-0005-0000-0000-00008E040000}"/>
    <cellStyle name="입력 17 4" xfId="1476" xr:uid="{00000000-0005-0000-0000-00008F040000}"/>
    <cellStyle name="입력 17 5" xfId="1477" xr:uid="{00000000-0005-0000-0000-000090040000}"/>
    <cellStyle name="입력 17 6" xfId="1478" xr:uid="{00000000-0005-0000-0000-000091040000}"/>
    <cellStyle name="입력 17 7" xfId="1479" xr:uid="{00000000-0005-0000-0000-000092040000}"/>
    <cellStyle name="입력 17 8" xfId="1480" xr:uid="{00000000-0005-0000-0000-000093040000}"/>
    <cellStyle name="입력 18" xfId="1481" xr:uid="{00000000-0005-0000-0000-000094040000}"/>
    <cellStyle name="입력 18 2" xfId="1482" xr:uid="{00000000-0005-0000-0000-000095040000}"/>
    <cellStyle name="입력 18 3" xfId="1483" xr:uid="{00000000-0005-0000-0000-000096040000}"/>
    <cellStyle name="입력 18 4" xfId="1484" xr:uid="{00000000-0005-0000-0000-000097040000}"/>
    <cellStyle name="입력 18 5" xfId="1485" xr:uid="{00000000-0005-0000-0000-000098040000}"/>
    <cellStyle name="입력 18 6" xfId="1486" xr:uid="{00000000-0005-0000-0000-000099040000}"/>
    <cellStyle name="입력 18 7" xfId="1487" xr:uid="{00000000-0005-0000-0000-00009A040000}"/>
    <cellStyle name="입력 18 8" xfId="1488" xr:uid="{00000000-0005-0000-0000-00009B040000}"/>
    <cellStyle name="입력 19" xfId="1489" xr:uid="{00000000-0005-0000-0000-00009C040000}"/>
    <cellStyle name="입력 2" xfId="122" xr:uid="{00000000-0005-0000-0000-00009D040000}"/>
    <cellStyle name="입력 2 10" xfId="1491" xr:uid="{00000000-0005-0000-0000-00009E040000}"/>
    <cellStyle name="입력 2 11" xfId="1492" xr:uid="{00000000-0005-0000-0000-00009F040000}"/>
    <cellStyle name="입력 2 11 2" xfId="1493" xr:uid="{00000000-0005-0000-0000-0000A0040000}"/>
    <cellStyle name="입력 2 11 2 2" xfId="1494" xr:uid="{00000000-0005-0000-0000-0000A1040000}"/>
    <cellStyle name="입력 2 11 2 3" xfId="1495" xr:uid="{00000000-0005-0000-0000-0000A2040000}"/>
    <cellStyle name="입력 2 11 3" xfId="1496" xr:uid="{00000000-0005-0000-0000-0000A3040000}"/>
    <cellStyle name="입력 2 12" xfId="1497" xr:uid="{00000000-0005-0000-0000-0000A4040000}"/>
    <cellStyle name="입력 2 13" xfId="1498" xr:uid="{00000000-0005-0000-0000-0000A5040000}"/>
    <cellStyle name="입력 2 14" xfId="1499" xr:uid="{00000000-0005-0000-0000-0000A6040000}"/>
    <cellStyle name="입력 2 14 2" xfId="1500" xr:uid="{00000000-0005-0000-0000-0000A7040000}"/>
    <cellStyle name="입력 2 14 2 2" xfId="1501" xr:uid="{00000000-0005-0000-0000-0000A8040000}"/>
    <cellStyle name="입력 2 14 2 3" xfId="1502" xr:uid="{00000000-0005-0000-0000-0000A9040000}"/>
    <cellStyle name="입력 2 14 3" xfId="1503" xr:uid="{00000000-0005-0000-0000-0000AA040000}"/>
    <cellStyle name="입력 2 15" xfId="1504" xr:uid="{00000000-0005-0000-0000-0000AB040000}"/>
    <cellStyle name="입력 2 16" xfId="1505" xr:uid="{00000000-0005-0000-0000-0000AC040000}"/>
    <cellStyle name="입력 2 17" xfId="1506" xr:uid="{00000000-0005-0000-0000-0000AD040000}"/>
    <cellStyle name="입력 2 17 2" xfId="1507" xr:uid="{00000000-0005-0000-0000-0000AE040000}"/>
    <cellStyle name="입력 2 17 2 2" xfId="1508" xr:uid="{00000000-0005-0000-0000-0000AF040000}"/>
    <cellStyle name="입력 2 17 2 3" xfId="1509" xr:uid="{00000000-0005-0000-0000-0000B0040000}"/>
    <cellStyle name="입력 2 17 3" xfId="1510" xr:uid="{00000000-0005-0000-0000-0000B1040000}"/>
    <cellStyle name="입력 2 18" xfId="1511" xr:uid="{00000000-0005-0000-0000-0000B2040000}"/>
    <cellStyle name="입력 2 19" xfId="1512" xr:uid="{00000000-0005-0000-0000-0000B3040000}"/>
    <cellStyle name="입력 2 2" xfId="1513" xr:uid="{00000000-0005-0000-0000-0000B4040000}"/>
    <cellStyle name="입력 2 20" xfId="1514" xr:uid="{00000000-0005-0000-0000-0000B5040000}"/>
    <cellStyle name="입력 2 21" xfId="1490" xr:uid="{00000000-0005-0000-0000-0000B6040000}"/>
    <cellStyle name="입력 2 3" xfId="1515" xr:uid="{00000000-0005-0000-0000-0000B7040000}"/>
    <cellStyle name="입력 2 4" xfId="1516" xr:uid="{00000000-0005-0000-0000-0000B8040000}"/>
    <cellStyle name="입력 2 5" xfId="1517" xr:uid="{00000000-0005-0000-0000-0000B9040000}"/>
    <cellStyle name="입력 2 6" xfId="1518" xr:uid="{00000000-0005-0000-0000-0000BA040000}"/>
    <cellStyle name="입력 2 7" xfId="1519" xr:uid="{00000000-0005-0000-0000-0000BB040000}"/>
    <cellStyle name="입력 2 7 2" xfId="1520" xr:uid="{00000000-0005-0000-0000-0000BC040000}"/>
    <cellStyle name="입력 2 7 2 2" xfId="1521" xr:uid="{00000000-0005-0000-0000-0000BD040000}"/>
    <cellStyle name="입력 2 7 2 2 2" xfId="1522" xr:uid="{00000000-0005-0000-0000-0000BE040000}"/>
    <cellStyle name="입력 2 7 2 2 2 2" xfId="1523" xr:uid="{00000000-0005-0000-0000-0000BF040000}"/>
    <cellStyle name="입력 2 7 2 2 2 3" xfId="1524" xr:uid="{00000000-0005-0000-0000-0000C0040000}"/>
    <cellStyle name="입력 2 7 2 2 3" xfId="1525" xr:uid="{00000000-0005-0000-0000-0000C1040000}"/>
    <cellStyle name="입력 2 7 2 3" xfId="1526" xr:uid="{00000000-0005-0000-0000-0000C2040000}"/>
    <cellStyle name="입력 2 7 2 4" xfId="1527" xr:uid="{00000000-0005-0000-0000-0000C3040000}"/>
    <cellStyle name="입력 2 7 3" xfId="1528" xr:uid="{00000000-0005-0000-0000-0000C4040000}"/>
    <cellStyle name="입력 2 7 3 2" xfId="1529" xr:uid="{00000000-0005-0000-0000-0000C5040000}"/>
    <cellStyle name="입력 2 7 3 3" xfId="1530" xr:uid="{00000000-0005-0000-0000-0000C6040000}"/>
    <cellStyle name="입력 2 7 4" xfId="1531" xr:uid="{00000000-0005-0000-0000-0000C7040000}"/>
    <cellStyle name="입력 2 8" xfId="1532" xr:uid="{00000000-0005-0000-0000-0000C8040000}"/>
    <cellStyle name="입력 2 9" xfId="1533" xr:uid="{00000000-0005-0000-0000-0000C9040000}"/>
    <cellStyle name="입력 20" xfId="1414" xr:uid="{00000000-0005-0000-0000-0000CA040000}"/>
    <cellStyle name="입력 3" xfId="123" xr:uid="{00000000-0005-0000-0000-0000CB040000}"/>
    <cellStyle name="입력 3 2" xfId="1535" xr:uid="{00000000-0005-0000-0000-0000CC040000}"/>
    <cellStyle name="입력 3 3" xfId="1536" xr:uid="{00000000-0005-0000-0000-0000CD040000}"/>
    <cellStyle name="입력 3 4" xfId="1537" xr:uid="{00000000-0005-0000-0000-0000CE040000}"/>
    <cellStyle name="입력 3 5" xfId="1534" xr:uid="{00000000-0005-0000-0000-0000CF040000}"/>
    <cellStyle name="입력 4" xfId="1538" xr:uid="{00000000-0005-0000-0000-0000D0040000}"/>
    <cellStyle name="입력 5" xfId="1539" xr:uid="{00000000-0005-0000-0000-0000D1040000}"/>
    <cellStyle name="입력 6" xfId="1540" xr:uid="{00000000-0005-0000-0000-0000D2040000}"/>
    <cellStyle name="입력 7" xfId="1541" xr:uid="{00000000-0005-0000-0000-0000D3040000}"/>
    <cellStyle name="입력 7 2" xfId="1542" xr:uid="{00000000-0005-0000-0000-0000D4040000}"/>
    <cellStyle name="입력 8" xfId="1543" xr:uid="{00000000-0005-0000-0000-0000D5040000}"/>
    <cellStyle name="입력 9" xfId="1544" xr:uid="{00000000-0005-0000-0000-0000D6040000}"/>
    <cellStyle name="입력 9 10" xfId="1824" xr:uid="{00000000-0005-0000-0000-0000D7040000}"/>
    <cellStyle name="입력 9 2" xfId="1545" xr:uid="{00000000-0005-0000-0000-0000D8040000}"/>
    <cellStyle name="입력 9 3" xfId="1546" xr:uid="{00000000-0005-0000-0000-0000D9040000}"/>
    <cellStyle name="입력 9 4" xfId="1547" xr:uid="{00000000-0005-0000-0000-0000DA040000}"/>
    <cellStyle name="입력 9 5" xfId="1548" xr:uid="{00000000-0005-0000-0000-0000DB040000}"/>
    <cellStyle name="입력 9 6" xfId="1549" xr:uid="{00000000-0005-0000-0000-0000DC040000}"/>
    <cellStyle name="입력 9 7" xfId="1550" xr:uid="{00000000-0005-0000-0000-0000DD040000}"/>
    <cellStyle name="입력 9 8" xfId="1551" xr:uid="{00000000-0005-0000-0000-0000DE040000}"/>
    <cellStyle name="입력 9 9" xfId="1552" xr:uid="{00000000-0005-0000-0000-0000DF040000}"/>
    <cellStyle name="자리수" xfId="430" xr:uid="{00000000-0005-0000-0000-0000E0040000}"/>
    <cellStyle name="자리수0" xfId="431" xr:uid="{00000000-0005-0000-0000-0000E1040000}"/>
    <cellStyle name="제목" xfId="124" builtinId="15" customBuiltin="1"/>
    <cellStyle name="제목 1" xfId="125" builtinId="16" customBuiltin="1"/>
    <cellStyle name="제목 1 10" xfId="1553" xr:uid="{00000000-0005-0000-0000-0000E4040000}"/>
    <cellStyle name="제목 1 11" xfId="1554" xr:uid="{00000000-0005-0000-0000-0000E5040000}"/>
    <cellStyle name="제목 1 12" xfId="1555" xr:uid="{00000000-0005-0000-0000-0000E6040000}"/>
    <cellStyle name="제목 1 2" xfId="126" xr:uid="{00000000-0005-0000-0000-0000E7040000}"/>
    <cellStyle name="제목 1 2 10" xfId="1556" xr:uid="{00000000-0005-0000-0000-0000E8040000}"/>
    <cellStyle name="제목 1 2 2" xfId="1557" xr:uid="{00000000-0005-0000-0000-0000E9040000}"/>
    <cellStyle name="제목 1 2 3" xfId="1558" xr:uid="{00000000-0005-0000-0000-0000EA040000}"/>
    <cellStyle name="제목 1 2 4" xfId="1559" xr:uid="{00000000-0005-0000-0000-0000EB040000}"/>
    <cellStyle name="제목 1 2 5" xfId="1560" xr:uid="{00000000-0005-0000-0000-0000EC040000}"/>
    <cellStyle name="제목 1 2 6" xfId="1561" xr:uid="{00000000-0005-0000-0000-0000ED040000}"/>
    <cellStyle name="제목 1 2 7" xfId="1562" xr:uid="{00000000-0005-0000-0000-0000EE040000}"/>
    <cellStyle name="제목 1 2 8" xfId="1563" xr:uid="{00000000-0005-0000-0000-0000EF040000}"/>
    <cellStyle name="제목 1 2 9" xfId="1564" xr:uid="{00000000-0005-0000-0000-0000F0040000}"/>
    <cellStyle name="제목 1 3" xfId="127" xr:uid="{00000000-0005-0000-0000-0000F1040000}"/>
    <cellStyle name="제목 1 3 2" xfId="1565" xr:uid="{00000000-0005-0000-0000-0000F2040000}"/>
    <cellStyle name="제목 1 3 3" xfId="1566" xr:uid="{00000000-0005-0000-0000-0000F3040000}"/>
    <cellStyle name="제목 1 3 4" xfId="1567" xr:uid="{00000000-0005-0000-0000-0000F4040000}"/>
    <cellStyle name="제목 1 4" xfId="1568" xr:uid="{00000000-0005-0000-0000-0000F5040000}"/>
    <cellStyle name="제목 1 5" xfId="1569" xr:uid="{00000000-0005-0000-0000-0000F6040000}"/>
    <cellStyle name="제목 1 6" xfId="1570" xr:uid="{00000000-0005-0000-0000-0000F7040000}"/>
    <cellStyle name="제목 1 7" xfId="1571" xr:uid="{00000000-0005-0000-0000-0000F8040000}"/>
    <cellStyle name="제목 1 7 2" xfId="1572" xr:uid="{00000000-0005-0000-0000-0000F9040000}"/>
    <cellStyle name="제목 1 8" xfId="1573" xr:uid="{00000000-0005-0000-0000-0000FA040000}"/>
    <cellStyle name="제목 1 9" xfId="1574" xr:uid="{00000000-0005-0000-0000-0000FB040000}"/>
    <cellStyle name="제목 10" xfId="1575" xr:uid="{00000000-0005-0000-0000-0000FC040000}"/>
    <cellStyle name="제목 10 2" xfId="1576" xr:uid="{00000000-0005-0000-0000-0000FD040000}"/>
    <cellStyle name="제목 11" xfId="1577" xr:uid="{00000000-0005-0000-0000-0000FE040000}"/>
    <cellStyle name="제목 12" xfId="1578" xr:uid="{00000000-0005-0000-0000-0000FF040000}"/>
    <cellStyle name="제목 13" xfId="1579" xr:uid="{00000000-0005-0000-0000-000000050000}"/>
    <cellStyle name="제목 14" xfId="1580" xr:uid="{00000000-0005-0000-0000-000001050000}"/>
    <cellStyle name="제목 15" xfId="1581" xr:uid="{00000000-0005-0000-0000-000002050000}"/>
    <cellStyle name="제목 2" xfId="128" builtinId="17" customBuiltin="1"/>
    <cellStyle name="제목 2 10" xfId="1582" xr:uid="{00000000-0005-0000-0000-000004050000}"/>
    <cellStyle name="제목 2 11" xfId="1583" xr:uid="{00000000-0005-0000-0000-000005050000}"/>
    <cellStyle name="제목 2 12" xfId="1584" xr:uid="{00000000-0005-0000-0000-000006050000}"/>
    <cellStyle name="제목 2 2" xfId="129" xr:uid="{00000000-0005-0000-0000-000007050000}"/>
    <cellStyle name="제목 2 2 10" xfId="1585" xr:uid="{00000000-0005-0000-0000-000008050000}"/>
    <cellStyle name="제목 2 2 2" xfId="1586" xr:uid="{00000000-0005-0000-0000-000009050000}"/>
    <cellStyle name="제목 2 2 3" xfId="1587" xr:uid="{00000000-0005-0000-0000-00000A050000}"/>
    <cellStyle name="제목 2 2 4" xfId="1588" xr:uid="{00000000-0005-0000-0000-00000B050000}"/>
    <cellStyle name="제목 2 2 5" xfId="1589" xr:uid="{00000000-0005-0000-0000-00000C050000}"/>
    <cellStyle name="제목 2 2 6" xfId="1590" xr:uid="{00000000-0005-0000-0000-00000D050000}"/>
    <cellStyle name="제목 2 2 7" xfId="1591" xr:uid="{00000000-0005-0000-0000-00000E050000}"/>
    <cellStyle name="제목 2 2 8" xfId="1592" xr:uid="{00000000-0005-0000-0000-00000F050000}"/>
    <cellStyle name="제목 2 2 9" xfId="1593" xr:uid="{00000000-0005-0000-0000-000010050000}"/>
    <cellStyle name="제목 2 3" xfId="130" xr:uid="{00000000-0005-0000-0000-000011050000}"/>
    <cellStyle name="제목 2 3 2" xfId="1594" xr:uid="{00000000-0005-0000-0000-000012050000}"/>
    <cellStyle name="제목 2 3 3" xfId="1595" xr:uid="{00000000-0005-0000-0000-000013050000}"/>
    <cellStyle name="제목 2 3 4" xfId="1596" xr:uid="{00000000-0005-0000-0000-000014050000}"/>
    <cellStyle name="제목 2 4" xfId="1597" xr:uid="{00000000-0005-0000-0000-000015050000}"/>
    <cellStyle name="제목 2 5" xfId="1598" xr:uid="{00000000-0005-0000-0000-000016050000}"/>
    <cellStyle name="제목 2 6" xfId="1599" xr:uid="{00000000-0005-0000-0000-000017050000}"/>
    <cellStyle name="제목 2 7" xfId="1600" xr:uid="{00000000-0005-0000-0000-000018050000}"/>
    <cellStyle name="제목 2 7 2" xfId="1601" xr:uid="{00000000-0005-0000-0000-000019050000}"/>
    <cellStyle name="제목 2 8" xfId="1602" xr:uid="{00000000-0005-0000-0000-00001A050000}"/>
    <cellStyle name="제목 2 9" xfId="1603" xr:uid="{00000000-0005-0000-0000-00001B050000}"/>
    <cellStyle name="제목 3" xfId="131" builtinId="18" customBuiltin="1"/>
    <cellStyle name="제목 3 10" xfId="1604" xr:uid="{00000000-0005-0000-0000-00001D050000}"/>
    <cellStyle name="제목 3 11" xfId="1605" xr:uid="{00000000-0005-0000-0000-00001E050000}"/>
    <cellStyle name="제목 3 12" xfId="1606" xr:uid="{00000000-0005-0000-0000-00001F050000}"/>
    <cellStyle name="제목 3 2" xfId="132" xr:uid="{00000000-0005-0000-0000-000020050000}"/>
    <cellStyle name="제목 3 2 10" xfId="1607" xr:uid="{00000000-0005-0000-0000-000021050000}"/>
    <cellStyle name="제목 3 2 2" xfId="1608" xr:uid="{00000000-0005-0000-0000-000022050000}"/>
    <cellStyle name="제목 3 2 3" xfId="1609" xr:uid="{00000000-0005-0000-0000-000023050000}"/>
    <cellStyle name="제목 3 2 4" xfId="1610" xr:uid="{00000000-0005-0000-0000-000024050000}"/>
    <cellStyle name="제목 3 2 5" xfId="1611" xr:uid="{00000000-0005-0000-0000-000025050000}"/>
    <cellStyle name="제목 3 2 6" xfId="1612" xr:uid="{00000000-0005-0000-0000-000026050000}"/>
    <cellStyle name="제목 3 2 7" xfId="1613" xr:uid="{00000000-0005-0000-0000-000027050000}"/>
    <cellStyle name="제목 3 2 8" xfId="1614" xr:uid="{00000000-0005-0000-0000-000028050000}"/>
    <cellStyle name="제목 3 2 9" xfId="1615" xr:uid="{00000000-0005-0000-0000-000029050000}"/>
    <cellStyle name="제목 3 3" xfId="133" xr:uid="{00000000-0005-0000-0000-00002A050000}"/>
    <cellStyle name="제목 3 3 2" xfId="1616" xr:uid="{00000000-0005-0000-0000-00002B050000}"/>
    <cellStyle name="제목 3 3 3" xfId="1617" xr:uid="{00000000-0005-0000-0000-00002C050000}"/>
    <cellStyle name="제목 3 3 4" xfId="1618" xr:uid="{00000000-0005-0000-0000-00002D050000}"/>
    <cellStyle name="제목 3 4" xfId="1619" xr:uid="{00000000-0005-0000-0000-00002E050000}"/>
    <cellStyle name="제목 3 5" xfId="1620" xr:uid="{00000000-0005-0000-0000-00002F050000}"/>
    <cellStyle name="제목 3 6" xfId="1621" xr:uid="{00000000-0005-0000-0000-000030050000}"/>
    <cellStyle name="제목 3 7" xfId="1622" xr:uid="{00000000-0005-0000-0000-000031050000}"/>
    <cellStyle name="제목 3 7 2" xfId="1623" xr:uid="{00000000-0005-0000-0000-000032050000}"/>
    <cellStyle name="제목 3 8" xfId="1624" xr:uid="{00000000-0005-0000-0000-000033050000}"/>
    <cellStyle name="제목 3 9" xfId="1625" xr:uid="{00000000-0005-0000-0000-000034050000}"/>
    <cellStyle name="제목 4" xfId="134" builtinId="19" customBuiltin="1"/>
    <cellStyle name="제목 4 10" xfId="1626" xr:uid="{00000000-0005-0000-0000-000036050000}"/>
    <cellStyle name="제목 4 11" xfId="1627" xr:uid="{00000000-0005-0000-0000-000037050000}"/>
    <cellStyle name="제목 4 12" xfId="1628" xr:uid="{00000000-0005-0000-0000-000038050000}"/>
    <cellStyle name="제목 4 2" xfId="135" xr:uid="{00000000-0005-0000-0000-000039050000}"/>
    <cellStyle name="제목 4 2 10" xfId="1629" xr:uid="{00000000-0005-0000-0000-00003A050000}"/>
    <cellStyle name="제목 4 2 2" xfId="1630" xr:uid="{00000000-0005-0000-0000-00003B050000}"/>
    <cellStyle name="제목 4 2 3" xfId="1631" xr:uid="{00000000-0005-0000-0000-00003C050000}"/>
    <cellStyle name="제목 4 2 4" xfId="1632" xr:uid="{00000000-0005-0000-0000-00003D050000}"/>
    <cellStyle name="제목 4 2 5" xfId="1633" xr:uid="{00000000-0005-0000-0000-00003E050000}"/>
    <cellStyle name="제목 4 2 6" xfId="1634" xr:uid="{00000000-0005-0000-0000-00003F050000}"/>
    <cellStyle name="제목 4 2 7" xfId="1635" xr:uid="{00000000-0005-0000-0000-000040050000}"/>
    <cellStyle name="제목 4 2 8" xfId="1636" xr:uid="{00000000-0005-0000-0000-000041050000}"/>
    <cellStyle name="제목 4 2 9" xfId="1637" xr:uid="{00000000-0005-0000-0000-000042050000}"/>
    <cellStyle name="제목 4 3" xfId="136" xr:uid="{00000000-0005-0000-0000-000043050000}"/>
    <cellStyle name="제목 4 3 2" xfId="1638" xr:uid="{00000000-0005-0000-0000-000044050000}"/>
    <cellStyle name="제목 4 3 3" xfId="1639" xr:uid="{00000000-0005-0000-0000-000045050000}"/>
    <cellStyle name="제목 4 3 4" xfId="1640" xr:uid="{00000000-0005-0000-0000-000046050000}"/>
    <cellStyle name="제목 4 4" xfId="1641" xr:uid="{00000000-0005-0000-0000-000047050000}"/>
    <cellStyle name="제목 4 5" xfId="1642" xr:uid="{00000000-0005-0000-0000-000048050000}"/>
    <cellStyle name="제목 4 6" xfId="1643" xr:uid="{00000000-0005-0000-0000-000049050000}"/>
    <cellStyle name="제목 4 7" xfId="1644" xr:uid="{00000000-0005-0000-0000-00004A050000}"/>
    <cellStyle name="제목 4 7 2" xfId="1645" xr:uid="{00000000-0005-0000-0000-00004B050000}"/>
    <cellStyle name="제목 4 8" xfId="1646" xr:uid="{00000000-0005-0000-0000-00004C050000}"/>
    <cellStyle name="제목 4 9" xfId="1647" xr:uid="{00000000-0005-0000-0000-00004D050000}"/>
    <cellStyle name="제목 5" xfId="137" xr:uid="{00000000-0005-0000-0000-00004E050000}"/>
    <cellStyle name="제목 5 10" xfId="1648" xr:uid="{00000000-0005-0000-0000-00004F050000}"/>
    <cellStyle name="제목 5 2" xfId="1649" xr:uid="{00000000-0005-0000-0000-000050050000}"/>
    <cellStyle name="제목 5 3" xfId="1650" xr:uid="{00000000-0005-0000-0000-000051050000}"/>
    <cellStyle name="제목 5 4" xfId="1651" xr:uid="{00000000-0005-0000-0000-000052050000}"/>
    <cellStyle name="제목 5 5" xfId="1652" xr:uid="{00000000-0005-0000-0000-000053050000}"/>
    <cellStyle name="제목 5 6" xfId="1653" xr:uid="{00000000-0005-0000-0000-000054050000}"/>
    <cellStyle name="제목 5 7" xfId="1654" xr:uid="{00000000-0005-0000-0000-000055050000}"/>
    <cellStyle name="제목 5 8" xfId="1655" xr:uid="{00000000-0005-0000-0000-000056050000}"/>
    <cellStyle name="제목 5 9" xfId="1656" xr:uid="{00000000-0005-0000-0000-000057050000}"/>
    <cellStyle name="제목 6" xfId="138" xr:uid="{00000000-0005-0000-0000-000058050000}"/>
    <cellStyle name="제목 6 2" xfId="1657" xr:uid="{00000000-0005-0000-0000-000059050000}"/>
    <cellStyle name="제목 6 3" xfId="1658" xr:uid="{00000000-0005-0000-0000-00005A050000}"/>
    <cellStyle name="제목 6 4" xfId="1659" xr:uid="{00000000-0005-0000-0000-00005B050000}"/>
    <cellStyle name="제목 7" xfId="1660" xr:uid="{00000000-0005-0000-0000-00005C050000}"/>
    <cellStyle name="제목 8" xfId="1661" xr:uid="{00000000-0005-0000-0000-00005D050000}"/>
    <cellStyle name="제목 9" xfId="1662" xr:uid="{00000000-0005-0000-0000-00005E050000}"/>
    <cellStyle name="좋음" xfId="139" builtinId="26" customBuiltin="1"/>
    <cellStyle name="좋음 10" xfId="1663" xr:uid="{00000000-0005-0000-0000-000060050000}"/>
    <cellStyle name="좋음 11" xfId="1664" xr:uid="{00000000-0005-0000-0000-000061050000}"/>
    <cellStyle name="좋음 12" xfId="1665" xr:uid="{00000000-0005-0000-0000-000062050000}"/>
    <cellStyle name="좋음 2" xfId="140" xr:uid="{00000000-0005-0000-0000-000063050000}"/>
    <cellStyle name="좋음 2 10" xfId="1666" xr:uid="{00000000-0005-0000-0000-000064050000}"/>
    <cellStyle name="좋음 2 2" xfId="1667" xr:uid="{00000000-0005-0000-0000-000065050000}"/>
    <cellStyle name="좋음 2 3" xfId="1668" xr:uid="{00000000-0005-0000-0000-000066050000}"/>
    <cellStyle name="좋음 2 4" xfId="1669" xr:uid="{00000000-0005-0000-0000-000067050000}"/>
    <cellStyle name="좋음 2 5" xfId="1670" xr:uid="{00000000-0005-0000-0000-000068050000}"/>
    <cellStyle name="좋음 2 6" xfId="1671" xr:uid="{00000000-0005-0000-0000-000069050000}"/>
    <cellStyle name="좋음 2 7" xfId="1672" xr:uid="{00000000-0005-0000-0000-00006A050000}"/>
    <cellStyle name="좋음 2 8" xfId="1673" xr:uid="{00000000-0005-0000-0000-00006B050000}"/>
    <cellStyle name="좋음 2 9" xfId="1674" xr:uid="{00000000-0005-0000-0000-00006C050000}"/>
    <cellStyle name="좋음 3" xfId="141" xr:uid="{00000000-0005-0000-0000-00006D050000}"/>
    <cellStyle name="좋음 3 2" xfId="1675" xr:uid="{00000000-0005-0000-0000-00006E050000}"/>
    <cellStyle name="좋음 3 3" xfId="1676" xr:uid="{00000000-0005-0000-0000-00006F050000}"/>
    <cellStyle name="좋음 3 4" xfId="1677" xr:uid="{00000000-0005-0000-0000-000070050000}"/>
    <cellStyle name="좋음 4" xfId="1678" xr:uid="{00000000-0005-0000-0000-000071050000}"/>
    <cellStyle name="좋음 5" xfId="1679" xr:uid="{00000000-0005-0000-0000-000072050000}"/>
    <cellStyle name="좋음 6" xfId="1680" xr:uid="{00000000-0005-0000-0000-000073050000}"/>
    <cellStyle name="좋음 7" xfId="1681" xr:uid="{00000000-0005-0000-0000-000074050000}"/>
    <cellStyle name="좋음 7 2" xfId="1682" xr:uid="{00000000-0005-0000-0000-000075050000}"/>
    <cellStyle name="좋음 8" xfId="1683" xr:uid="{00000000-0005-0000-0000-000076050000}"/>
    <cellStyle name="좋음 9" xfId="1684" xr:uid="{00000000-0005-0000-0000-000077050000}"/>
    <cellStyle name="출력" xfId="142" builtinId="21" customBuiltin="1"/>
    <cellStyle name="출력 10" xfId="1685" xr:uid="{00000000-0005-0000-0000-000079050000}"/>
    <cellStyle name="출력 11" xfId="1686" xr:uid="{00000000-0005-0000-0000-00007A050000}"/>
    <cellStyle name="출력 12" xfId="1687" xr:uid="{00000000-0005-0000-0000-00007B050000}"/>
    <cellStyle name="출력 2" xfId="143" xr:uid="{00000000-0005-0000-0000-00007C050000}"/>
    <cellStyle name="출력 2 10" xfId="1688" xr:uid="{00000000-0005-0000-0000-00007D050000}"/>
    <cellStyle name="출력 2 2" xfId="1689" xr:uid="{00000000-0005-0000-0000-00007E050000}"/>
    <cellStyle name="출력 2 3" xfId="1690" xr:uid="{00000000-0005-0000-0000-00007F050000}"/>
    <cellStyle name="출력 2 4" xfId="1691" xr:uid="{00000000-0005-0000-0000-000080050000}"/>
    <cellStyle name="출력 2 5" xfId="1692" xr:uid="{00000000-0005-0000-0000-000081050000}"/>
    <cellStyle name="출력 2 6" xfId="1693" xr:uid="{00000000-0005-0000-0000-000082050000}"/>
    <cellStyle name="출력 2 7" xfId="1694" xr:uid="{00000000-0005-0000-0000-000083050000}"/>
    <cellStyle name="출력 2 8" xfId="1695" xr:uid="{00000000-0005-0000-0000-000084050000}"/>
    <cellStyle name="출력 2 9" xfId="1696" xr:uid="{00000000-0005-0000-0000-000085050000}"/>
    <cellStyle name="출력 3" xfId="144" xr:uid="{00000000-0005-0000-0000-000086050000}"/>
    <cellStyle name="출력 3 2" xfId="1697" xr:uid="{00000000-0005-0000-0000-000087050000}"/>
    <cellStyle name="출력 3 3" xfId="1698" xr:uid="{00000000-0005-0000-0000-000088050000}"/>
    <cellStyle name="출력 3 4" xfId="1699" xr:uid="{00000000-0005-0000-0000-000089050000}"/>
    <cellStyle name="출력 4" xfId="1700" xr:uid="{00000000-0005-0000-0000-00008A050000}"/>
    <cellStyle name="출력 5" xfId="1701" xr:uid="{00000000-0005-0000-0000-00008B050000}"/>
    <cellStyle name="출력 6" xfId="1702" xr:uid="{00000000-0005-0000-0000-00008C050000}"/>
    <cellStyle name="출력 7" xfId="1703" xr:uid="{00000000-0005-0000-0000-00008D050000}"/>
    <cellStyle name="출력 7 2" xfId="1704" xr:uid="{00000000-0005-0000-0000-00008E050000}"/>
    <cellStyle name="출력 8" xfId="1705" xr:uid="{00000000-0005-0000-0000-00008F050000}"/>
    <cellStyle name="출력 9" xfId="1706" xr:uid="{00000000-0005-0000-0000-000090050000}"/>
    <cellStyle name="콤마 [0]_1.기안을지" xfId="447" xr:uid="{00000000-0005-0000-0000-000091050000}"/>
    <cellStyle name="콤마_1.기안을지" xfId="448" xr:uid="{00000000-0005-0000-0000-000092050000}"/>
    <cellStyle name="통화 [0] 2" xfId="2994" xr:uid="{00000000-0005-0000-0000-000093050000}"/>
    <cellStyle name="통화 [0] 2 2" xfId="2997" xr:uid="{00000000-0005-0000-0000-000094050000}"/>
    <cellStyle name="통화 [0] 2 2 2" xfId="4047" xr:uid="{00000000-0005-0000-0000-000095050000}"/>
    <cellStyle name="통화 [0] 2 2 2 2" xfId="7197" xr:uid="{00000000-0005-0000-0000-000096050000}"/>
    <cellStyle name="통화 [0] 2 2 3" xfId="6150" xr:uid="{00000000-0005-0000-0000-000097050000}"/>
    <cellStyle name="통화 [0] 2 3" xfId="4044" xr:uid="{00000000-0005-0000-0000-000098050000}"/>
    <cellStyle name="통화 [0] 2 3 2" xfId="7194" xr:uid="{00000000-0005-0000-0000-000099050000}"/>
    <cellStyle name="통화 [0] 2 4" xfId="6147" xr:uid="{00000000-0005-0000-0000-00009A050000}"/>
    <cellStyle name="통화 2" xfId="145" xr:uid="{00000000-0005-0000-0000-00009B050000}"/>
    <cellStyle name="통화 3" xfId="146" xr:uid="{00000000-0005-0000-0000-00009C050000}"/>
    <cellStyle name="퍼센트" xfId="432" xr:uid="{00000000-0005-0000-0000-00009D050000}"/>
    <cellStyle name="표준" xfId="0" builtinId="0"/>
    <cellStyle name="표준 10" xfId="147" xr:uid="{00000000-0005-0000-0000-00009F050000}"/>
    <cellStyle name="표준 10 10" xfId="1870" xr:uid="{00000000-0005-0000-0000-0000A0050000}"/>
    <cellStyle name="표준 10 10 2" xfId="2660" xr:uid="{00000000-0005-0000-0000-0000A1050000}"/>
    <cellStyle name="표준 10 10 2 2" xfId="2853" xr:uid="{00000000-0005-0000-0000-0000A2050000}"/>
    <cellStyle name="표준 10 10 2 2 2" xfId="3391" xr:uid="{00000000-0005-0000-0000-0000A3050000}"/>
    <cellStyle name="표준 10 10 2 2 2 2" xfId="4438" xr:uid="{00000000-0005-0000-0000-0000A4050000}"/>
    <cellStyle name="표준 10 10 2 2 2 2 2" xfId="7588" xr:uid="{00000000-0005-0000-0000-0000A5050000}"/>
    <cellStyle name="표준 10 10 2 2 2 3" xfId="5476" xr:uid="{00000000-0005-0000-0000-0000A6050000}"/>
    <cellStyle name="표준 10 10 2 2 2 3 2" xfId="8625" xr:uid="{00000000-0005-0000-0000-0000A7050000}"/>
    <cellStyle name="표준 10 10 2 2 2 4" xfId="6541" xr:uid="{00000000-0005-0000-0000-0000A8050000}"/>
    <cellStyle name="표준 10 10 2 2 3" xfId="3909" xr:uid="{00000000-0005-0000-0000-0000A9050000}"/>
    <cellStyle name="표준 10 10 2 2 3 2" xfId="7059" xr:uid="{00000000-0005-0000-0000-0000AA050000}"/>
    <cellStyle name="표준 10 10 2 2 4" xfId="4956" xr:uid="{00000000-0005-0000-0000-0000AB050000}"/>
    <cellStyle name="표준 10 10 2 2 4 2" xfId="8106" xr:uid="{00000000-0005-0000-0000-0000AC050000}"/>
    <cellStyle name="표준 10 10 2 2 5" xfId="6012" xr:uid="{00000000-0005-0000-0000-0000AD050000}"/>
    <cellStyle name="표준 10 10 2 3" xfId="3198" xr:uid="{00000000-0005-0000-0000-0000AE050000}"/>
    <cellStyle name="표준 10 10 2 3 2" xfId="4245" xr:uid="{00000000-0005-0000-0000-0000AF050000}"/>
    <cellStyle name="표준 10 10 2 3 2 2" xfId="7395" xr:uid="{00000000-0005-0000-0000-0000B0050000}"/>
    <cellStyle name="표준 10 10 2 3 3" xfId="5283" xr:uid="{00000000-0005-0000-0000-0000B1050000}"/>
    <cellStyle name="표준 10 10 2 3 3 2" xfId="8432" xr:uid="{00000000-0005-0000-0000-0000B2050000}"/>
    <cellStyle name="표준 10 10 2 3 4" xfId="6348" xr:uid="{00000000-0005-0000-0000-0000B3050000}"/>
    <cellStyle name="표준 10 10 2 4" xfId="3716" xr:uid="{00000000-0005-0000-0000-0000B4050000}"/>
    <cellStyle name="표준 10 10 2 4 2" xfId="6866" xr:uid="{00000000-0005-0000-0000-0000B5050000}"/>
    <cellStyle name="표준 10 10 2 5" xfId="4763" xr:uid="{00000000-0005-0000-0000-0000B6050000}"/>
    <cellStyle name="표준 10 10 2 5 2" xfId="7913" xr:uid="{00000000-0005-0000-0000-0000B7050000}"/>
    <cellStyle name="표준 10 10 2 6" xfId="5819" xr:uid="{00000000-0005-0000-0000-0000B8050000}"/>
    <cellStyle name="표준 10 10 3" xfId="2789" xr:uid="{00000000-0005-0000-0000-0000B9050000}"/>
    <cellStyle name="표준 10 10 3 2" xfId="3327" xr:uid="{00000000-0005-0000-0000-0000BA050000}"/>
    <cellStyle name="표준 10 10 3 2 2" xfId="4374" xr:uid="{00000000-0005-0000-0000-0000BB050000}"/>
    <cellStyle name="표준 10 10 3 2 2 2" xfId="7524" xr:uid="{00000000-0005-0000-0000-0000BC050000}"/>
    <cellStyle name="표준 10 10 3 2 3" xfId="5412" xr:uid="{00000000-0005-0000-0000-0000BD050000}"/>
    <cellStyle name="표준 10 10 3 2 3 2" xfId="8561" xr:uid="{00000000-0005-0000-0000-0000BE050000}"/>
    <cellStyle name="표준 10 10 3 2 4" xfId="6477" xr:uid="{00000000-0005-0000-0000-0000BF050000}"/>
    <cellStyle name="표준 10 10 3 3" xfId="3845" xr:uid="{00000000-0005-0000-0000-0000C0050000}"/>
    <cellStyle name="표준 10 10 3 3 2" xfId="6995" xr:uid="{00000000-0005-0000-0000-0000C1050000}"/>
    <cellStyle name="표준 10 10 3 4" xfId="4892" xr:uid="{00000000-0005-0000-0000-0000C2050000}"/>
    <cellStyle name="표준 10 10 3 4 2" xfId="8042" xr:uid="{00000000-0005-0000-0000-0000C3050000}"/>
    <cellStyle name="표준 10 10 3 5" xfId="5948" xr:uid="{00000000-0005-0000-0000-0000C4050000}"/>
    <cellStyle name="표준 10 10 4" xfId="3069" xr:uid="{00000000-0005-0000-0000-0000C5050000}"/>
    <cellStyle name="표준 10 10 4 2" xfId="4116" xr:uid="{00000000-0005-0000-0000-0000C6050000}"/>
    <cellStyle name="표준 10 10 4 2 2" xfId="7266" xr:uid="{00000000-0005-0000-0000-0000C7050000}"/>
    <cellStyle name="표준 10 10 4 3" xfId="5154" xr:uid="{00000000-0005-0000-0000-0000C8050000}"/>
    <cellStyle name="표준 10 10 4 3 2" xfId="8303" xr:uid="{00000000-0005-0000-0000-0000C9050000}"/>
    <cellStyle name="표준 10 10 4 4" xfId="6219" xr:uid="{00000000-0005-0000-0000-0000CA050000}"/>
    <cellStyle name="표준 10 10 5" xfId="3587" xr:uid="{00000000-0005-0000-0000-0000CB050000}"/>
    <cellStyle name="표준 10 10 5 2" xfId="6737" xr:uid="{00000000-0005-0000-0000-0000CC050000}"/>
    <cellStyle name="표준 10 10 6" xfId="4634" xr:uid="{00000000-0005-0000-0000-0000CD050000}"/>
    <cellStyle name="표준 10 10 6 2" xfId="7784" xr:uid="{00000000-0005-0000-0000-0000CE050000}"/>
    <cellStyle name="표준 10 10 7" xfId="5690" xr:uid="{00000000-0005-0000-0000-0000CF050000}"/>
    <cellStyle name="표준 10 11" xfId="1903" xr:uid="{00000000-0005-0000-0000-0000D0050000}"/>
    <cellStyle name="표준 10 11 2" xfId="2693" xr:uid="{00000000-0005-0000-0000-0000D1050000}"/>
    <cellStyle name="표준 10 11 2 2" xfId="2854" xr:uid="{00000000-0005-0000-0000-0000D2050000}"/>
    <cellStyle name="표준 10 11 2 2 2" xfId="3392" xr:uid="{00000000-0005-0000-0000-0000D3050000}"/>
    <cellStyle name="표준 10 11 2 2 2 2" xfId="4439" xr:uid="{00000000-0005-0000-0000-0000D4050000}"/>
    <cellStyle name="표준 10 11 2 2 2 2 2" xfId="7589" xr:uid="{00000000-0005-0000-0000-0000D5050000}"/>
    <cellStyle name="표준 10 11 2 2 2 3" xfId="5477" xr:uid="{00000000-0005-0000-0000-0000D6050000}"/>
    <cellStyle name="표준 10 11 2 2 2 3 2" xfId="8626" xr:uid="{00000000-0005-0000-0000-0000D7050000}"/>
    <cellStyle name="표준 10 11 2 2 2 4" xfId="6542" xr:uid="{00000000-0005-0000-0000-0000D8050000}"/>
    <cellStyle name="표준 10 11 2 2 3" xfId="3910" xr:uid="{00000000-0005-0000-0000-0000D9050000}"/>
    <cellStyle name="표준 10 11 2 2 3 2" xfId="7060" xr:uid="{00000000-0005-0000-0000-0000DA050000}"/>
    <cellStyle name="표준 10 11 2 2 4" xfId="4957" xr:uid="{00000000-0005-0000-0000-0000DB050000}"/>
    <cellStyle name="표준 10 11 2 2 4 2" xfId="8107" xr:uid="{00000000-0005-0000-0000-0000DC050000}"/>
    <cellStyle name="표준 10 11 2 2 5" xfId="6013" xr:uid="{00000000-0005-0000-0000-0000DD050000}"/>
    <cellStyle name="표준 10 11 2 3" xfId="3231" xr:uid="{00000000-0005-0000-0000-0000DE050000}"/>
    <cellStyle name="표준 10 11 2 3 2" xfId="4278" xr:uid="{00000000-0005-0000-0000-0000DF050000}"/>
    <cellStyle name="표준 10 11 2 3 2 2" xfId="7428" xr:uid="{00000000-0005-0000-0000-0000E0050000}"/>
    <cellStyle name="표준 10 11 2 3 3" xfId="5316" xr:uid="{00000000-0005-0000-0000-0000E1050000}"/>
    <cellStyle name="표준 10 11 2 3 3 2" xfId="8465" xr:uid="{00000000-0005-0000-0000-0000E2050000}"/>
    <cellStyle name="표준 10 11 2 3 4" xfId="6381" xr:uid="{00000000-0005-0000-0000-0000E3050000}"/>
    <cellStyle name="표준 10 11 2 4" xfId="3749" xr:uid="{00000000-0005-0000-0000-0000E4050000}"/>
    <cellStyle name="표준 10 11 2 4 2" xfId="6899" xr:uid="{00000000-0005-0000-0000-0000E5050000}"/>
    <cellStyle name="표준 10 11 2 5" xfId="4796" xr:uid="{00000000-0005-0000-0000-0000E6050000}"/>
    <cellStyle name="표준 10 11 2 5 2" xfId="7946" xr:uid="{00000000-0005-0000-0000-0000E7050000}"/>
    <cellStyle name="표준 10 11 2 6" xfId="5852" xr:uid="{00000000-0005-0000-0000-0000E8050000}"/>
    <cellStyle name="표준 10 11 3" xfId="2822" xr:uid="{00000000-0005-0000-0000-0000E9050000}"/>
    <cellStyle name="표준 10 11 3 2" xfId="3360" xr:uid="{00000000-0005-0000-0000-0000EA050000}"/>
    <cellStyle name="표준 10 11 3 2 2" xfId="4407" xr:uid="{00000000-0005-0000-0000-0000EB050000}"/>
    <cellStyle name="표준 10 11 3 2 2 2" xfId="7557" xr:uid="{00000000-0005-0000-0000-0000EC050000}"/>
    <cellStyle name="표준 10 11 3 2 3" xfId="5445" xr:uid="{00000000-0005-0000-0000-0000ED050000}"/>
    <cellStyle name="표준 10 11 3 2 3 2" xfId="8594" xr:uid="{00000000-0005-0000-0000-0000EE050000}"/>
    <cellStyle name="표준 10 11 3 2 4" xfId="6510" xr:uid="{00000000-0005-0000-0000-0000EF050000}"/>
    <cellStyle name="표준 10 11 3 3" xfId="3878" xr:uid="{00000000-0005-0000-0000-0000F0050000}"/>
    <cellStyle name="표준 10 11 3 3 2" xfId="7028" xr:uid="{00000000-0005-0000-0000-0000F1050000}"/>
    <cellStyle name="표준 10 11 3 4" xfId="4925" xr:uid="{00000000-0005-0000-0000-0000F2050000}"/>
    <cellStyle name="표준 10 11 3 4 2" xfId="8075" xr:uid="{00000000-0005-0000-0000-0000F3050000}"/>
    <cellStyle name="표준 10 11 3 5" xfId="5981" xr:uid="{00000000-0005-0000-0000-0000F4050000}"/>
    <cellStyle name="표준 10 11 4" xfId="3102" xr:uid="{00000000-0005-0000-0000-0000F5050000}"/>
    <cellStyle name="표준 10 11 4 2" xfId="4149" xr:uid="{00000000-0005-0000-0000-0000F6050000}"/>
    <cellStyle name="표준 10 11 4 2 2" xfId="7299" xr:uid="{00000000-0005-0000-0000-0000F7050000}"/>
    <cellStyle name="표준 10 11 4 3" xfId="5187" xr:uid="{00000000-0005-0000-0000-0000F8050000}"/>
    <cellStyle name="표준 10 11 4 3 2" xfId="8336" xr:uid="{00000000-0005-0000-0000-0000F9050000}"/>
    <cellStyle name="표준 10 11 4 4" xfId="6252" xr:uid="{00000000-0005-0000-0000-0000FA050000}"/>
    <cellStyle name="표준 10 11 5" xfId="3620" xr:uid="{00000000-0005-0000-0000-0000FB050000}"/>
    <cellStyle name="표준 10 11 5 2" xfId="6770" xr:uid="{00000000-0005-0000-0000-0000FC050000}"/>
    <cellStyle name="표준 10 11 6" xfId="4667" xr:uid="{00000000-0005-0000-0000-0000FD050000}"/>
    <cellStyle name="표준 10 11 6 2" xfId="7817" xr:uid="{00000000-0005-0000-0000-0000FE050000}"/>
    <cellStyle name="표준 10 11 7" xfId="5723" xr:uid="{00000000-0005-0000-0000-0000FF050000}"/>
    <cellStyle name="표준 10 12" xfId="1841" xr:uid="{00000000-0005-0000-0000-000000060000}"/>
    <cellStyle name="표준 10 12 2" xfId="2631" xr:uid="{00000000-0005-0000-0000-000001060000}"/>
    <cellStyle name="표준 10 12 2 2" xfId="2855" xr:uid="{00000000-0005-0000-0000-000002060000}"/>
    <cellStyle name="표준 10 12 2 2 2" xfId="3393" xr:uid="{00000000-0005-0000-0000-000003060000}"/>
    <cellStyle name="표준 10 12 2 2 2 2" xfId="4440" xr:uid="{00000000-0005-0000-0000-000004060000}"/>
    <cellStyle name="표준 10 12 2 2 2 2 2" xfId="7590" xr:uid="{00000000-0005-0000-0000-000005060000}"/>
    <cellStyle name="표준 10 12 2 2 2 3" xfId="5478" xr:uid="{00000000-0005-0000-0000-000006060000}"/>
    <cellStyle name="표준 10 12 2 2 2 3 2" xfId="8627" xr:uid="{00000000-0005-0000-0000-000007060000}"/>
    <cellStyle name="표준 10 12 2 2 2 4" xfId="6543" xr:uid="{00000000-0005-0000-0000-000008060000}"/>
    <cellStyle name="표준 10 12 2 2 3" xfId="3911" xr:uid="{00000000-0005-0000-0000-000009060000}"/>
    <cellStyle name="표준 10 12 2 2 3 2" xfId="7061" xr:uid="{00000000-0005-0000-0000-00000A060000}"/>
    <cellStyle name="표준 10 12 2 2 4" xfId="4958" xr:uid="{00000000-0005-0000-0000-00000B060000}"/>
    <cellStyle name="표준 10 12 2 2 4 2" xfId="8108" xr:uid="{00000000-0005-0000-0000-00000C060000}"/>
    <cellStyle name="표준 10 12 2 2 5" xfId="6014" xr:uid="{00000000-0005-0000-0000-00000D060000}"/>
    <cellStyle name="표준 10 12 2 3" xfId="3169" xr:uid="{00000000-0005-0000-0000-00000E060000}"/>
    <cellStyle name="표준 10 12 2 3 2" xfId="4216" xr:uid="{00000000-0005-0000-0000-00000F060000}"/>
    <cellStyle name="표준 10 12 2 3 2 2" xfId="7366" xr:uid="{00000000-0005-0000-0000-000010060000}"/>
    <cellStyle name="표준 10 12 2 3 3" xfId="5254" xr:uid="{00000000-0005-0000-0000-000011060000}"/>
    <cellStyle name="표준 10 12 2 3 3 2" xfId="8403" xr:uid="{00000000-0005-0000-0000-000012060000}"/>
    <cellStyle name="표준 10 12 2 3 4" xfId="6319" xr:uid="{00000000-0005-0000-0000-000013060000}"/>
    <cellStyle name="표준 10 12 2 4" xfId="3687" xr:uid="{00000000-0005-0000-0000-000014060000}"/>
    <cellStyle name="표준 10 12 2 4 2" xfId="6837" xr:uid="{00000000-0005-0000-0000-000015060000}"/>
    <cellStyle name="표준 10 12 2 5" xfId="4734" xr:uid="{00000000-0005-0000-0000-000016060000}"/>
    <cellStyle name="표준 10 12 2 5 2" xfId="7884" xr:uid="{00000000-0005-0000-0000-000017060000}"/>
    <cellStyle name="표준 10 12 2 6" xfId="5790" xr:uid="{00000000-0005-0000-0000-000018060000}"/>
    <cellStyle name="표준 10 12 3" xfId="2760" xr:uid="{00000000-0005-0000-0000-000019060000}"/>
    <cellStyle name="표준 10 12 3 2" xfId="3298" xr:uid="{00000000-0005-0000-0000-00001A060000}"/>
    <cellStyle name="표준 10 12 3 2 2" xfId="4345" xr:uid="{00000000-0005-0000-0000-00001B060000}"/>
    <cellStyle name="표준 10 12 3 2 2 2" xfId="7495" xr:uid="{00000000-0005-0000-0000-00001C060000}"/>
    <cellStyle name="표준 10 12 3 2 3" xfId="5383" xr:uid="{00000000-0005-0000-0000-00001D060000}"/>
    <cellStyle name="표준 10 12 3 2 3 2" xfId="8532" xr:uid="{00000000-0005-0000-0000-00001E060000}"/>
    <cellStyle name="표준 10 12 3 2 4" xfId="6448" xr:uid="{00000000-0005-0000-0000-00001F060000}"/>
    <cellStyle name="표준 10 12 3 3" xfId="3816" xr:uid="{00000000-0005-0000-0000-000020060000}"/>
    <cellStyle name="표준 10 12 3 3 2" xfId="6966" xr:uid="{00000000-0005-0000-0000-000021060000}"/>
    <cellStyle name="표준 10 12 3 4" xfId="4863" xr:uid="{00000000-0005-0000-0000-000022060000}"/>
    <cellStyle name="표준 10 12 3 4 2" xfId="8013" xr:uid="{00000000-0005-0000-0000-000023060000}"/>
    <cellStyle name="표준 10 12 3 5" xfId="5919" xr:uid="{00000000-0005-0000-0000-000024060000}"/>
    <cellStyle name="표준 10 12 4" xfId="3040" xr:uid="{00000000-0005-0000-0000-000025060000}"/>
    <cellStyle name="표준 10 12 4 2" xfId="4087" xr:uid="{00000000-0005-0000-0000-000026060000}"/>
    <cellStyle name="표준 10 12 4 2 2" xfId="7237" xr:uid="{00000000-0005-0000-0000-000027060000}"/>
    <cellStyle name="표준 10 12 4 3" xfId="5125" xr:uid="{00000000-0005-0000-0000-000028060000}"/>
    <cellStyle name="표준 10 12 4 3 2" xfId="8274" xr:uid="{00000000-0005-0000-0000-000029060000}"/>
    <cellStyle name="표준 10 12 4 4" xfId="6190" xr:uid="{00000000-0005-0000-0000-00002A060000}"/>
    <cellStyle name="표준 10 12 5" xfId="3558" xr:uid="{00000000-0005-0000-0000-00002B060000}"/>
    <cellStyle name="표준 10 12 5 2" xfId="6708" xr:uid="{00000000-0005-0000-0000-00002C060000}"/>
    <cellStyle name="표준 10 12 6" xfId="4605" xr:uid="{00000000-0005-0000-0000-00002D060000}"/>
    <cellStyle name="표준 10 12 6 2" xfId="7755" xr:uid="{00000000-0005-0000-0000-00002E060000}"/>
    <cellStyle name="표준 10 12 7" xfId="5661" xr:uid="{00000000-0005-0000-0000-00002F060000}"/>
    <cellStyle name="표준 10 13" xfId="1936" xr:uid="{00000000-0005-0000-0000-000030060000}"/>
    <cellStyle name="표준 10 14" xfId="2598" xr:uid="{00000000-0005-0000-0000-000031060000}"/>
    <cellStyle name="표준 10 14 2" xfId="2856" xr:uid="{00000000-0005-0000-0000-000032060000}"/>
    <cellStyle name="표준 10 14 2 2" xfId="3394" xr:uid="{00000000-0005-0000-0000-000033060000}"/>
    <cellStyle name="표준 10 14 2 2 2" xfId="4441" xr:uid="{00000000-0005-0000-0000-000034060000}"/>
    <cellStyle name="표준 10 14 2 2 2 2" xfId="7591" xr:uid="{00000000-0005-0000-0000-000035060000}"/>
    <cellStyle name="표준 10 14 2 2 3" xfId="5479" xr:uid="{00000000-0005-0000-0000-000036060000}"/>
    <cellStyle name="표준 10 14 2 2 3 2" xfId="8628" xr:uid="{00000000-0005-0000-0000-000037060000}"/>
    <cellStyle name="표준 10 14 2 2 4" xfId="6544" xr:uid="{00000000-0005-0000-0000-000038060000}"/>
    <cellStyle name="표준 10 14 2 3" xfId="3912" xr:uid="{00000000-0005-0000-0000-000039060000}"/>
    <cellStyle name="표준 10 14 2 3 2" xfId="7062" xr:uid="{00000000-0005-0000-0000-00003A060000}"/>
    <cellStyle name="표준 10 14 2 4" xfId="4959" xr:uid="{00000000-0005-0000-0000-00003B060000}"/>
    <cellStyle name="표준 10 14 2 4 2" xfId="8109" xr:uid="{00000000-0005-0000-0000-00003C060000}"/>
    <cellStyle name="표준 10 14 2 5" xfId="6015" xr:uid="{00000000-0005-0000-0000-00003D060000}"/>
    <cellStyle name="표준 10 14 3" xfId="3136" xr:uid="{00000000-0005-0000-0000-00003E060000}"/>
    <cellStyle name="표준 10 14 3 2" xfId="4183" xr:uid="{00000000-0005-0000-0000-00003F060000}"/>
    <cellStyle name="표준 10 14 3 2 2" xfId="7333" xr:uid="{00000000-0005-0000-0000-000040060000}"/>
    <cellStyle name="표준 10 14 3 3" xfId="5221" xr:uid="{00000000-0005-0000-0000-000041060000}"/>
    <cellStyle name="표준 10 14 3 3 2" xfId="8370" xr:uid="{00000000-0005-0000-0000-000042060000}"/>
    <cellStyle name="표준 10 14 3 4" xfId="6286" xr:uid="{00000000-0005-0000-0000-000043060000}"/>
    <cellStyle name="표준 10 14 4" xfId="3654" xr:uid="{00000000-0005-0000-0000-000044060000}"/>
    <cellStyle name="표준 10 14 4 2" xfId="6804" xr:uid="{00000000-0005-0000-0000-000045060000}"/>
    <cellStyle name="표준 10 14 5" xfId="4701" xr:uid="{00000000-0005-0000-0000-000046060000}"/>
    <cellStyle name="표준 10 14 5 2" xfId="7851" xr:uid="{00000000-0005-0000-0000-000047060000}"/>
    <cellStyle name="표준 10 14 6" xfId="5757" xr:uid="{00000000-0005-0000-0000-000048060000}"/>
    <cellStyle name="표준 10 15" xfId="2727" xr:uid="{00000000-0005-0000-0000-000049060000}"/>
    <cellStyle name="표준 10 15 2" xfId="3265" xr:uid="{00000000-0005-0000-0000-00004A060000}"/>
    <cellStyle name="표준 10 15 2 2" xfId="4312" xr:uid="{00000000-0005-0000-0000-00004B060000}"/>
    <cellStyle name="표준 10 15 2 2 2" xfId="7462" xr:uid="{00000000-0005-0000-0000-00004C060000}"/>
    <cellStyle name="표준 10 15 2 3" xfId="5350" xr:uid="{00000000-0005-0000-0000-00004D060000}"/>
    <cellStyle name="표준 10 15 2 3 2" xfId="8499" xr:uid="{00000000-0005-0000-0000-00004E060000}"/>
    <cellStyle name="표준 10 15 2 4" xfId="6415" xr:uid="{00000000-0005-0000-0000-00004F060000}"/>
    <cellStyle name="표준 10 15 3" xfId="3783" xr:uid="{00000000-0005-0000-0000-000050060000}"/>
    <cellStyle name="표준 10 15 3 2" xfId="6933" xr:uid="{00000000-0005-0000-0000-000051060000}"/>
    <cellStyle name="표준 10 15 4" xfId="4830" xr:uid="{00000000-0005-0000-0000-000052060000}"/>
    <cellStyle name="표준 10 15 4 2" xfId="7980" xr:uid="{00000000-0005-0000-0000-000053060000}"/>
    <cellStyle name="표준 10 15 5" xfId="5886" xr:uid="{00000000-0005-0000-0000-000054060000}"/>
    <cellStyle name="표준 10 16" xfId="3007" xr:uid="{00000000-0005-0000-0000-000055060000}"/>
    <cellStyle name="표준 10 16 2" xfId="4054" xr:uid="{00000000-0005-0000-0000-000056060000}"/>
    <cellStyle name="표준 10 16 2 2" xfId="7204" xr:uid="{00000000-0005-0000-0000-000057060000}"/>
    <cellStyle name="표준 10 16 3" xfId="5092" xr:uid="{00000000-0005-0000-0000-000058060000}"/>
    <cellStyle name="표준 10 16 3 2" xfId="8241" xr:uid="{00000000-0005-0000-0000-000059060000}"/>
    <cellStyle name="표준 10 16 4" xfId="6157" xr:uid="{00000000-0005-0000-0000-00005A060000}"/>
    <cellStyle name="표준 10 17" xfId="3525" xr:uid="{00000000-0005-0000-0000-00005B060000}"/>
    <cellStyle name="표준 10 17 2" xfId="6675" xr:uid="{00000000-0005-0000-0000-00005C060000}"/>
    <cellStyle name="표준 10 18" xfId="4572" xr:uid="{00000000-0005-0000-0000-00005D060000}"/>
    <cellStyle name="표준 10 18 2" xfId="7722" xr:uid="{00000000-0005-0000-0000-00005E060000}"/>
    <cellStyle name="표준 10 19" xfId="5628" xr:uid="{00000000-0005-0000-0000-00005F060000}"/>
    <cellStyle name="표준 10 2" xfId="148" xr:uid="{00000000-0005-0000-0000-000060060000}"/>
    <cellStyle name="표준 10 2 10" xfId="5636" xr:uid="{00000000-0005-0000-0000-000061060000}"/>
    <cellStyle name="표준 10 2 11" xfId="461" xr:uid="{00000000-0005-0000-0000-000062060000}"/>
    <cellStyle name="표준 10 2 13" xfId="8762" xr:uid="{00000000-0005-0000-0000-000063060000}"/>
    <cellStyle name="표준 10 2 2" xfId="1878" xr:uid="{00000000-0005-0000-0000-000064060000}"/>
    <cellStyle name="표준 10 2 2 2" xfId="2668" xr:uid="{00000000-0005-0000-0000-000065060000}"/>
    <cellStyle name="표준 10 2 2 2 2" xfId="2857" xr:uid="{00000000-0005-0000-0000-000066060000}"/>
    <cellStyle name="표준 10 2 2 2 2 2" xfId="3395" xr:uid="{00000000-0005-0000-0000-000067060000}"/>
    <cellStyle name="표준 10 2 2 2 2 2 2" xfId="4442" xr:uid="{00000000-0005-0000-0000-000068060000}"/>
    <cellStyle name="표준 10 2 2 2 2 2 2 2" xfId="7592" xr:uid="{00000000-0005-0000-0000-000069060000}"/>
    <cellStyle name="표준 10 2 2 2 2 2 3" xfId="5480" xr:uid="{00000000-0005-0000-0000-00006A060000}"/>
    <cellStyle name="표준 10 2 2 2 2 2 3 2" xfId="8629" xr:uid="{00000000-0005-0000-0000-00006B060000}"/>
    <cellStyle name="표준 10 2 2 2 2 2 4" xfId="6545" xr:uid="{00000000-0005-0000-0000-00006C060000}"/>
    <cellStyle name="표준 10 2 2 2 2 3" xfId="3913" xr:uid="{00000000-0005-0000-0000-00006D060000}"/>
    <cellStyle name="표준 10 2 2 2 2 3 2" xfId="7063" xr:uid="{00000000-0005-0000-0000-00006E060000}"/>
    <cellStyle name="표준 10 2 2 2 2 4" xfId="4960" xr:uid="{00000000-0005-0000-0000-00006F060000}"/>
    <cellStyle name="표준 10 2 2 2 2 4 2" xfId="8110" xr:uid="{00000000-0005-0000-0000-000070060000}"/>
    <cellStyle name="표준 10 2 2 2 2 5" xfId="6016" xr:uid="{00000000-0005-0000-0000-000071060000}"/>
    <cellStyle name="표준 10 2 2 2 3" xfId="3206" xr:uid="{00000000-0005-0000-0000-000072060000}"/>
    <cellStyle name="표준 10 2 2 2 3 2" xfId="4253" xr:uid="{00000000-0005-0000-0000-000073060000}"/>
    <cellStyle name="표준 10 2 2 2 3 2 2" xfId="7403" xr:uid="{00000000-0005-0000-0000-000074060000}"/>
    <cellStyle name="표준 10 2 2 2 3 3" xfId="5291" xr:uid="{00000000-0005-0000-0000-000075060000}"/>
    <cellStyle name="표준 10 2 2 2 3 3 2" xfId="8440" xr:uid="{00000000-0005-0000-0000-000076060000}"/>
    <cellStyle name="표준 10 2 2 2 3 4" xfId="6356" xr:uid="{00000000-0005-0000-0000-000077060000}"/>
    <cellStyle name="표준 10 2 2 2 4" xfId="3724" xr:uid="{00000000-0005-0000-0000-000078060000}"/>
    <cellStyle name="표준 10 2 2 2 4 2" xfId="6874" xr:uid="{00000000-0005-0000-0000-000079060000}"/>
    <cellStyle name="표준 10 2 2 2 5" xfId="4771" xr:uid="{00000000-0005-0000-0000-00007A060000}"/>
    <cellStyle name="표준 10 2 2 2 5 2" xfId="7921" xr:uid="{00000000-0005-0000-0000-00007B060000}"/>
    <cellStyle name="표준 10 2 2 2 6" xfId="5827" xr:uid="{00000000-0005-0000-0000-00007C060000}"/>
    <cellStyle name="표준 10 2 2 3" xfId="2797" xr:uid="{00000000-0005-0000-0000-00007D060000}"/>
    <cellStyle name="표준 10 2 2 3 2" xfId="3335" xr:uid="{00000000-0005-0000-0000-00007E060000}"/>
    <cellStyle name="표준 10 2 2 3 2 2" xfId="4382" xr:uid="{00000000-0005-0000-0000-00007F060000}"/>
    <cellStyle name="표준 10 2 2 3 2 2 2" xfId="7532" xr:uid="{00000000-0005-0000-0000-000080060000}"/>
    <cellStyle name="표준 10 2 2 3 2 3" xfId="5420" xr:uid="{00000000-0005-0000-0000-000081060000}"/>
    <cellStyle name="표준 10 2 2 3 2 3 2" xfId="8569" xr:uid="{00000000-0005-0000-0000-000082060000}"/>
    <cellStyle name="표준 10 2 2 3 2 4" xfId="6485" xr:uid="{00000000-0005-0000-0000-000083060000}"/>
    <cellStyle name="표준 10 2 2 3 3" xfId="3853" xr:uid="{00000000-0005-0000-0000-000084060000}"/>
    <cellStyle name="표준 10 2 2 3 3 2" xfId="7003" xr:uid="{00000000-0005-0000-0000-000085060000}"/>
    <cellStyle name="표준 10 2 2 3 4" xfId="4900" xr:uid="{00000000-0005-0000-0000-000086060000}"/>
    <cellStyle name="표준 10 2 2 3 4 2" xfId="8050" xr:uid="{00000000-0005-0000-0000-000087060000}"/>
    <cellStyle name="표준 10 2 2 3 5" xfId="5956" xr:uid="{00000000-0005-0000-0000-000088060000}"/>
    <cellStyle name="표준 10 2 2 4" xfId="3077" xr:uid="{00000000-0005-0000-0000-000089060000}"/>
    <cellStyle name="표준 10 2 2 4 2" xfId="4124" xr:uid="{00000000-0005-0000-0000-00008A060000}"/>
    <cellStyle name="표준 10 2 2 4 2 2" xfId="7274" xr:uid="{00000000-0005-0000-0000-00008B060000}"/>
    <cellStyle name="표준 10 2 2 4 3" xfId="5162" xr:uid="{00000000-0005-0000-0000-00008C060000}"/>
    <cellStyle name="표준 10 2 2 4 3 2" xfId="8311" xr:uid="{00000000-0005-0000-0000-00008D060000}"/>
    <cellStyle name="표준 10 2 2 4 4" xfId="6227" xr:uid="{00000000-0005-0000-0000-00008E060000}"/>
    <cellStyle name="표준 10 2 2 5" xfId="3595" xr:uid="{00000000-0005-0000-0000-00008F060000}"/>
    <cellStyle name="표준 10 2 2 5 2" xfId="6745" xr:uid="{00000000-0005-0000-0000-000090060000}"/>
    <cellStyle name="표준 10 2 2 6" xfId="4642" xr:uid="{00000000-0005-0000-0000-000091060000}"/>
    <cellStyle name="표준 10 2 2 6 2" xfId="7792" xr:uid="{00000000-0005-0000-0000-000092060000}"/>
    <cellStyle name="표준 10 2 2 7" xfId="5698" xr:uid="{00000000-0005-0000-0000-000093060000}"/>
    <cellStyle name="표준 10 2 3" xfId="1911" xr:uid="{00000000-0005-0000-0000-000094060000}"/>
    <cellStyle name="표준 10 2 3 2" xfId="2701" xr:uid="{00000000-0005-0000-0000-000095060000}"/>
    <cellStyle name="표준 10 2 3 2 2" xfId="2858" xr:uid="{00000000-0005-0000-0000-000096060000}"/>
    <cellStyle name="표준 10 2 3 2 2 2" xfId="3396" xr:uid="{00000000-0005-0000-0000-000097060000}"/>
    <cellStyle name="표준 10 2 3 2 2 2 2" xfId="4443" xr:uid="{00000000-0005-0000-0000-000098060000}"/>
    <cellStyle name="표준 10 2 3 2 2 2 2 2" xfId="7593" xr:uid="{00000000-0005-0000-0000-000099060000}"/>
    <cellStyle name="표준 10 2 3 2 2 2 3" xfId="5481" xr:uid="{00000000-0005-0000-0000-00009A060000}"/>
    <cellStyle name="표준 10 2 3 2 2 2 3 2" xfId="8630" xr:uid="{00000000-0005-0000-0000-00009B060000}"/>
    <cellStyle name="표준 10 2 3 2 2 2 4" xfId="6546" xr:uid="{00000000-0005-0000-0000-00009C060000}"/>
    <cellStyle name="표준 10 2 3 2 2 3" xfId="3914" xr:uid="{00000000-0005-0000-0000-00009D060000}"/>
    <cellStyle name="표준 10 2 3 2 2 3 2" xfId="7064" xr:uid="{00000000-0005-0000-0000-00009E060000}"/>
    <cellStyle name="표준 10 2 3 2 2 4" xfId="4961" xr:uid="{00000000-0005-0000-0000-00009F060000}"/>
    <cellStyle name="표준 10 2 3 2 2 4 2" xfId="8111" xr:uid="{00000000-0005-0000-0000-0000A0060000}"/>
    <cellStyle name="표준 10 2 3 2 2 5" xfId="6017" xr:uid="{00000000-0005-0000-0000-0000A1060000}"/>
    <cellStyle name="표준 10 2 3 2 3" xfId="3239" xr:uid="{00000000-0005-0000-0000-0000A2060000}"/>
    <cellStyle name="표준 10 2 3 2 3 2" xfId="4286" xr:uid="{00000000-0005-0000-0000-0000A3060000}"/>
    <cellStyle name="표준 10 2 3 2 3 2 2" xfId="7436" xr:uid="{00000000-0005-0000-0000-0000A4060000}"/>
    <cellStyle name="표준 10 2 3 2 3 3" xfId="5324" xr:uid="{00000000-0005-0000-0000-0000A5060000}"/>
    <cellStyle name="표준 10 2 3 2 3 3 2" xfId="8473" xr:uid="{00000000-0005-0000-0000-0000A6060000}"/>
    <cellStyle name="표준 10 2 3 2 3 4" xfId="6389" xr:uid="{00000000-0005-0000-0000-0000A7060000}"/>
    <cellStyle name="표준 10 2 3 2 4" xfId="3757" xr:uid="{00000000-0005-0000-0000-0000A8060000}"/>
    <cellStyle name="표준 10 2 3 2 4 2" xfId="6907" xr:uid="{00000000-0005-0000-0000-0000A9060000}"/>
    <cellStyle name="표준 10 2 3 2 5" xfId="4804" xr:uid="{00000000-0005-0000-0000-0000AA060000}"/>
    <cellStyle name="표준 10 2 3 2 5 2" xfId="7954" xr:uid="{00000000-0005-0000-0000-0000AB060000}"/>
    <cellStyle name="표준 10 2 3 2 6" xfId="5860" xr:uid="{00000000-0005-0000-0000-0000AC060000}"/>
    <cellStyle name="표준 10 2 3 3" xfId="2830" xr:uid="{00000000-0005-0000-0000-0000AD060000}"/>
    <cellStyle name="표준 10 2 3 3 2" xfId="3368" xr:uid="{00000000-0005-0000-0000-0000AE060000}"/>
    <cellStyle name="표준 10 2 3 3 2 2" xfId="4415" xr:uid="{00000000-0005-0000-0000-0000AF060000}"/>
    <cellStyle name="표준 10 2 3 3 2 2 2" xfId="7565" xr:uid="{00000000-0005-0000-0000-0000B0060000}"/>
    <cellStyle name="표준 10 2 3 3 2 3" xfId="5453" xr:uid="{00000000-0005-0000-0000-0000B1060000}"/>
    <cellStyle name="표준 10 2 3 3 2 3 2" xfId="8602" xr:uid="{00000000-0005-0000-0000-0000B2060000}"/>
    <cellStyle name="표준 10 2 3 3 2 4" xfId="6518" xr:uid="{00000000-0005-0000-0000-0000B3060000}"/>
    <cellStyle name="표준 10 2 3 3 3" xfId="3886" xr:uid="{00000000-0005-0000-0000-0000B4060000}"/>
    <cellStyle name="표준 10 2 3 3 3 2" xfId="7036" xr:uid="{00000000-0005-0000-0000-0000B5060000}"/>
    <cellStyle name="표준 10 2 3 3 4" xfId="4933" xr:uid="{00000000-0005-0000-0000-0000B6060000}"/>
    <cellStyle name="표준 10 2 3 3 4 2" xfId="8083" xr:uid="{00000000-0005-0000-0000-0000B7060000}"/>
    <cellStyle name="표준 10 2 3 3 5" xfId="5989" xr:uid="{00000000-0005-0000-0000-0000B8060000}"/>
    <cellStyle name="표준 10 2 3 4" xfId="3110" xr:uid="{00000000-0005-0000-0000-0000B9060000}"/>
    <cellStyle name="표준 10 2 3 4 2" xfId="4157" xr:uid="{00000000-0005-0000-0000-0000BA060000}"/>
    <cellStyle name="표준 10 2 3 4 2 2" xfId="7307" xr:uid="{00000000-0005-0000-0000-0000BB060000}"/>
    <cellStyle name="표준 10 2 3 4 3" xfId="5195" xr:uid="{00000000-0005-0000-0000-0000BC060000}"/>
    <cellStyle name="표준 10 2 3 4 3 2" xfId="8344" xr:uid="{00000000-0005-0000-0000-0000BD060000}"/>
    <cellStyle name="표준 10 2 3 4 4" xfId="6260" xr:uid="{00000000-0005-0000-0000-0000BE060000}"/>
    <cellStyle name="표준 10 2 3 5" xfId="3628" xr:uid="{00000000-0005-0000-0000-0000BF060000}"/>
    <cellStyle name="표준 10 2 3 5 2" xfId="6778" xr:uid="{00000000-0005-0000-0000-0000C0060000}"/>
    <cellStyle name="표준 10 2 3 6" xfId="4675" xr:uid="{00000000-0005-0000-0000-0000C1060000}"/>
    <cellStyle name="표준 10 2 3 6 2" xfId="7825" xr:uid="{00000000-0005-0000-0000-0000C2060000}"/>
    <cellStyle name="표준 10 2 3 7" xfId="5731" xr:uid="{00000000-0005-0000-0000-0000C3060000}"/>
    <cellStyle name="표준 10 2 4" xfId="1845" xr:uid="{00000000-0005-0000-0000-0000C4060000}"/>
    <cellStyle name="표준 10 2 4 2" xfId="2635" xr:uid="{00000000-0005-0000-0000-0000C5060000}"/>
    <cellStyle name="표준 10 2 4 2 2" xfId="2859" xr:uid="{00000000-0005-0000-0000-0000C6060000}"/>
    <cellStyle name="표준 10 2 4 2 2 2" xfId="3397" xr:uid="{00000000-0005-0000-0000-0000C7060000}"/>
    <cellStyle name="표준 10 2 4 2 2 2 2" xfId="4444" xr:uid="{00000000-0005-0000-0000-0000C8060000}"/>
    <cellStyle name="표준 10 2 4 2 2 2 2 2" xfId="7594" xr:uid="{00000000-0005-0000-0000-0000C9060000}"/>
    <cellStyle name="표준 10 2 4 2 2 2 3" xfId="5482" xr:uid="{00000000-0005-0000-0000-0000CA060000}"/>
    <cellStyle name="표준 10 2 4 2 2 2 3 2" xfId="8631" xr:uid="{00000000-0005-0000-0000-0000CB060000}"/>
    <cellStyle name="표준 10 2 4 2 2 2 4" xfId="6547" xr:uid="{00000000-0005-0000-0000-0000CC060000}"/>
    <cellStyle name="표준 10 2 4 2 2 3" xfId="3915" xr:uid="{00000000-0005-0000-0000-0000CD060000}"/>
    <cellStyle name="표준 10 2 4 2 2 3 2" xfId="7065" xr:uid="{00000000-0005-0000-0000-0000CE060000}"/>
    <cellStyle name="표준 10 2 4 2 2 4" xfId="4962" xr:uid="{00000000-0005-0000-0000-0000CF060000}"/>
    <cellStyle name="표준 10 2 4 2 2 4 2" xfId="8112" xr:uid="{00000000-0005-0000-0000-0000D0060000}"/>
    <cellStyle name="표준 10 2 4 2 2 5" xfId="6018" xr:uid="{00000000-0005-0000-0000-0000D1060000}"/>
    <cellStyle name="표준 10 2 4 2 3" xfId="3173" xr:uid="{00000000-0005-0000-0000-0000D2060000}"/>
    <cellStyle name="표준 10 2 4 2 3 2" xfId="4220" xr:uid="{00000000-0005-0000-0000-0000D3060000}"/>
    <cellStyle name="표준 10 2 4 2 3 2 2" xfId="7370" xr:uid="{00000000-0005-0000-0000-0000D4060000}"/>
    <cellStyle name="표준 10 2 4 2 3 3" xfId="5258" xr:uid="{00000000-0005-0000-0000-0000D5060000}"/>
    <cellStyle name="표준 10 2 4 2 3 3 2" xfId="8407" xr:uid="{00000000-0005-0000-0000-0000D6060000}"/>
    <cellStyle name="표준 10 2 4 2 3 4" xfId="6323" xr:uid="{00000000-0005-0000-0000-0000D7060000}"/>
    <cellStyle name="표준 10 2 4 2 4" xfId="3691" xr:uid="{00000000-0005-0000-0000-0000D8060000}"/>
    <cellStyle name="표준 10 2 4 2 4 2" xfId="6841" xr:uid="{00000000-0005-0000-0000-0000D9060000}"/>
    <cellStyle name="표준 10 2 4 2 5" xfId="4738" xr:uid="{00000000-0005-0000-0000-0000DA060000}"/>
    <cellStyle name="표준 10 2 4 2 5 2" xfId="7888" xr:uid="{00000000-0005-0000-0000-0000DB060000}"/>
    <cellStyle name="표준 10 2 4 2 6" xfId="5794" xr:uid="{00000000-0005-0000-0000-0000DC060000}"/>
    <cellStyle name="표준 10 2 4 3" xfId="2764" xr:uid="{00000000-0005-0000-0000-0000DD060000}"/>
    <cellStyle name="표준 10 2 4 3 2" xfId="3302" xr:uid="{00000000-0005-0000-0000-0000DE060000}"/>
    <cellStyle name="표준 10 2 4 3 2 2" xfId="4349" xr:uid="{00000000-0005-0000-0000-0000DF060000}"/>
    <cellStyle name="표준 10 2 4 3 2 2 2" xfId="7499" xr:uid="{00000000-0005-0000-0000-0000E0060000}"/>
    <cellStyle name="표준 10 2 4 3 2 3" xfId="5387" xr:uid="{00000000-0005-0000-0000-0000E1060000}"/>
    <cellStyle name="표준 10 2 4 3 2 3 2" xfId="8536" xr:uid="{00000000-0005-0000-0000-0000E2060000}"/>
    <cellStyle name="표준 10 2 4 3 2 4" xfId="6452" xr:uid="{00000000-0005-0000-0000-0000E3060000}"/>
    <cellStyle name="표준 10 2 4 3 3" xfId="3820" xr:uid="{00000000-0005-0000-0000-0000E4060000}"/>
    <cellStyle name="표준 10 2 4 3 3 2" xfId="6970" xr:uid="{00000000-0005-0000-0000-0000E5060000}"/>
    <cellStyle name="표준 10 2 4 3 4" xfId="4867" xr:uid="{00000000-0005-0000-0000-0000E6060000}"/>
    <cellStyle name="표준 10 2 4 3 4 2" xfId="8017" xr:uid="{00000000-0005-0000-0000-0000E7060000}"/>
    <cellStyle name="표준 10 2 4 3 5" xfId="5923" xr:uid="{00000000-0005-0000-0000-0000E8060000}"/>
    <cellStyle name="표준 10 2 4 4" xfId="3044" xr:uid="{00000000-0005-0000-0000-0000E9060000}"/>
    <cellStyle name="표준 10 2 4 4 2" xfId="4091" xr:uid="{00000000-0005-0000-0000-0000EA060000}"/>
    <cellStyle name="표준 10 2 4 4 2 2" xfId="7241" xr:uid="{00000000-0005-0000-0000-0000EB060000}"/>
    <cellStyle name="표준 10 2 4 4 3" xfId="5129" xr:uid="{00000000-0005-0000-0000-0000EC060000}"/>
    <cellStyle name="표준 10 2 4 4 3 2" xfId="8278" xr:uid="{00000000-0005-0000-0000-0000ED060000}"/>
    <cellStyle name="표준 10 2 4 4 4" xfId="6194" xr:uid="{00000000-0005-0000-0000-0000EE060000}"/>
    <cellStyle name="표준 10 2 4 5" xfId="3562" xr:uid="{00000000-0005-0000-0000-0000EF060000}"/>
    <cellStyle name="표준 10 2 4 5 2" xfId="6712" xr:uid="{00000000-0005-0000-0000-0000F0060000}"/>
    <cellStyle name="표준 10 2 4 6" xfId="4609" xr:uid="{00000000-0005-0000-0000-0000F1060000}"/>
    <cellStyle name="표준 10 2 4 6 2" xfId="7759" xr:uid="{00000000-0005-0000-0000-0000F2060000}"/>
    <cellStyle name="표준 10 2 4 7" xfId="5665" xr:uid="{00000000-0005-0000-0000-0000F3060000}"/>
    <cellStyle name="표준 10 2 5" xfId="2606" xr:uid="{00000000-0005-0000-0000-0000F4060000}"/>
    <cellStyle name="표준 10 2 5 2" xfId="2860" xr:uid="{00000000-0005-0000-0000-0000F5060000}"/>
    <cellStyle name="표준 10 2 5 2 2" xfId="3398" xr:uid="{00000000-0005-0000-0000-0000F6060000}"/>
    <cellStyle name="표준 10 2 5 2 2 2" xfId="4445" xr:uid="{00000000-0005-0000-0000-0000F7060000}"/>
    <cellStyle name="표준 10 2 5 2 2 2 2" xfId="7595" xr:uid="{00000000-0005-0000-0000-0000F8060000}"/>
    <cellStyle name="표준 10 2 5 2 2 3" xfId="5483" xr:uid="{00000000-0005-0000-0000-0000F9060000}"/>
    <cellStyle name="표준 10 2 5 2 2 3 2" xfId="8632" xr:uid="{00000000-0005-0000-0000-0000FA060000}"/>
    <cellStyle name="표준 10 2 5 2 2 4" xfId="6548" xr:uid="{00000000-0005-0000-0000-0000FB060000}"/>
    <cellStyle name="표준 10 2 5 2 3" xfId="3916" xr:uid="{00000000-0005-0000-0000-0000FC060000}"/>
    <cellStyle name="표준 10 2 5 2 3 2" xfId="7066" xr:uid="{00000000-0005-0000-0000-0000FD060000}"/>
    <cellStyle name="표준 10 2 5 2 4" xfId="4963" xr:uid="{00000000-0005-0000-0000-0000FE060000}"/>
    <cellStyle name="표준 10 2 5 2 4 2" xfId="8113" xr:uid="{00000000-0005-0000-0000-0000FF060000}"/>
    <cellStyle name="표준 10 2 5 2 5" xfId="6019" xr:uid="{00000000-0005-0000-0000-000000070000}"/>
    <cellStyle name="표준 10 2 5 3" xfId="3144" xr:uid="{00000000-0005-0000-0000-000001070000}"/>
    <cellStyle name="표준 10 2 5 3 2" xfId="4191" xr:uid="{00000000-0005-0000-0000-000002070000}"/>
    <cellStyle name="표준 10 2 5 3 2 2" xfId="7341" xr:uid="{00000000-0005-0000-0000-000003070000}"/>
    <cellStyle name="표준 10 2 5 3 3" xfId="5229" xr:uid="{00000000-0005-0000-0000-000004070000}"/>
    <cellStyle name="표준 10 2 5 3 3 2" xfId="8378" xr:uid="{00000000-0005-0000-0000-000005070000}"/>
    <cellStyle name="표준 10 2 5 3 4" xfId="6294" xr:uid="{00000000-0005-0000-0000-000006070000}"/>
    <cellStyle name="표준 10 2 5 4" xfId="3662" xr:uid="{00000000-0005-0000-0000-000007070000}"/>
    <cellStyle name="표준 10 2 5 4 2" xfId="6812" xr:uid="{00000000-0005-0000-0000-000008070000}"/>
    <cellStyle name="표준 10 2 5 5" xfId="4709" xr:uid="{00000000-0005-0000-0000-000009070000}"/>
    <cellStyle name="표준 10 2 5 5 2" xfId="7859" xr:uid="{00000000-0005-0000-0000-00000A070000}"/>
    <cellStyle name="표준 10 2 5 6" xfId="5765" xr:uid="{00000000-0005-0000-0000-00000B070000}"/>
    <cellStyle name="표준 10 2 6" xfId="2735" xr:uid="{00000000-0005-0000-0000-00000C070000}"/>
    <cellStyle name="표준 10 2 6 2" xfId="3273" xr:uid="{00000000-0005-0000-0000-00000D070000}"/>
    <cellStyle name="표준 10 2 6 2 2" xfId="4320" xr:uid="{00000000-0005-0000-0000-00000E070000}"/>
    <cellStyle name="표준 10 2 6 2 2 2" xfId="7470" xr:uid="{00000000-0005-0000-0000-00000F070000}"/>
    <cellStyle name="표준 10 2 6 2 3" xfId="5358" xr:uid="{00000000-0005-0000-0000-000010070000}"/>
    <cellStyle name="표준 10 2 6 2 3 2" xfId="8507" xr:uid="{00000000-0005-0000-0000-000011070000}"/>
    <cellStyle name="표준 10 2 6 2 4" xfId="6423" xr:uid="{00000000-0005-0000-0000-000012070000}"/>
    <cellStyle name="표준 10 2 6 3" xfId="3791" xr:uid="{00000000-0005-0000-0000-000013070000}"/>
    <cellStyle name="표준 10 2 6 3 2" xfId="6941" xr:uid="{00000000-0005-0000-0000-000014070000}"/>
    <cellStyle name="표준 10 2 6 4" xfId="4838" xr:uid="{00000000-0005-0000-0000-000015070000}"/>
    <cellStyle name="표준 10 2 6 4 2" xfId="7988" xr:uid="{00000000-0005-0000-0000-000016070000}"/>
    <cellStyle name="표준 10 2 6 5" xfId="5894" xr:uid="{00000000-0005-0000-0000-000017070000}"/>
    <cellStyle name="표준 10 2 7" xfId="3015" xr:uid="{00000000-0005-0000-0000-000018070000}"/>
    <cellStyle name="표준 10 2 7 2" xfId="4062" xr:uid="{00000000-0005-0000-0000-000019070000}"/>
    <cellStyle name="표준 10 2 7 2 2" xfId="7212" xr:uid="{00000000-0005-0000-0000-00001A070000}"/>
    <cellStyle name="표준 10 2 7 3" xfId="5100" xr:uid="{00000000-0005-0000-0000-00001B070000}"/>
    <cellStyle name="표준 10 2 7 3 2" xfId="8249" xr:uid="{00000000-0005-0000-0000-00001C070000}"/>
    <cellStyle name="표준 10 2 7 4" xfId="6165" xr:uid="{00000000-0005-0000-0000-00001D070000}"/>
    <cellStyle name="표준 10 2 8" xfId="3533" xr:uid="{00000000-0005-0000-0000-00001E070000}"/>
    <cellStyle name="표준 10 2 8 2" xfId="6683" xr:uid="{00000000-0005-0000-0000-00001F070000}"/>
    <cellStyle name="표준 10 2 9" xfId="4580" xr:uid="{00000000-0005-0000-0000-000020070000}"/>
    <cellStyle name="표준 10 2 9 2" xfId="7730" xr:uid="{00000000-0005-0000-0000-000021070000}"/>
    <cellStyle name="표준 10 20" xfId="453" xr:uid="{00000000-0005-0000-0000-000022070000}"/>
    <cellStyle name="표준 10 3" xfId="149" xr:uid="{00000000-0005-0000-0000-000023070000}"/>
    <cellStyle name="표준 10 4" xfId="1816" xr:uid="{00000000-0005-0000-0000-000024070000}"/>
    <cellStyle name="표준 10 4 10" xfId="5640" xr:uid="{00000000-0005-0000-0000-000025070000}"/>
    <cellStyle name="표준 10 4 2" xfId="1882" xr:uid="{00000000-0005-0000-0000-000026070000}"/>
    <cellStyle name="표준 10 4 2 2" xfId="2672" xr:uid="{00000000-0005-0000-0000-000027070000}"/>
    <cellStyle name="표준 10 4 2 2 2" xfId="2861" xr:uid="{00000000-0005-0000-0000-000028070000}"/>
    <cellStyle name="표준 10 4 2 2 2 2" xfId="3399" xr:uid="{00000000-0005-0000-0000-000029070000}"/>
    <cellStyle name="표준 10 4 2 2 2 2 2" xfId="4446" xr:uid="{00000000-0005-0000-0000-00002A070000}"/>
    <cellStyle name="표준 10 4 2 2 2 2 2 2" xfId="7596" xr:uid="{00000000-0005-0000-0000-00002B070000}"/>
    <cellStyle name="표준 10 4 2 2 2 2 3" xfId="5484" xr:uid="{00000000-0005-0000-0000-00002C070000}"/>
    <cellStyle name="표준 10 4 2 2 2 2 3 2" xfId="8633" xr:uid="{00000000-0005-0000-0000-00002D070000}"/>
    <cellStyle name="표준 10 4 2 2 2 2 4" xfId="6549" xr:uid="{00000000-0005-0000-0000-00002E070000}"/>
    <cellStyle name="표준 10 4 2 2 2 3" xfId="3917" xr:uid="{00000000-0005-0000-0000-00002F070000}"/>
    <cellStyle name="표준 10 4 2 2 2 3 2" xfId="7067" xr:uid="{00000000-0005-0000-0000-000030070000}"/>
    <cellStyle name="표준 10 4 2 2 2 4" xfId="4964" xr:uid="{00000000-0005-0000-0000-000031070000}"/>
    <cellStyle name="표준 10 4 2 2 2 4 2" xfId="8114" xr:uid="{00000000-0005-0000-0000-000032070000}"/>
    <cellStyle name="표준 10 4 2 2 2 5" xfId="6020" xr:uid="{00000000-0005-0000-0000-000033070000}"/>
    <cellStyle name="표준 10 4 2 2 3" xfId="3210" xr:uid="{00000000-0005-0000-0000-000034070000}"/>
    <cellStyle name="표준 10 4 2 2 3 2" xfId="4257" xr:uid="{00000000-0005-0000-0000-000035070000}"/>
    <cellStyle name="표준 10 4 2 2 3 2 2" xfId="7407" xr:uid="{00000000-0005-0000-0000-000036070000}"/>
    <cellStyle name="표준 10 4 2 2 3 3" xfId="5295" xr:uid="{00000000-0005-0000-0000-000037070000}"/>
    <cellStyle name="표준 10 4 2 2 3 3 2" xfId="8444" xr:uid="{00000000-0005-0000-0000-000038070000}"/>
    <cellStyle name="표준 10 4 2 2 3 4" xfId="6360" xr:uid="{00000000-0005-0000-0000-000039070000}"/>
    <cellStyle name="표준 10 4 2 2 4" xfId="3728" xr:uid="{00000000-0005-0000-0000-00003A070000}"/>
    <cellStyle name="표준 10 4 2 2 4 2" xfId="6878" xr:uid="{00000000-0005-0000-0000-00003B070000}"/>
    <cellStyle name="표준 10 4 2 2 5" xfId="4775" xr:uid="{00000000-0005-0000-0000-00003C070000}"/>
    <cellStyle name="표준 10 4 2 2 5 2" xfId="7925" xr:uid="{00000000-0005-0000-0000-00003D070000}"/>
    <cellStyle name="표준 10 4 2 2 6" xfId="5831" xr:uid="{00000000-0005-0000-0000-00003E070000}"/>
    <cellStyle name="표준 10 4 2 3" xfId="2801" xr:uid="{00000000-0005-0000-0000-00003F070000}"/>
    <cellStyle name="표준 10 4 2 3 2" xfId="3339" xr:uid="{00000000-0005-0000-0000-000040070000}"/>
    <cellStyle name="표준 10 4 2 3 2 2" xfId="4386" xr:uid="{00000000-0005-0000-0000-000041070000}"/>
    <cellStyle name="표준 10 4 2 3 2 2 2" xfId="7536" xr:uid="{00000000-0005-0000-0000-000042070000}"/>
    <cellStyle name="표준 10 4 2 3 2 3" xfId="5424" xr:uid="{00000000-0005-0000-0000-000043070000}"/>
    <cellStyle name="표준 10 4 2 3 2 3 2" xfId="8573" xr:uid="{00000000-0005-0000-0000-000044070000}"/>
    <cellStyle name="표준 10 4 2 3 2 4" xfId="6489" xr:uid="{00000000-0005-0000-0000-000045070000}"/>
    <cellStyle name="표준 10 4 2 3 3" xfId="3857" xr:uid="{00000000-0005-0000-0000-000046070000}"/>
    <cellStyle name="표준 10 4 2 3 3 2" xfId="7007" xr:uid="{00000000-0005-0000-0000-000047070000}"/>
    <cellStyle name="표준 10 4 2 3 4" xfId="4904" xr:uid="{00000000-0005-0000-0000-000048070000}"/>
    <cellStyle name="표준 10 4 2 3 4 2" xfId="8054" xr:uid="{00000000-0005-0000-0000-000049070000}"/>
    <cellStyle name="표준 10 4 2 3 5" xfId="5960" xr:uid="{00000000-0005-0000-0000-00004A070000}"/>
    <cellStyle name="표준 10 4 2 4" xfId="3081" xr:uid="{00000000-0005-0000-0000-00004B070000}"/>
    <cellStyle name="표준 10 4 2 4 2" xfId="4128" xr:uid="{00000000-0005-0000-0000-00004C070000}"/>
    <cellStyle name="표준 10 4 2 4 2 2" xfId="7278" xr:uid="{00000000-0005-0000-0000-00004D070000}"/>
    <cellStyle name="표준 10 4 2 4 3" xfId="5166" xr:uid="{00000000-0005-0000-0000-00004E070000}"/>
    <cellStyle name="표준 10 4 2 4 3 2" xfId="8315" xr:uid="{00000000-0005-0000-0000-00004F070000}"/>
    <cellStyle name="표준 10 4 2 4 4" xfId="6231" xr:uid="{00000000-0005-0000-0000-000050070000}"/>
    <cellStyle name="표준 10 4 2 5" xfId="3599" xr:uid="{00000000-0005-0000-0000-000051070000}"/>
    <cellStyle name="표준 10 4 2 5 2" xfId="6749" xr:uid="{00000000-0005-0000-0000-000052070000}"/>
    <cellStyle name="표준 10 4 2 6" xfId="4646" xr:uid="{00000000-0005-0000-0000-000053070000}"/>
    <cellStyle name="표준 10 4 2 6 2" xfId="7796" xr:uid="{00000000-0005-0000-0000-000054070000}"/>
    <cellStyle name="표준 10 4 2 7" xfId="5702" xr:uid="{00000000-0005-0000-0000-000055070000}"/>
    <cellStyle name="표준 10 4 3" xfId="1915" xr:uid="{00000000-0005-0000-0000-000056070000}"/>
    <cellStyle name="표준 10 4 3 2" xfId="2705" xr:uid="{00000000-0005-0000-0000-000057070000}"/>
    <cellStyle name="표준 10 4 3 2 2" xfId="2862" xr:uid="{00000000-0005-0000-0000-000058070000}"/>
    <cellStyle name="표준 10 4 3 2 2 2" xfId="3400" xr:uid="{00000000-0005-0000-0000-000059070000}"/>
    <cellStyle name="표준 10 4 3 2 2 2 2" xfId="4447" xr:uid="{00000000-0005-0000-0000-00005A070000}"/>
    <cellStyle name="표준 10 4 3 2 2 2 2 2" xfId="7597" xr:uid="{00000000-0005-0000-0000-00005B070000}"/>
    <cellStyle name="표준 10 4 3 2 2 2 3" xfId="5485" xr:uid="{00000000-0005-0000-0000-00005C070000}"/>
    <cellStyle name="표준 10 4 3 2 2 2 3 2" xfId="8634" xr:uid="{00000000-0005-0000-0000-00005D070000}"/>
    <cellStyle name="표준 10 4 3 2 2 2 4" xfId="6550" xr:uid="{00000000-0005-0000-0000-00005E070000}"/>
    <cellStyle name="표준 10 4 3 2 2 3" xfId="3918" xr:uid="{00000000-0005-0000-0000-00005F070000}"/>
    <cellStyle name="표준 10 4 3 2 2 3 2" xfId="7068" xr:uid="{00000000-0005-0000-0000-000060070000}"/>
    <cellStyle name="표준 10 4 3 2 2 4" xfId="4965" xr:uid="{00000000-0005-0000-0000-000061070000}"/>
    <cellStyle name="표준 10 4 3 2 2 4 2" xfId="8115" xr:uid="{00000000-0005-0000-0000-000062070000}"/>
    <cellStyle name="표준 10 4 3 2 2 5" xfId="6021" xr:uid="{00000000-0005-0000-0000-000063070000}"/>
    <cellStyle name="표준 10 4 3 2 3" xfId="3243" xr:uid="{00000000-0005-0000-0000-000064070000}"/>
    <cellStyle name="표준 10 4 3 2 3 2" xfId="4290" xr:uid="{00000000-0005-0000-0000-000065070000}"/>
    <cellStyle name="표준 10 4 3 2 3 2 2" xfId="7440" xr:uid="{00000000-0005-0000-0000-000066070000}"/>
    <cellStyle name="표준 10 4 3 2 3 3" xfId="5328" xr:uid="{00000000-0005-0000-0000-000067070000}"/>
    <cellStyle name="표준 10 4 3 2 3 3 2" xfId="8477" xr:uid="{00000000-0005-0000-0000-000068070000}"/>
    <cellStyle name="표준 10 4 3 2 3 4" xfId="6393" xr:uid="{00000000-0005-0000-0000-000069070000}"/>
    <cellStyle name="표준 10 4 3 2 4" xfId="3761" xr:uid="{00000000-0005-0000-0000-00006A070000}"/>
    <cellStyle name="표준 10 4 3 2 4 2" xfId="6911" xr:uid="{00000000-0005-0000-0000-00006B070000}"/>
    <cellStyle name="표준 10 4 3 2 5" xfId="4808" xr:uid="{00000000-0005-0000-0000-00006C070000}"/>
    <cellStyle name="표준 10 4 3 2 5 2" xfId="7958" xr:uid="{00000000-0005-0000-0000-00006D070000}"/>
    <cellStyle name="표준 10 4 3 2 6" xfId="5864" xr:uid="{00000000-0005-0000-0000-00006E070000}"/>
    <cellStyle name="표준 10 4 3 3" xfId="2834" xr:uid="{00000000-0005-0000-0000-00006F070000}"/>
    <cellStyle name="표준 10 4 3 3 2" xfId="3372" xr:uid="{00000000-0005-0000-0000-000070070000}"/>
    <cellStyle name="표준 10 4 3 3 2 2" xfId="4419" xr:uid="{00000000-0005-0000-0000-000071070000}"/>
    <cellStyle name="표준 10 4 3 3 2 2 2" xfId="7569" xr:uid="{00000000-0005-0000-0000-000072070000}"/>
    <cellStyle name="표준 10 4 3 3 2 3" xfId="5457" xr:uid="{00000000-0005-0000-0000-000073070000}"/>
    <cellStyle name="표준 10 4 3 3 2 3 2" xfId="8606" xr:uid="{00000000-0005-0000-0000-000074070000}"/>
    <cellStyle name="표준 10 4 3 3 2 4" xfId="6522" xr:uid="{00000000-0005-0000-0000-000075070000}"/>
    <cellStyle name="표준 10 4 3 3 3" xfId="3890" xr:uid="{00000000-0005-0000-0000-000076070000}"/>
    <cellStyle name="표준 10 4 3 3 3 2" xfId="7040" xr:uid="{00000000-0005-0000-0000-000077070000}"/>
    <cellStyle name="표준 10 4 3 3 4" xfId="4937" xr:uid="{00000000-0005-0000-0000-000078070000}"/>
    <cellStyle name="표준 10 4 3 3 4 2" xfId="8087" xr:uid="{00000000-0005-0000-0000-000079070000}"/>
    <cellStyle name="표준 10 4 3 3 5" xfId="5993" xr:uid="{00000000-0005-0000-0000-00007A070000}"/>
    <cellStyle name="표준 10 4 3 4" xfId="3114" xr:uid="{00000000-0005-0000-0000-00007B070000}"/>
    <cellStyle name="표준 10 4 3 4 2" xfId="4161" xr:uid="{00000000-0005-0000-0000-00007C070000}"/>
    <cellStyle name="표준 10 4 3 4 2 2" xfId="7311" xr:uid="{00000000-0005-0000-0000-00007D070000}"/>
    <cellStyle name="표준 10 4 3 4 3" xfId="5199" xr:uid="{00000000-0005-0000-0000-00007E070000}"/>
    <cellStyle name="표준 10 4 3 4 3 2" xfId="8348" xr:uid="{00000000-0005-0000-0000-00007F070000}"/>
    <cellStyle name="표준 10 4 3 4 4" xfId="6264" xr:uid="{00000000-0005-0000-0000-000080070000}"/>
    <cellStyle name="표준 10 4 3 5" xfId="3632" xr:uid="{00000000-0005-0000-0000-000081070000}"/>
    <cellStyle name="표준 10 4 3 5 2" xfId="6782" xr:uid="{00000000-0005-0000-0000-000082070000}"/>
    <cellStyle name="표준 10 4 3 6" xfId="4679" xr:uid="{00000000-0005-0000-0000-000083070000}"/>
    <cellStyle name="표준 10 4 3 6 2" xfId="7829" xr:uid="{00000000-0005-0000-0000-000084070000}"/>
    <cellStyle name="표준 10 4 3 7" xfId="5735" xr:uid="{00000000-0005-0000-0000-000085070000}"/>
    <cellStyle name="표준 10 4 4" xfId="1849" xr:uid="{00000000-0005-0000-0000-000086070000}"/>
    <cellStyle name="표준 10 4 4 2" xfId="2639" xr:uid="{00000000-0005-0000-0000-000087070000}"/>
    <cellStyle name="표준 10 4 4 2 2" xfId="2863" xr:uid="{00000000-0005-0000-0000-000088070000}"/>
    <cellStyle name="표준 10 4 4 2 2 2" xfId="3401" xr:uid="{00000000-0005-0000-0000-000089070000}"/>
    <cellStyle name="표준 10 4 4 2 2 2 2" xfId="4448" xr:uid="{00000000-0005-0000-0000-00008A070000}"/>
    <cellStyle name="표준 10 4 4 2 2 2 2 2" xfId="7598" xr:uid="{00000000-0005-0000-0000-00008B070000}"/>
    <cellStyle name="표준 10 4 4 2 2 2 3" xfId="5486" xr:uid="{00000000-0005-0000-0000-00008C070000}"/>
    <cellStyle name="표준 10 4 4 2 2 2 3 2" xfId="8635" xr:uid="{00000000-0005-0000-0000-00008D070000}"/>
    <cellStyle name="표준 10 4 4 2 2 2 4" xfId="6551" xr:uid="{00000000-0005-0000-0000-00008E070000}"/>
    <cellStyle name="표준 10 4 4 2 2 3" xfId="3919" xr:uid="{00000000-0005-0000-0000-00008F070000}"/>
    <cellStyle name="표준 10 4 4 2 2 3 2" xfId="7069" xr:uid="{00000000-0005-0000-0000-000090070000}"/>
    <cellStyle name="표준 10 4 4 2 2 4" xfId="4966" xr:uid="{00000000-0005-0000-0000-000091070000}"/>
    <cellStyle name="표준 10 4 4 2 2 4 2" xfId="8116" xr:uid="{00000000-0005-0000-0000-000092070000}"/>
    <cellStyle name="표준 10 4 4 2 2 5" xfId="6022" xr:uid="{00000000-0005-0000-0000-000093070000}"/>
    <cellStyle name="표준 10 4 4 2 3" xfId="3177" xr:uid="{00000000-0005-0000-0000-000094070000}"/>
    <cellStyle name="표준 10 4 4 2 3 2" xfId="4224" xr:uid="{00000000-0005-0000-0000-000095070000}"/>
    <cellStyle name="표준 10 4 4 2 3 2 2" xfId="7374" xr:uid="{00000000-0005-0000-0000-000096070000}"/>
    <cellStyle name="표준 10 4 4 2 3 3" xfId="5262" xr:uid="{00000000-0005-0000-0000-000097070000}"/>
    <cellStyle name="표준 10 4 4 2 3 3 2" xfId="8411" xr:uid="{00000000-0005-0000-0000-000098070000}"/>
    <cellStyle name="표준 10 4 4 2 3 4" xfId="6327" xr:uid="{00000000-0005-0000-0000-000099070000}"/>
    <cellStyle name="표준 10 4 4 2 4" xfId="3695" xr:uid="{00000000-0005-0000-0000-00009A070000}"/>
    <cellStyle name="표준 10 4 4 2 4 2" xfId="6845" xr:uid="{00000000-0005-0000-0000-00009B070000}"/>
    <cellStyle name="표준 10 4 4 2 5" xfId="4742" xr:uid="{00000000-0005-0000-0000-00009C070000}"/>
    <cellStyle name="표준 10 4 4 2 5 2" xfId="7892" xr:uid="{00000000-0005-0000-0000-00009D070000}"/>
    <cellStyle name="표준 10 4 4 2 6" xfId="5798" xr:uid="{00000000-0005-0000-0000-00009E070000}"/>
    <cellStyle name="표준 10 4 4 3" xfId="2768" xr:uid="{00000000-0005-0000-0000-00009F070000}"/>
    <cellStyle name="표준 10 4 4 3 2" xfId="3306" xr:uid="{00000000-0005-0000-0000-0000A0070000}"/>
    <cellStyle name="표준 10 4 4 3 2 2" xfId="4353" xr:uid="{00000000-0005-0000-0000-0000A1070000}"/>
    <cellStyle name="표준 10 4 4 3 2 2 2" xfId="7503" xr:uid="{00000000-0005-0000-0000-0000A2070000}"/>
    <cellStyle name="표준 10 4 4 3 2 3" xfId="5391" xr:uid="{00000000-0005-0000-0000-0000A3070000}"/>
    <cellStyle name="표준 10 4 4 3 2 3 2" xfId="8540" xr:uid="{00000000-0005-0000-0000-0000A4070000}"/>
    <cellStyle name="표준 10 4 4 3 2 4" xfId="6456" xr:uid="{00000000-0005-0000-0000-0000A5070000}"/>
    <cellStyle name="표준 10 4 4 3 3" xfId="3824" xr:uid="{00000000-0005-0000-0000-0000A6070000}"/>
    <cellStyle name="표준 10 4 4 3 3 2" xfId="6974" xr:uid="{00000000-0005-0000-0000-0000A7070000}"/>
    <cellStyle name="표준 10 4 4 3 4" xfId="4871" xr:uid="{00000000-0005-0000-0000-0000A8070000}"/>
    <cellStyle name="표준 10 4 4 3 4 2" xfId="8021" xr:uid="{00000000-0005-0000-0000-0000A9070000}"/>
    <cellStyle name="표준 10 4 4 3 5" xfId="5927" xr:uid="{00000000-0005-0000-0000-0000AA070000}"/>
    <cellStyle name="표준 10 4 4 4" xfId="3048" xr:uid="{00000000-0005-0000-0000-0000AB070000}"/>
    <cellStyle name="표준 10 4 4 4 2" xfId="4095" xr:uid="{00000000-0005-0000-0000-0000AC070000}"/>
    <cellStyle name="표준 10 4 4 4 2 2" xfId="7245" xr:uid="{00000000-0005-0000-0000-0000AD070000}"/>
    <cellStyle name="표준 10 4 4 4 3" xfId="5133" xr:uid="{00000000-0005-0000-0000-0000AE070000}"/>
    <cellStyle name="표준 10 4 4 4 3 2" xfId="8282" xr:uid="{00000000-0005-0000-0000-0000AF070000}"/>
    <cellStyle name="표준 10 4 4 4 4" xfId="6198" xr:uid="{00000000-0005-0000-0000-0000B0070000}"/>
    <cellStyle name="표준 10 4 4 5" xfId="3566" xr:uid="{00000000-0005-0000-0000-0000B1070000}"/>
    <cellStyle name="표준 10 4 4 5 2" xfId="6716" xr:uid="{00000000-0005-0000-0000-0000B2070000}"/>
    <cellStyle name="표준 10 4 4 6" xfId="4613" xr:uid="{00000000-0005-0000-0000-0000B3070000}"/>
    <cellStyle name="표준 10 4 4 6 2" xfId="7763" xr:uid="{00000000-0005-0000-0000-0000B4070000}"/>
    <cellStyle name="표준 10 4 4 7" xfId="5669" xr:uid="{00000000-0005-0000-0000-0000B5070000}"/>
    <cellStyle name="표준 10 4 5" xfId="2610" xr:uid="{00000000-0005-0000-0000-0000B6070000}"/>
    <cellStyle name="표준 10 4 5 2" xfId="2864" xr:uid="{00000000-0005-0000-0000-0000B7070000}"/>
    <cellStyle name="표준 10 4 5 2 2" xfId="3402" xr:uid="{00000000-0005-0000-0000-0000B8070000}"/>
    <cellStyle name="표준 10 4 5 2 2 2" xfId="4449" xr:uid="{00000000-0005-0000-0000-0000B9070000}"/>
    <cellStyle name="표준 10 4 5 2 2 2 2" xfId="7599" xr:uid="{00000000-0005-0000-0000-0000BA070000}"/>
    <cellStyle name="표준 10 4 5 2 2 3" xfId="5487" xr:uid="{00000000-0005-0000-0000-0000BB070000}"/>
    <cellStyle name="표준 10 4 5 2 2 3 2" xfId="8636" xr:uid="{00000000-0005-0000-0000-0000BC070000}"/>
    <cellStyle name="표준 10 4 5 2 2 4" xfId="6552" xr:uid="{00000000-0005-0000-0000-0000BD070000}"/>
    <cellStyle name="표준 10 4 5 2 3" xfId="3920" xr:uid="{00000000-0005-0000-0000-0000BE070000}"/>
    <cellStyle name="표준 10 4 5 2 3 2" xfId="7070" xr:uid="{00000000-0005-0000-0000-0000BF070000}"/>
    <cellStyle name="표준 10 4 5 2 4" xfId="4967" xr:uid="{00000000-0005-0000-0000-0000C0070000}"/>
    <cellStyle name="표준 10 4 5 2 4 2" xfId="8117" xr:uid="{00000000-0005-0000-0000-0000C1070000}"/>
    <cellStyle name="표준 10 4 5 2 5" xfId="6023" xr:uid="{00000000-0005-0000-0000-0000C2070000}"/>
    <cellStyle name="표준 10 4 5 3" xfId="3148" xr:uid="{00000000-0005-0000-0000-0000C3070000}"/>
    <cellStyle name="표준 10 4 5 3 2" xfId="4195" xr:uid="{00000000-0005-0000-0000-0000C4070000}"/>
    <cellStyle name="표준 10 4 5 3 2 2" xfId="7345" xr:uid="{00000000-0005-0000-0000-0000C5070000}"/>
    <cellStyle name="표준 10 4 5 3 3" xfId="5233" xr:uid="{00000000-0005-0000-0000-0000C6070000}"/>
    <cellStyle name="표준 10 4 5 3 3 2" xfId="8382" xr:uid="{00000000-0005-0000-0000-0000C7070000}"/>
    <cellStyle name="표준 10 4 5 3 4" xfId="6298" xr:uid="{00000000-0005-0000-0000-0000C8070000}"/>
    <cellStyle name="표준 10 4 5 4" xfId="3666" xr:uid="{00000000-0005-0000-0000-0000C9070000}"/>
    <cellStyle name="표준 10 4 5 4 2" xfId="6816" xr:uid="{00000000-0005-0000-0000-0000CA070000}"/>
    <cellStyle name="표준 10 4 5 5" xfId="4713" xr:uid="{00000000-0005-0000-0000-0000CB070000}"/>
    <cellStyle name="표준 10 4 5 5 2" xfId="7863" xr:uid="{00000000-0005-0000-0000-0000CC070000}"/>
    <cellStyle name="표준 10 4 5 6" xfId="5769" xr:uid="{00000000-0005-0000-0000-0000CD070000}"/>
    <cellStyle name="표준 10 4 6" xfId="2739" xr:uid="{00000000-0005-0000-0000-0000CE070000}"/>
    <cellStyle name="표준 10 4 6 2" xfId="3277" xr:uid="{00000000-0005-0000-0000-0000CF070000}"/>
    <cellStyle name="표준 10 4 6 2 2" xfId="4324" xr:uid="{00000000-0005-0000-0000-0000D0070000}"/>
    <cellStyle name="표준 10 4 6 2 2 2" xfId="7474" xr:uid="{00000000-0005-0000-0000-0000D1070000}"/>
    <cellStyle name="표준 10 4 6 2 3" xfId="5362" xr:uid="{00000000-0005-0000-0000-0000D2070000}"/>
    <cellStyle name="표준 10 4 6 2 3 2" xfId="8511" xr:uid="{00000000-0005-0000-0000-0000D3070000}"/>
    <cellStyle name="표준 10 4 6 2 4" xfId="6427" xr:uid="{00000000-0005-0000-0000-0000D4070000}"/>
    <cellStyle name="표준 10 4 6 3" xfId="3795" xr:uid="{00000000-0005-0000-0000-0000D5070000}"/>
    <cellStyle name="표준 10 4 6 3 2" xfId="6945" xr:uid="{00000000-0005-0000-0000-0000D6070000}"/>
    <cellStyle name="표준 10 4 6 4" xfId="4842" xr:uid="{00000000-0005-0000-0000-0000D7070000}"/>
    <cellStyle name="표준 10 4 6 4 2" xfId="7992" xr:uid="{00000000-0005-0000-0000-0000D8070000}"/>
    <cellStyle name="표준 10 4 6 5" xfId="5898" xr:uid="{00000000-0005-0000-0000-0000D9070000}"/>
    <cellStyle name="표준 10 4 7" xfId="3019" xr:uid="{00000000-0005-0000-0000-0000DA070000}"/>
    <cellStyle name="표준 10 4 7 2" xfId="4066" xr:uid="{00000000-0005-0000-0000-0000DB070000}"/>
    <cellStyle name="표준 10 4 7 2 2" xfId="7216" xr:uid="{00000000-0005-0000-0000-0000DC070000}"/>
    <cellStyle name="표준 10 4 7 3" xfId="5104" xr:uid="{00000000-0005-0000-0000-0000DD070000}"/>
    <cellStyle name="표준 10 4 7 3 2" xfId="8253" xr:uid="{00000000-0005-0000-0000-0000DE070000}"/>
    <cellStyle name="표준 10 4 7 4" xfId="6169" xr:uid="{00000000-0005-0000-0000-0000DF070000}"/>
    <cellStyle name="표준 10 4 8" xfId="3537" xr:uid="{00000000-0005-0000-0000-0000E0070000}"/>
    <cellStyle name="표준 10 4 8 2" xfId="6687" xr:uid="{00000000-0005-0000-0000-0000E1070000}"/>
    <cellStyle name="표준 10 4 9" xfId="4584" xr:uid="{00000000-0005-0000-0000-0000E2070000}"/>
    <cellStyle name="표준 10 4 9 2" xfId="7734" xr:uid="{00000000-0005-0000-0000-0000E3070000}"/>
    <cellStyle name="표준 10 5" xfId="1820" xr:uid="{00000000-0005-0000-0000-0000E4070000}"/>
    <cellStyle name="표준 10 5 10" xfId="5644" xr:uid="{00000000-0005-0000-0000-0000E5070000}"/>
    <cellStyle name="표준 10 5 2" xfId="1886" xr:uid="{00000000-0005-0000-0000-0000E6070000}"/>
    <cellStyle name="표준 10 5 2 2" xfId="2676" xr:uid="{00000000-0005-0000-0000-0000E7070000}"/>
    <cellStyle name="표준 10 5 2 2 2" xfId="2865" xr:uid="{00000000-0005-0000-0000-0000E8070000}"/>
    <cellStyle name="표준 10 5 2 2 2 2" xfId="3403" xr:uid="{00000000-0005-0000-0000-0000E9070000}"/>
    <cellStyle name="표준 10 5 2 2 2 2 2" xfId="4450" xr:uid="{00000000-0005-0000-0000-0000EA070000}"/>
    <cellStyle name="표준 10 5 2 2 2 2 2 2" xfId="7600" xr:uid="{00000000-0005-0000-0000-0000EB070000}"/>
    <cellStyle name="표준 10 5 2 2 2 2 3" xfId="5488" xr:uid="{00000000-0005-0000-0000-0000EC070000}"/>
    <cellStyle name="표준 10 5 2 2 2 2 3 2" xfId="8637" xr:uid="{00000000-0005-0000-0000-0000ED070000}"/>
    <cellStyle name="표준 10 5 2 2 2 2 4" xfId="6553" xr:uid="{00000000-0005-0000-0000-0000EE070000}"/>
    <cellStyle name="표준 10 5 2 2 2 3" xfId="3921" xr:uid="{00000000-0005-0000-0000-0000EF070000}"/>
    <cellStyle name="표준 10 5 2 2 2 3 2" xfId="7071" xr:uid="{00000000-0005-0000-0000-0000F0070000}"/>
    <cellStyle name="표준 10 5 2 2 2 4" xfId="4968" xr:uid="{00000000-0005-0000-0000-0000F1070000}"/>
    <cellStyle name="표준 10 5 2 2 2 4 2" xfId="8118" xr:uid="{00000000-0005-0000-0000-0000F2070000}"/>
    <cellStyle name="표준 10 5 2 2 2 5" xfId="6024" xr:uid="{00000000-0005-0000-0000-0000F3070000}"/>
    <cellStyle name="표준 10 5 2 2 3" xfId="3214" xr:uid="{00000000-0005-0000-0000-0000F4070000}"/>
    <cellStyle name="표준 10 5 2 2 3 2" xfId="4261" xr:uid="{00000000-0005-0000-0000-0000F5070000}"/>
    <cellStyle name="표준 10 5 2 2 3 2 2" xfId="7411" xr:uid="{00000000-0005-0000-0000-0000F6070000}"/>
    <cellStyle name="표준 10 5 2 2 3 3" xfId="5299" xr:uid="{00000000-0005-0000-0000-0000F7070000}"/>
    <cellStyle name="표준 10 5 2 2 3 3 2" xfId="8448" xr:uid="{00000000-0005-0000-0000-0000F8070000}"/>
    <cellStyle name="표준 10 5 2 2 3 4" xfId="6364" xr:uid="{00000000-0005-0000-0000-0000F9070000}"/>
    <cellStyle name="표준 10 5 2 2 4" xfId="3732" xr:uid="{00000000-0005-0000-0000-0000FA070000}"/>
    <cellStyle name="표준 10 5 2 2 4 2" xfId="6882" xr:uid="{00000000-0005-0000-0000-0000FB070000}"/>
    <cellStyle name="표준 10 5 2 2 5" xfId="4779" xr:uid="{00000000-0005-0000-0000-0000FC070000}"/>
    <cellStyle name="표준 10 5 2 2 5 2" xfId="7929" xr:uid="{00000000-0005-0000-0000-0000FD070000}"/>
    <cellStyle name="표준 10 5 2 2 6" xfId="5835" xr:uid="{00000000-0005-0000-0000-0000FE070000}"/>
    <cellStyle name="표준 10 5 2 3" xfId="2805" xr:uid="{00000000-0005-0000-0000-0000FF070000}"/>
    <cellStyle name="표준 10 5 2 3 2" xfId="3343" xr:uid="{00000000-0005-0000-0000-000000080000}"/>
    <cellStyle name="표준 10 5 2 3 2 2" xfId="4390" xr:uid="{00000000-0005-0000-0000-000001080000}"/>
    <cellStyle name="표준 10 5 2 3 2 2 2" xfId="7540" xr:uid="{00000000-0005-0000-0000-000002080000}"/>
    <cellStyle name="표준 10 5 2 3 2 3" xfId="5428" xr:uid="{00000000-0005-0000-0000-000003080000}"/>
    <cellStyle name="표준 10 5 2 3 2 3 2" xfId="8577" xr:uid="{00000000-0005-0000-0000-000004080000}"/>
    <cellStyle name="표준 10 5 2 3 2 4" xfId="6493" xr:uid="{00000000-0005-0000-0000-000005080000}"/>
    <cellStyle name="표준 10 5 2 3 3" xfId="3861" xr:uid="{00000000-0005-0000-0000-000006080000}"/>
    <cellStyle name="표준 10 5 2 3 3 2" xfId="7011" xr:uid="{00000000-0005-0000-0000-000007080000}"/>
    <cellStyle name="표준 10 5 2 3 4" xfId="4908" xr:uid="{00000000-0005-0000-0000-000008080000}"/>
    <cellStyle name="표준 10 5 2 3 4 2" xfId="8058" xr:uid="{00000000-0005-0000-0000-000009080000}"/>
    <cellStyle name="표준 10 5 2 3 5" xfId="5964" xr:uid="{00000000-0005-0000-0000-00000A080000}"/>
    <cellStyle name="표준 10 5 2 4" xfId="3085" xr:uid="{00000000-0005-0000-0000-00000B080000}"/>
    <cellStyle name="표준 10 5 2 4 2" xfId="4132" xr:uid="{00000000-0005-0000-0000-00000C080000}"/>
    <cellStyle name="표준 10 5 2 4 2 2" xfId="7282" xr:uid="{00000000-0005-0000-0000-00000D080000}"/>
    <cellStyle name="표준 10 5 2 4 3" xfId="5170" xr:uid="{00000000-0005-0000-0000-00000E080000}"/>
    <cellStyle name="표준 10 5 2 4 3 2" xfId="8319" xr:uid="{00000000-0005-0000-0000-00000F080000}"/>
    <cellStyle name="표준 10 5 2 4 4" xfId="6235" xr:uid="{00000000-0005-0000-0000-000010080000}"/>
    <cellStyle name="표준 10 5 2 5" xfId="3603" xr:uid="{00000000-0005-0000-0000-000011080000}"/>
    <cellStyle name="표준 10 5 2 5 2" xfId="6753" xr:uid="{00000000-0005-0000-0000-000012080000}"/>
    <cellStyle name="표준 10 5 2 6" xfId="4650" xr:uid="{00000000-0005-0000-0000-000013080000}"/>
    <cellStyle name="표준 10 5 2 6 2" xfId="7800" xr:uid="{00000000-0005-0000-0000-000014080000}"/>
    <cellStyle name="표준 10 5 2 7" xfId="5706" xr:uid="{00000000-0005-0000-0000-000015080000}"/>
    <cellStyle name="표준 10 5 3" xfId="1919" xr:uid="{00000000-0005-0000-0000-000016080000}"/>
    <cellStyle name="표준 10 5 3 2" xfId="2709" xr:uid="{00000000-0005-0000-0000-000017080000}"/>
    <cellStyle name="표준 10 5 3 2 2" xfId="2866" xr:uid="{00000000-0005-0000-0000-000018080000}"/>
    <cellStyle name="표준 10 5 3 2 2 2" xfId="3404" xr:uid="{00000000-0005-0000-0000-000019080000}"/>
    <cellStyle name="표준 10 5 3 2 2 2 2" xfId="4451" xr:uid="{00000000-0005-0000-0000-00001A080000}"/>
    <cellStyle name="표준 10 5 3 2 2 2 2 2" xfId="7601" xr:uid="{00000000-0005-0000-0000-00001B080000}"/>
    <cellStyle name="표준 10 5 3 2 2 2 3" xfId="5489" xr:uid="{00000000-0005-0000-0000-00001C080000}"/>
    <cellStyle name="표준 10 5 3 2 2 2 3 2" xfId="8638" xr:uid="{00000000-0005-0000-0000-00001D080000}"/>
    <cellStyle name="표준 10 5 3 2 2 2 4" xfId="6554" xr:uid="{00000000-0005-0000-0000-00001E080000}"/>
    <cellStyle name="표준 10 5 3 2 2 3" xfId="3922" xr:uid="{00000000-0005-0000-0000-00001F080000}"/>
    <cellStyle name="표준 10 5 3 2 2 3 2" xfId="7072" xr:uid="{00000000-0005-0000-0000-000020080000}"/>
    <cellStyle name="표준 10 5 3 2 2 4" xfId="4969" xr:uid="{00000000-0005-0000-0000-000021080000}"/>
    <cellStyle name="표준 10 5 3 2 2 4 2" xfId="8119" xr:uid="{00000000-0005-0000-0000-000022080000}"/>
    <cellStyle name="표준 10 5 3 2 2 5" xfId="6025" xr:uid="{00000000-0005-0000-0000-000023080000}"/>
    <cellStyle name="표준 10 5 3 2 3" xfId="3247" xr:uid="{00000000-0005-0000-0000-000024080000}"/>
    <cellStyle name="표준 10 5 3 2 3 2" xfId="4294" xr:uid="{00000000-0005-0000-0000-000025080000}"/>
    <cellStyle name="표준 10 5 3 2 3 2 2" xfId="7444" xr:uid="{00000000-0005-0000-0000-000026080000}"/>
    <cellStyle name="표준 10 5 3 2 3 3" xfId="5332" xr:uid="{00000000-0005-0000-0000-000027080000}"/>
    <cellStyle name="표준 10 5 3 2 3 3 2" xfId="8481" xr:uid="{00000000-0005-0000-0000-000028080000}"/>
    <cellStyle name="표준 10 5 3 2 3 4" xfId="6397" xr:uid="{00000000-0005-0000-0000-000029080000}"/>
    <cellStyle name="표준 10 5 3 2 4" xfId="3765" xr:uid="{00000000-0005-0000-0000-00002A080000}"/>
    <cellStyle name="표준 10 5 3 2 4 2" xfId="6915" xr:uid="{00000000-0005-0000-0000-00002B080000}"/>
    <cellStyle name="표준 10 5 3 2 5" xfId="4812" xr:uid="{00000000-0005-0000-0000-00002C080000}"/>
    <cellStyle name="표준 10 5 3 2 5 2" xfId="7962" xr:uid="{00000000-0005-0000-0000-00002D080000}"/>
    <cellStyle name="표준 10 5 3 2 6" xfId="5868" xr:uid="{00000000-0005-0000-0000-00002E080000}"/>
    <cellStyle name="표준 10 5 3 3" xfId="2838" xr:uid="{00000000-0005-0000-0000-00002F080000}"/>
    <cellStyle name="표준 10 5 3 3 2" xfId="3376" xr:uid="{00000000-0005-0000-0000-000030080000}"/>
    <cellStyle name="표준 10 5 3 3 2 2" xfId="4423" xr:uid="{00000000-0005-0000-0000-000031080000}"/>
    <cellStyle name="표준 10 5 3 3 2 2 2" xfId="7573" xr:uid="{00000000-0005-0000-0000-000032080000}"/>
    <cellStyle name="표준 10 5 3 3 2 3" xfId="5461" xr:uid="{00000000-0005-0000-0000-000033080000}"/>
    <cellStyle name="표준 10 5 3 3 2 3 2" xfId="8610" xr:uid="{00000000-0005-0000-0000-000034080000}"/>
    <cellStyle name="표준 10 5 3 3 2 4" xfId="6526" xr:uid="{00000000-0005-0000-0000-000035080000}"/>
    <cellStyle name="표준 10 5 3 3 3" xfId="3894" xr:uid="{00000000-0005-0000-0000-000036080000}"/>
    <cellStyle name="표준 10 5 3 3 3 2" xfId="7044" xr:uid="{00000000-0005-0000-0000-000037080000}"/>
    <cellStyle name="표준 10 5 3 3 4" xfId="4941" xr:uid="{00000000-0005-0000-0000-000038080000}"/>
    <cellStyle name="표준 10 5 3 3 4 2" xfId="8091" xr:uid="{00000000-0005-0000-0000-000039080000}"/>
    <cellStyle name="표준 10 5 3 3 5" xfId="5997" xr:uid="{00000000-0005-0000-0000-00003A080000}"/>
    <cellStyle name="표준 10 5 3 4" xfId="3118" xr:uid="{00000000-0005-0000-0000-00003B080000}"/>
    <cellStyle name="표준 10 5 3 4 2" xfId="4165" xr:uid="{00000000-0005-0000-0000-00003C080000}"/>
    <cellStyle name="표준 10 5 3 4 2 2" xfId="7315" xr:uid="{00000000-0005-0000-0000-00003D080000}"/>
    <cellStyle name="표준 10 5 3 4 3" xfId="5203" xr:uid="{00000000-0005-0000-0000-00003E080000}"/>
    <cellStyle name="표준 10 5 3 4 3 2" xfId="8352" xr:uid="{00000000-0005-0000-0000-00003F080000}"/>
    <cellStyle name="표준 10 5 3 4 4" xfId="6268" xr:uid="{00000000-0005-0000-0000-000040080000}"/>
    <cellStyle name="표준 10 5 3 5" xfId="3636" xr:uid="{00000000-0005-0000-0000-000041080000}"/>
    <cellStyle name="표준 10 5 3 5 2" xfId="6786" xr:uid="{00000000-0005-0000-0000-000042080000}"/>
    <cellStyle name="표준 10 5 3 6" xfId="4683" xr:uid="{00000000-0005-0000-0000-000043080000}"/>
    <cellStyle name="표준 10 5 3 6 2" xfId="7833" xr:uid="{00000000-0005-0000-0000-000044080000}"/>
    <cellStyle name="표준 10 5 3 7" xfId="5739" xr:uid="{00000000-0005-0000-0000-000045080000}"/>
    <cellStyle name="표준 10 5 4" xfId="1853" xr:uid="{00000000-0005-0000-0000-000046080000}"/>
    <cellStyle name="표준 10 5 4 2" xfId="2643" xr:uid="{00000000-0005-0000-0000-000047080000}"/>
    <cellStyle name="표준 10 5 4 2 2" xfId="2867" xr:uid="{00000000-0005-0000-0000-000048080000}"/>
    <cellStyle name="표준 10 5 4 2 2 2" xfId="3405" xr:uid="{00000000-0005-0000-0000-000049080000}"/>
    <cellStyle name="표준 10 5 4 2 2 2 2" xfId="4452" xr:uid="{00000000-0005-0000-0000-00004A080000}"/>
    <cellStyle name="표준 10 5 4 2 2 2 2 2" xfId="7602" xr:uid="{00000000-0005-0000-0000-00004B080000}"/>
    <cellStyle name="표준 10 5 4 2 2 2 3" xfId="5490" xr:uid="{00000000-0005-0000-0000-00004C080000}"/>
    <cellStyle name="표준 10 5 4 2 2 2 3 2" xfId="8639" xr:uid="{00000000-0005-0000-0000-00004D080000}"/>
    <cellStyle name="표준 10 5 4 2 2 2 4" xfId="6555" xr:uid="{00000000-0005-0000-0000-00004E080000}"/>
    <cellStyle name="표준 10 5 4 2 2 3" xfId="3923" xr:uid="{00000000-0005-0000-0000-00004F080000}"/>
    <cellStyle name="표준 10 5 4 2 2 3 2" xfId="7073" xr:uid="{00000000-0005-0000-0000-000050080000}"/>
    <cellStyle name="표준 10 5 4 2 2 4" xfId="4970" xr:uid="{00000000-0005-0000-0000-000051080000}"/>
    <cellStyle name="표준 10 5 4 2 2 4 2" xfId="8120" xr:uid="{00000000-0005-0000-0000-000052080000}"/>
    <cellStyle name="표준 10 5 4 2 2 5" xfId="6026" xr:uid="{00000000-0005-0000-0000-000053080000}"/>
    <cellStyle name="표준 10 5 4 2 3" xfId="3181" xr:uid="{00000000-0005-0000-0000-000054080000}"/>
    <cellStyle name="표준 10 5 4 2 3 2" xfId="4228" xr:uid="{00000000-0005-0000-0000-000055080000}"/>
    <cellStyle name="표준 10 5 4 2 3 2 2" xfId="7378" xr:uid="{00000000-0005-0000-0000-000056080000}"/>
    <cellStyle name="표준 10 5 4 2 3 3" xfId="5266" xr:uid="{00000000-0005-0000-0000-000057080000}"/>
    <cellStyle name="표준 10 5 4 2 3 3 2" xfId="8415" xr:uid="{00000000-0005-0000-0000-000058080000}"/>
    <cellStyle name="표준 10 5 4 2 3 4" xfId="6331" xr:uid="{00000000-0005-0000-0000-000059080000}"/>
    <cellStyle name="표준 10 5 4 2 4" xfId="3699" xr:uid="{00000000-0005-0000-0000-00005A080000}"/>
    <cellStyle name="표준 10 5 4 2 4 2" xfId="6849" xr:uid="{00000000-0005-0000-0000-00005B080000}"/>
    <cellStyle name="표준 10 5 4 2 5" xfId="4746" xr:uid="{00000000-0005-0000-0000-00005C080000}"/>
    <cellStyle name="표준 10 5 4 2 5 2" xfId="7896" xr:uid="{00000000-0005-0000-0000-00005D080000}"/>
    <cellStyle name="표준 10 5 4 2 6" xfId="5802" xr:uid="{00000000-0005-0000-0000-00005E080000}"/>
    <cellStyle name="표준 10 5 4 3" xfId="2772" xr:uid="{00000000-0005-0000-0000-00005F080000}"/>
    <cellStyle name="표준 10 5 4 3 2" xfId="3310" xr:uid="{00000000-0005-0000-0000-000060080000}"/>
    <cellStyle name="표준 10 5 4 3 2 2" xfId="4357" xr:uid="{00000000-0005-0000-0000-000061080000}"/>
    <cellStyle name="표준 10 5 4 3 2 2 2" xfId="7507" xr:uid="{00000000-0005-0000-0000-000062080000}"/>
    <cellStyle name="표준 10 5 4 3 2 3" xfId="5395" xr:uid="{00000000-0005-0000-0000-000063080000}"/>
    <cellStyle name="표준 10 5 4 3 2 3 2" xfId="8544" xr:uid="{00000000-0005-0000-0000-000064080000}"/>
    <cellStyle name="표준 10 5 4 3 2 4" xfId="6460" xr:uid="{00000000-0005-0000-0000-000065080000}"/>
    <cellStyle name="표준 10 5 4 3 3" xfId="3828" xr:uid="{00000000-0005-0000-0000-000066080000}"/>
    <cellStyle name="표준 10 5 4 3 3 2" xfId="6978" xr:uid="{00000000-0005-0000-0000-000067080000}"/>
    <cellStyle name="표준 10 5 4 3 4" xfId="4875" xr:uid="{00000000-0005-0000-0000-000068080000}"/>
    <cellStyle name="표준 10 5 4 3 4 2" xfId="8025" xr:uid="{00000000-0005-0000-0000-000069080000}"/>
    <cellStyle name="표준 10 5 4 3 5" xfId="5931" xr:uid="{00000000-0005-0000-0000-00006A080000}"/>
    <cellStyle name="표준 10 5 4 4" xfId="3052" xr:uid="{00000000-0005-0000-0000-00006B080000}"/>
    <cellStyle name="표준 10 5 4 4 2" xfId="4099" xr:uid="{00000000-0005-0000-0000-00006C080000}"/>
    <cellStyle name="표준 10 5 4 4 2 2" xfId="7249" xr:uid="{00000000-0005-0000-0000-00006D080000}"/>
    <cellStyle name="표준 10 5 4 4 3" xfId="5137" xr:uid="{00000000-0005-0000-0000-00006E080000}"/>
    <cellStyle name="표준 10 5 4 4 3 2" xfId="8286" xr:uid="{00000000-0005-0000-0000-00006F080000}"/>
    <cellStyle name="표준 10 5 4 4 4" xfId="6202" xr:uid="{00000000-0005-0000-0000-000070080000}"/>
    <cellStyle name="표준 10 5 4 5" xfId="3570" xr:uid="{00000000-0005-0000-0000-000071080000}"/>
    <cellStyle name="표준 10 5 4 5 2" xfId="6720" xr:uid="{00000000-0005-0000-0000-000072080000}"/>
    <cellStyle name="표준 10 5 4 6" xfId="4617" xr:uid="{00000000-0005-0000-0000-000073080000}"/>
    <cellStyle name="표준 10 5 4 6 2" xfId="7767" xr:uid="{00000000-0005-0000-0000-000074080000}"/>
    <cellStyle name="표준 10 5 4 7" xfId="5673" xr:uid="{00000000-0005-0000-0000-000075080000}"/>
    <cellStyle name="표준 10 5 5" xfId="2614" xr:uid="{00000000-0005-0000-0000-000076080000}"/>
    <cellStyle name="표준 10 5 5 2" xfId="2868" xr:uid="{00000000-0005-0000-0000-000077080000}"/>
    <cellStyle name="표준 10 5 5 2 2" xfId="3406" xr:uid="{00000000-0005-0000-0000-000078080000}"/>
    <cellStyle name="표준 10 5 5 2 2 2" xfId="4453" xr:uid="{00000000-0005-0000-0000-000079080000}"/>
    <cellStyle name="표준 10 5 5 2 2 2 2" xfId="7603" xr:uid="{00000000-0005-0000-0000-00007A080000}"/>
    <cellStyle name="표준 10 5 5 2 2 3" xfId="5491" xr:uid="{00000000-0005-0000-0000-00007B080000}"/>
    <cellStyle name="표준 10 5 5 2 2 3 2" xfId="8640" xr:uid="{00000000-0005-0000-0000-00007C080000}"/>
    <cellStyle name="표준 10 5 5 2 2 4" xfId="6556" xr:uid="{00000000-0005-0000-0000-00007D080000}"/>
    <cellStyle name="표준 10 5 5 2 3" xfId="3924" xr:uid="{00000000-0005-0000-0000-00007E080000}"/>
    <cellStyle name="표준 10 5 5 2 3 2" xfId="7074" xr:uid="{00000000-0005-0000-0000-00007F080000}"/>
    <cellStyle name="표준 10 5 5 2 4" xfId="4971" xr:uid="{00000000-0005-0000-0000-000080080000}"/>
    <cellStyle name="표준 10 5 5 2 4 2" xfId="8121" xr:uid="{00000000-0005-0000-0000-000081080000}"/>
    <cellStyle name="표준 10 5 5 2 5" xfId="6027" xr:uid="{00000000-0005-0000-0000-000082080000}"/>
    <cellStyle name="표준 10 5 5 3" xfId="3152" xr:uid="{00000000-0005-0000-0000-000083080000}"/>
    <cellStyle name="표준 10 5 5 3 2" xfId="4199" xr:uid="{00000000-0005-0000-0000-000084080000}"/>
    <cellStyle name="표준 10 5 5 3 2 2" xfId="7349" xr:uid="{00000000-0005-0000-0000-000085080000}"/>
    <cellStyle name="표준 10 5 5 3 3" xfId="5237" xr:uid="{00000000-0005-0000-0000-000086080000}"/>
    <cellStyle name="표준 10 5 5 3 3 2" xfId="8386" xr:uid="{00000000-0005-0000-0000-000087080000}"/>
    <cellStyle name="표준 10 5 5 3 4" xfId="6302" xr:uid="{00000000-0005-0000-0000-000088080000}"/>
    <cellStyle name="표준 10 5 5 4" xfId="3670" xr:uid="{00000000-0005-0000-0000-000089080000}"/>
    <cellStyle name="표준 10 5 5 4 2" xfId="6820" xr:uid="{00000000-0005-0000-0000-00008A080000}"/>
    <cellStyle name="표준 10 5 5 5" xfId="4717" xr:uid="{00000000-0005-0000-0000-00008B080000}"/>
    <cellStyle name="표준 10 5 5 5 2" xfId="7867" xr:uid="{00000000-0005-0000-0000-00008C080000}"/>
    <cellStyle name="표준 10 5 5 6" xfId="5773" xr:uid="{00000000-0005-0000-0000-00008D080000}"/>
    <cellStyle name="표준 10 5 6" xfId="2743" xr:uid="{00000000-0005-0000-0000-00008E080000}"/>
    <cellStyle name="표준 10 5 6 2" xfId="3281" xr:uid="{00000000-0005-0000-0000-00008F080000}"/>
    <cellStyle name="표준 10 5 6 2 2" xfId="4328" xr:uid="{00000000-0005-0000-0000-000090080000}"/>
    <cellStyle name="표준 10 5 6 2 2 2" xfId="7478" xr:uid="{00000000-0005-0000-0000-000091080000}"/>
    <cellStyle name="표준 10 5 6 2 3" xfId="5366" xr:uid="{00000000-0005-0000-0000-000092080000}"/>
    <cellStyle name="표준 10 5 6 2 3 2" xfId="8515" xr:uid="{00000000-0005-0000-0000-000093080000}"/>
    <cellStyle name="표준 10 5 6 2 4" xfId="6431" xr:uid="{00000000-0005-0000-0000-000094080000}"/>
    <cellStyle name="표준 10 5 6 3" xfId="3799" xr:uid="{00000000-0005-0000-0000-000095080000}"/>
    <cellStyle name="표준 10 5 6 3 2" xfId="6949" xr:uid="{00000000-0005-0000-0000-000096080000}"/>
    <cellStyle name="표준 10 5 6 4" xfId="4846" xr:uid="{00000000-0005-0000-0000-000097080000}"/>
    <cellStyle name="표준 10 5 6 4 2" xfId="7996" xr:uid="{00000000-0005-0000-0000-000098080000}"/>
    <cellStyle name="표준 10 5 6 5" xfId="5902" xr:uid="{00000000-0005-0000-0000-000099080000}"/>
    <cellStyle name="표준 10 5 7" xfId="3023" xr:uid="{00000000-0005-0000-0000-00009A080000}"/>
    <cellStyle name="표준 10 5 7 2" xfId="4070" xr:uid="{00000000-0005-0000-0000-00009B080000}"/>
    <cellStyle name="표준 10 5 7 2 2" xfId="7220" xr:uid="{00000000-0005-0000-0000-00009C080000}"/>
    <cellStyle name="표준 10 5 7 3" xfId="5108" xr:uid="{00000000-0005-0000-0000-00009D080000}"/>
    <cellStyle name="표준 10 5 7 3 2" xfId="8257" xr:uid="{00000000-0005-0000-0000-00009E080000}"/>
    <cellStyle name="표준 10 5 7 4" xfId="6173" xr:uid="{00000000-0005-0000-0000-00009F080000}"/>
    <cellStyle name="표준 10 5 8" xfId="3541" xr:uid="{00000000-0005-0000-0000-0000A0080000}"/>
    <cellStyle name="표준 10 5 8 2" xfId="6691" xr:uid="{00000000-0005-0000-0000-0000A1080000}"/>
    <cellStyle name="표준 10 5 9" xfId="4588" xr:uid="{00000000-0005-0000-0000-0000A2080000}"/>
    <cellStyle name="표준 10 5 9 2" xfId="7738" xr:uid="{00000000-0005-0000-0000-0000A3080000}"/>
    <cellStyle name="표준 10 6" xfId="1829" xr:uid="{00000000-0005-0000-0000-0000A4080000}"/>
    <cellStyle name="표준 10 6 10" xfId="5649" xr:uid="{00000000-0005-0000-0000-0000A5080000}"/>
    <cellStyle name="표준 10 6 2" xfId="1891" xr:uid="{00000000-0005-0000-0000-0000A6080000}"/>
    <cellStyle name="표준 10 6 2 2" xfId="2681" xr:uid="{00000000-0005-0000-0000-0000A7080000}"/>
    <cellStyle name="표준 10 6 2 2 2" xfId="2869" xr:uid="{00000000-0005-0000-0000-0000A8080000}"/>
    <cellStyle name="표준 10 6 2 2 2 2" xfId="3407" xr:uid="{00000000-0005-0000-0000-0000A9080000}"/>
    <cellStyle name="표준 10 6 2 2 2 2 2" xfId="4454" xr:uid="{00000000-0005-0000-0000-0000AA080000}"/>
    <cellStyle name="표준 10 6 2 2 2 2 2 2" xfId="7604" xr:uid="{00000000-0005-0000-0000-0000AB080000}"/>
    <cellStyle name="표준 10 6 2 2 2 2 3" xfId="5492" xr:uid="{00000000-0005-0000-0000-0000AC080000}"/>
    <cellStyle name="표준 10 6 2 2 2 2 3 2" xfId="8641" xr:uid="{00000000-0005-0000-0000-0000AD080000}"/>
    <cellStyle name="표준 10 6 2 2 2 2 4" xfId="6557" xr:uid="{00000000-0005-0000-0000-0000AE080000}"/>
    <cellStyle name="표준 10 6 2 2 2 3" xfId="3925" xr:uid="{00000000-0005-0000-0000-0000AF080000}"/>
    <cellStyle name="표준 10 6 2 2 2 3 2" xfId="7075" xr:uid="{00000000-0005-0000-0000-0000B0080000}"/>
    <cellStyle name="표준 10 6 2 2 2 4" xfId="4972" xr:uid="{00000000-0005-0000-0000-0000B1080000}"/>
    <cellStyle name="표준 10 6 2 2 2 4 2" xfId="8122" xr:uid="{00000000-0005-0000-0000-0000B2080000}"/>
    <cellStyle name="표준 10 6 2 2 2 5" xfId="6028" xr:uid="{00000000-0005-0000-0000-0000B3080000}"/>
    <cellStyle name="표준 10 6 2 2 3" xfId="3219" xr:uid="{00000000-0005-0000-0000-0000B4080000}"/>
    <cellStyle name="표준 10 6 2 2 3 2" xfId="4266" xr:uid="{00000000-0005-0000-0000-0000B5080000}"/>
    <cellStyle name="표준 10 6 2 2 3 2 2" xfId="7416" xr:uid="{00000000-0005-0000-0000-0000B6080000}"/>
    <cellStyle name="표준 10 6 2 2 3 3" xfId="5304" xr:uid="{00000000-0005-0000-0000-0000B7080000}"/>
    <cellStyle name="표준 10 6 2 2 3 3 2" xfId="8453" xr:uid="{00000000-0005-0000-0000-0000B8080000}"/>
    <cellStyle name="표준 10 6 2 2 3 4" xfId="6369" xr:uid="{00000000-0005-0000-0000-0000B9080000}"/>
    <cellStyle name="표준 10 6 2 2 4" xfId="3737" xr:uid="{00000000-0005-0000-0000-0000BA080000}"/>
    <cellStyle name="표준 10 6 2 2 4 2" xfId="6887" xr:uid="{00000000-0005-0000-0000-0000BB080000}"/>
    <cellStyle name="표준 10 6 2 2 5" xfId="4784" xr:uid="{00000000-0005-0000-0000-0000BC080000}"/>
    <cellStyle name="표준 10 6 2 2 5 2" xfId="7934" xr:uid="{00000000-0005-0000-0000-0000BD080000}"/>
    <cellStyle name="표준 10 6 2 2 6" xfId="5840" xr:uid="{00000000-0005-0000-0000-0000BE080000}"/>
    <cellStyle name="표준 10 6 2 3" xfId="2810" xr:uid="{00000000-0005-0000-0000-0000BF080000}"/>
    <cellStyle name="표준 10 6 2 3 2" xfId="3348" xr:uid="{00000000-0005-0000-0000-0000C0080000}"/>
    <cellStyle name="표준 10 6 2 3 2 2" xfId="4395" xr:uid="{00000000-0005-0000-0000-0000C1080000}"/>
    <cellStyle name="표준 10 6 2 3 2 2 2" xfId="7545" xr:uid="{00000000-0005-0000-0000-0000C2080000}"/>
    <cellStyle name="표준 10 6 2 3 2 3" xfId="5433" xr:uid="{00000000-0005-0000-0000-0000C3080000}"/>
    <cellStyle name="표준 10 6 2 3 2 3 2" xfId="8582" xr:uid="{00000000-0005-0000-0000-0000C4080000}"/>
    <cellStyle name="표준 10 6 2 3 2 4" xfId="6498" xr:uid="{00000000-0005-0000-0000-0000C5080000}"/>
    <cellStyle name="표준 10 6 2 3 3" xfId="3866" xr:uid="{00000000-0005-0000-0000-0000C6080000}"/>
    <cellStyle name="표준 10 6 2 3 3 2" xfId="7016" xr:uid="{00000000-0005-0000-0000-0000C7080000}"/>
    <cellStyle name="표준 10 6 2 3 4" xfId="4913" xr:uid="{00000000-0005-0000-0000-0000C8080000}"/>
    <cellStyle name="표준 10 6 2 3 4 2" xfId="8063" xr:uid="{00000000-0005-0000-0000-0000C9080000}"/>
    <cellStyle name="표준 10 6 2 3 5" xfId="5969" xr:uid="{00000000-0005-0000-0000-0000CA080000}"/>
    <cellStyle name="표준 10 6 2 4" xfId="3090" xr:uid="{00000000-0005-0000-0000-0000CB080000}"/>
    <cellStyle name="표준 10 6 2 4 2" xfId="4137" xr:uid="{00000000-0005-0000-0000-0000CC080000}"/>
    <cellStyle name="표준 10 6 2 4 2 2" xfId="7287" xr:uid="{00000000-0005-0000-0000-0000CD080000}"/>
    <cellStyle name="표준 10 6 2 4 3" xfId="5175" xr:uid="{00000000-0005-0000-0000-0000CE080000}"/>
    <cellStyle name="표준 10 6 2 4 3 2" xfId="8324" xr:uid="{00000000-0005-0000-0000-0000CF080000}"/>
    <cellStyle name="표준 10 6 2 4 4" xfId="6240" xr:uid="{00000000-0005-0000-0000-0000D0080000}"/>
    <cellStyle name="표준 10 6 2 5" xfId="3608" xr:uid="{00000000-0005-0000-0000-0000D1080000}"/>
    <cellStyle name="표준 10 6 2 5 2" xfId="6758" xr:uid="{00000000-0005-0000-0000-0000D2080000}"/>
    <cellStyle name="표준 10 6 2 6" xfId="4655" xr:uid="{00000000-0005-0000-0000-0000D3080000}"/>
    <cellStyle name="표준 10 6 2 6 2" xfId="7805" xr:uid="{00000000-0005-0000-0000-0000D4080000}"/>
    <cellStyle name="표준 10 6 2 7" xfId="5711" xr:uid="{00000000-0005-0000-0000-0000D5080000}"/>
    <cellStyle name="표준 10 6 3" xfId="1924" xr:uid="{00000000-0005-0000-0000-0000D6080000}"/>
    <cellStyle name="표준 10 6 3 2" xfId="2714" xr:uid="{00000000-0005-0000-0000-0000D7080000}"/>
    <cellStyle name="표준 10 6 3 2 2" xfId="2870" xr:uid="{00000000-0005-0000-0000-0000D8080000}"/>
    <cellStyle name="표준 10 6 3 2 2 2" xfId="3408" xr:uid="{00000000-0005-0000-0000-0000D9080000}"/>
    <cellStyle name="표준 10 6 3 2 2 2 2" xfId="4455" xr:uid="{00000000-0005-0000-0000-0000DA080000}"/>
    <cellStyle name="표준 10 6 3 2 2 2 2 2" xfId="7605" xr:uid="{00000000-0005-0000-0000-0000DB080000}"/>
    <cellStyle name="표준 10 6 3 2 2 2 3" xfId="5493" xr:uid="{00000000-0005-0000-0000-0000DC080000}"/>
    <cellStyle name="표준 10 6 3 2 2 2 3 2" xfId="8642" xr:uid="{00000000-0005-0000-0000-0000DD080000}"/>
    <cellStyle name="표준 10 6 3 2 2 2 4" xfId="6558" xr:uid="{00000000-0005-0000-0000-0000DE080000}"/>
    <cellStyle name="표준 10 6 3 2 2 3" xfId="3926" xr:uid="{00000000-0005-0000-0000-0000DF080000}"/>
    <cellStyle name="표준 10 6 3 2 2 3 2" xfId="7076" xr:uid="{00000000-0005-0000-0000-0000E0080000}"/>
    <cellStyle name="표준 10 6 3 2 2 4" xfId="4973" xr:uid="{00000000-0005-0000-0000-0000E1080000}"/>
    <cellStyle name="표준 10 6 3 2 2 4 2" xfId="8123" xr:uid="{00000000-0005-0000-0000-0000E2080000}"/>
    <cellStyle name="표준 10 6 3 2 2 5" xfId="6029" xr:uid="{00000000-0005-0000-0000-0000E3080000}"/>
    <cellStyle name="표준 10 6 3 2 3" xfId="3252" xr:uid="{00000000-0005-0000-0000-0000E4080000}"/>
    <cellStyle name="표준 10 6 3 2 3 2" xfId="4299" xr:uid="{00000000-0005-0000-0000-0000E5080000}"/>
    <cellStyle name="표준 10 6 3 2 3 2 2" xfId="7449" xr:uid="{00000000-0005-0000-0000-0000E6080000}"/>
    <cellStyle name="표준 10 6 3 2 3 3" xfId="5337" xr:uid="{00000000-0005-0000-0000-0000E7080000}"/>
    <cellStyle name="표준 10 6 3 2 3 3 2" xfId="8486" xr:uid="{00000000-0005-0000-0000-0000E8080000}"/>
    <cellStyle name="표준 10 6 3 2 3 4" xfId="6402" xr:uid="{00000000-0005-0000-0000-0000E9080000}"/>
    <cellStyle name="표준 10 6 3 2 4" xfId="3770" xr:uid="{00000000-0005-0000-0000-0000EA080000}"/>
    <cellStyle name="표준 10 6 3 2 4 2" xfId="6920" xr:uid="{00000000-0005-0000-0000-0000EB080000}"/>
    <cellStyle name="표준 10 6 3 2 5" xfId="4817" xr:uid="{00000000-0005-0000-0000-0000EC080000}"/>
    <cellStyle name="표준 10 6 3 2 5 2" xfId="7967" xr:uid="{00000000-0005-0000-0000-0000ED080000}"/>
    <cellStyle name="표준 10 6 3 2 6" xfId="5873" xr:uid="{00000000-0005-0000-0000-0000EE080000}"/>
    <cellStyle name="표준 10 6 3 3" xfId="2843" xr:uid="{00000000-0005-0000-0000-0000EF080000}"/>
    <cellStyle name="표준 10 6 3 3 2" xfId="3381" xr:uid="{00000000-0005-0000-0000-0000F0080000}"/>
    <cellStyle name="표준 10 6 3 3 2 2" xfId="4428" xr:uid="{00000000-0005-0000-0000-0000F1080000}"/>
    <cellStyle name="표준 10 6 3 3 2 2 2" xfId="7578" xr:uid="{00000000-0005-0000-0000-0000F2080000}"/>
    <cellStyle name="표준 10 6 3 3 2 3" xfId="5466" xr:uid="{00000000-0005-0000-0000-0000F3080000}"/>
    <cellStyle name="표준 10 6 3 3 2 3 2" xfId="8615" xr:uid="{00000000-0005-0000-0000-0000F4080000}"/>
    <cellStyle name="표준 10 6 3 3 2 4" xfId="6531" xr:uid="{00000000-0005-0000-0000-0000F5080000}"/>
    <cellStyle name="표준 10 6 3 3 3" xfId="3899" xr:uid="{00000000-0005-0000-0000-0000F6080000}"/>
    <cellStyle name="표준 10 6 3 3 3 2" xfId="7049" xr:uid="{00000000-0005-0000-0000-0000F7080000}"/>
    <cellStyle name="표준 10 6 3 3 4" xfId="4946" xr:uid="{00000000-0005-0000-0000-0000F8080000}"/>
    <cellStyle name="표준 10 6 3 3 4 2" xfId="8096" xr:uid="{00000000-0005-0000-0000-0000F9080000}"/>
    <cellStyle name="표준 10 6 3 3 5" xfId="6002" xr:uid="{00000000-0005-0000-0000-0000FA080000}"/>
    <cellStyle name="표준 10 6 3 4" xfId="3123" xr:uid="{00000000-0005-0000-0000-0000FB080000}"/>
    <cellStyle name="표준 10 6 3 4 2" xfId="4170" xr:uid="{00000000-0005-0000-0000-0000FC080000}"/>
    <cellStyle name="표준 10 6 3 4 2 2" xfId="7320" xr:uid="{00000000-0005-0000-0000-0000FD080000}"/>
    <cellStyle name="표준 10 6 3 4 3" xfId="5208" xr:uid="{00000000-0005-0000-0000-0000FE080000}"/>
    <cellStyle name="표준 10 6 3 4 3 2" xfId="8357" xr:uid="{00000000-0005-0000-0000-0000FF080000}"/>
    <cellStyle name="표준 10 6 3 4 4" xfId="6273" xr:uid="{00000000-0005-0000-0000-000000090000}"/>
    <cellStyle name="표준 10 6 3 5" xfId="3641" xr:uid="{00000000-0005-0000-0000-000001090000}"/>
    <cellStyle name="표준 10 6 3 5 2" xfId="6791" xr:uid="{00000000-0005-0000-0000-000002090000}"/>
    <cellStyle name="표준 10 6 3 6" xfId="4688" xr:uid="{00000000-0005-0000-0000-000003090000}"/>
    <cellStyle name="표준 10 6 3 6 2" xfId="7838" xr:uid="{00000000-0005-0000-0000-000004090000}"/>
    <cellStyle name="표준 10 6 3 7" xfId="5744" xr:uid="{00000000-0005-0000-0000-000005090000}"/>
    <cellStyle name="표준 10 6 4" xfId="1858" xr:uid="{00000000-0005-0000-0000-000006090000}"/>
    <cellStyle name="표준 10 6 4 2" xfId="2648" xr:uid="{00000000-0005-0000-0000-000007090000}"/>
    <cellStyle name="표준 10 6 4 2 2" xfId="2871" xr:uid="{00000000-0005-0000-0000-000008090000}"/>
    <cellStyle name="표준 10 6 4 2 2 2" xfId="3409" xr:uid="{00000000-0005-0000-0000-000009090000}"/>
    <cellStyle name="표준 10 6 4 2 2 2 2" xfId="4456" xr:uid="{00000000-0005-0000-0000-00000A090000}"/>
    <cellStyle name="표준 10 6 4 2 2 2 2 2" xfId="7606" xr:uid="{00000000-0005-0000-0000-00000B090000}"/>
    <cellStyle name="표준 10 6 4 2 2 2 3" xfId="5494" xr:uid="{00000000-0005-0000-0000-00000C090000}"/>
    <cellStyle name="표준 10 6 4 2 2 2 3 2" xfId="8643" xr:uid="{00000000-0005-0000-0000-00000D090000}"/>
    <cellStyle name="표준 10 6 4 2 2 2 4" xfId="6559" xr:uid="{00000000-0005-0000-0000-00000E090000}"/>
    <cellStyle name="표준 10 6 4 2 2 3" xfId="3927" xr:uid="{00000000-0005-0000-0000-00000F090000}"/>
    <cellStyle name="표준 10 6 4 2 2 3 2" xfId="7077" xr:uid="{00000000-0005-0000-0000-000010090000}"/>
    <cellStyle name="표준 10 6 4 2 2 4" xfId="4974" xr:uid="{00000000-0005-0000-0000-000011090000}"/>
    <cellStyle name="표준 10 6 4 2 2 4 2" xfId="8124" xr:uid="{00000000-0005-0000-0000-000012090000}"/>
    <cellStyle name="표준 10 6 4 2 2 5" xfId="6030" xr:uid="{00000000-0005-0000-0000-000013090000}"/>
    <cellStyle name="표준 10 6 4 2 3" xfId="3186" xr:uid="{00000000-0005-0000-0000-000014090000}"/>
    <cellStyle name="표준 10 6 4 2 3 2" xfId="4233" xr:uid="{00000000-0005-0000-0000-000015090000}"/>
    <cellStyle name="표준 10 6 4 2 3 2 2" xfId="7383" xr:uid="{00000000-0005-0000-0000-000016090000}"/>
    <cellStyle name="표준 10 6 4 2 3 3" xfId="5271" xr:uid="{00000000-0005-0000-0000-000017090000}"/>
    <cellStyle name="표준 10 6 4 2 3 3 2" xfId="8420" xr:uid="{00000000-0005-0000-0000-000018090000}"/>
    <cellStyle name="표준 10 6 4 2 3 4" xfId="6336" xr:uid="{00000000-0005-0000-0000-000019090000}"/>
    <cellStyle name="표준 10 6 4 2 4" xfId="3704" xr:uid="{00000000-0005-0000-0000-00001A090000}"/>
    <cellStyle name="표준 10 6 4 2 4 2" xfId="6854" xr:uid="{00000000-0005-0000-0000-00001B090000}"/>
    <cellStyle name="표준 10 6 4 2 5" xfId="4751" xr:uid="{00000000-0005-0000-0000-00001C090000}"/>
    <cellStyle name="표준 10 6 4 2 5 2" xfId="7901" xr:uid="{00000000-0005-0000-0000-00001D090000}"/>
    <cellStyle name="표준 10 6 4 2 6" xfId="5807" xr:uid="{00000000-0005-0000-0000-00001E090000}"/>
    <cellStyle name="표준 10 6 4 3" xfId="2777" xr:uid="{00000000-0005-0000-0000-00001F090000}"/>
    <cellStyle name="표준 10 6 4 3 2" xfId="3315" xr:uid="{00000000-0005-0000-0000-000020090000}"/>
    <cellStyle name="표준 10 6 4 3 2 2" xfId="4362" xr:uid="{00000000-0005-0000-0000-000021090000}"/>
    <cellStyle name="표준 10 6 4 3 2 2 2" xfId="7512" xr:uid="{00000000-0005-0000-0000-000022090000}"/>
    <cellStyle name="표준 10 6 4 3 2 3" xfId="5400" xr:uid="{00000000-0005-0000-0000-000023090000}"/>
    <cellStyle name="표준 10 6 4 3 2 3 2" xfId="8549" xr:uid="{00000000-0005-0000-0000-000024090000}"/>
    <cellStyle name="표준 10 6 4 3 2 4" xfId="6465" xr:uid="{00000000-0005-0000-0000-000025090000}"/>
    <cellStyle name="표준 10 6 4 3 3" xfId="3833" xr:uid="{00000000-0005-0000-0000-000026090000}"/>
    <cellStyle name="표준 10 6 4 3 3 2" xfId="6983" xr:uid="{00000000-0005-0000-0000-000027090000}"/>
    <cellStyle name="표준 10 6 4 3 4" xfId="4880" xr:uid="{00000000-0005-0000-0000-000028090000}"/>
    <cellStyle name="표준 10 6 4 3 4 2" xfId="8030" xr:uid="{00000000-0005-0000-0000-000029090000}"/>
    <cellStyle name="표준 10 6 4 3 5" xfId="5936" xr:uid="{00000000-0005-0000-0000-00002A090000}"/>
    <cellStyle name="표준 10 6 4 4" xfId="3057" xr:uid="{00000000-0005-0000-0000-00002B090000}"/>
    <cellStyle name="표준 10 6 4 4 2" xfId="4104" xr:uid="{00000000-0005-0000-0000-00002C090000}"/>
    <cellStyle name="표준 10 6 4 4 2 2" xfId="7254" xr:uid="{00000000-0005-0000-0000-00002D090000}"/>
    <cellStyle name="표준 10 6 4 4 3" xfId="5142" xr:uid="{00000000-0005-0000-0000-00002E090000}"/>
    <cellStyle name="표준 10 6 4 4 3 2" xfId="8291" xr:uid="{00000000-0005-0000-0000-00002F090000}"/>
    <cellStyle name="표준 10 6 4 4 4" xfId="6207" xr:uid="{00000000-0005-0000-0000-000030090000}"/>
    <cellStyle name="표준 10 6 4 5" xfId="3575" xr:uid="{00000000-0005-0000-0000-000031090000}"/>
    <cellStyle name="표준 10 6 4 5 2" xfId="6725" xr:uid="{00000000-0005-0000-0000-000032090000}"/>
    <cellStyle name="표준 10 6 4 6" xfId="4622" xr:uid="{00000000-0005-0000-0000-000033090000}"/>
    <cellStyle name="표준 10 6 4 6 2" xfId="7772" xr:uid="{00000000-0005-0000-0000-000034090000}"/>
    <cellStyle name="표준 10 6 4 7" xfId="5678" xr:uid="{00000000-0005-0000-0000-000035090000}"/>
    <cellStyle name="표준 10 6 5" xfId="2619" xr:uid="{00000000-0005-0000-0000-000036090000}"/>
    <cellStyle name="표준 10 6 5 2" xfId="2872" xr:uid="{00000000-0005-0000-0000-000037090000}"/>
    <cellStyle name="표준 10 6 5 2 2" xfId="3410" xr:uid="{00000000-0005-0000-0000-000038090000}"/>
    <cellStyle name="표준 10 6 5 2 2 2" xfId="4457" xr:uid="{00000000-0005-0000-0000-000039090000}"/>
    <cellStyle name="표준 10 6 5 2 2 2 2" xfId="7607" xr:uid="{00000000-0005-0000-0000-00003A090000}"/>
    <cellStyle name="표준 10 6 5 2 2 3" xfId="5495" xr:uid="{00000000-0005-0000-0000-00003B090000}"/>
    <cellStyle name="표준 10 6 5 2 2 3 2" xfId="8644" xr:uid="{00000000-0005-0000-0000-00003C090000}"/>
    <cellStyle name="표준 10 6 5 2 2 4" xfId="6560" xr:uid="{00000000-0005-0000-0000-00003D090000}"/>
    <cellStyle name="표준 10 6 5 2 3" xfId="3928" xr:uid="{00000000-0005-0000-0000-00003E090000}"/>
    <cellStyle name="표준 10 6 5 2 3 2" xfId="7078" xr:uid="{00000000-0005-0000-0000-00003F090000}"/>
    <cellStyle name="표준 10 6 5 2 4" xfId="4975" xr:uid="{00000000-0005-0000-0000-000040090000}"/>
    <cellStyle name="표준 10 6 5 2 4 2" xfId="8125" xr:uid="{00000000-0005-0000-0000-000041090000}"/>
    <cellStyle name="표준 10 6 5 2 5" xfId="6031" xr:uid="{00000000-0005-0000-0000-000042090000}"/>
    <cellStyle name="표준 10 6 5 3" xfId="3157" xr:uid="{00000000-0005-0000-0000-000043090000}"/>
    <cellStyle name="표준 10 6 5 3 2" xfId="4204" xr:uid="{00000000-0005-0000-0000-000044090000}"/>
    <cellStyle name="표준 10 6 5 3 2 2" xfId="7354" xr:uid="{00000000-0005-0000-0000-000045090000}"/>
    <cellStyle name="표준 10 6 5 3 3" xfId="5242" xr:uid="{00000000-0005-0000-0000-000046090000}"/>
    <cellStyle name="표준 10 6 5 3 3 2" xfId="8391" xr:uid="{00000000-0005-0000-0000-000047090000}"/>
    <cellStyle name="표준 10 6 5 3 4" xfId="6307" xr:uid="{00000000-0005-0000-0000-000048090000}"/>
    <cellStyle name="표준 10 6 5 4" xfId="3675" xr:uid="{00000000-0005-0000-0000-000049090000}"/>
    <cellStyle name="표준 10 6 5 4 2" xfId="6825" xr:uid="{00000000-0005-0000-0000-00004A090000}"/>
    <cellStyle name="표준 10 6 5 5" xfId="4722" xr:uid="{00000000-0005-0000-0000-00004B090000}"/>
    <cellStyle name="표준 10 6 5 5 2" xfId="7872" xr:uid="{00000000-0005-0000-0000-00004C090000}"/>
    <cellStyle name="표준 10 6 5 6" xfId="5778" xr:uid="{00000000-0005-0000-0000-00004D090000}"/>
    <cellStyle name="표준 10 6 6" xfId="2748" xr:uid="{00000000-0005-0000-0000-00004E090000}"/>
    <cellStyle name="표준 10 6 6 2" xfId="3286" xr:uid="{00000000-0005-0000-0000-00004F090000}"/>
    <cellStyle name="표준 10 6 6 2 2" xfId="4333" xr:uid="{00000000-0005-0000-0000-000050090000}"/>
    <cellStyle name="표준 10 6 6 2 2 2" xfId="7483" xr:uid="{00000000-0005-0000-0000-000051090000}"/>
    <cellStyle name="표준 10 6 6 2 3" xfId="5371" xr:uid="{00000000-0005-0000-0000-000052090000}"/>
    <cellStyle name="표준 10 6 6 2 3 2" xfId="8520" xr:uid="{00000000-0005-0000-0000-000053090000}"/>
    <cellStyle name="표준 10 6 6 2 4" xfId="6436" xr:uid="{00000000-0005-0000-0000-000054090000}"/>
    <cellStyle name="표준 10 6 6 3" xfId="3804" xr:uid="{00000000-0005-0000-0000-000055090000}"/>
    <cellStyle name="표준 10 6 6 3 2" xfId="6954" xr:uid="{00000000-0005-0000-0000-000056090000}"/>
    <cellStyle name="표준 10 6 6 4" xfId="4851" xr:uid="{00000000-0005-0000-0000-000057090000}"/>
    <cellStyle name="표준 10 6 6 4 2" xfId="8001" xr:uid="{00000000-0005-0000-0000-000058090000}"/>
    <cellStyle name="표준 10 6 6 5" xfId="5907" xr:uid="{00000000-0005-0000-0000-000059090000}"/>
    <cellStyle name="표준 10 6 7" xfId="3028" xr:uid="{00000000-0005-0000-0000-00005A090000}"/>
    <cellStyle name="표준 10 6 7 2" xfId="4075" xr:uid="{00000000-0005-0000-0000-00005B090000}"/>
    <cellStyle name="표준 10 6 7 2 2" xfId="7225" xr:uid="{00000000-0005-0000-0000-00005C090000}"/>
    <cellStyle name="표준 10 6 7 3" xfId="5113" xr:uid="{00000000-0005-0000-0000-00005D090000}"/>
    <cellStyle name="표준 10 6 7 3 2" xfId="8262" xr:uid="{00000000-0005-0000-0000-00005E090000}"/>
    <cellStyle name="표준 10 6 7 4" xfId="6178" xr:uid="{00000000-0005-0000-0000-00005F090000}"/>
    <cellStyle name="표준 10 6 8" xfId="3546" xr:uid="{00000000-0005-0000-0000-000060090000}"/>
    <cellStyle name="표준 10 6 8 2" xfId="6696" xr:uid="{00000000-0005-0000-0000-000061090000}"/>
    <cellStyle name="표준 10 6 9" xfId="4593" xr:uid="{00000000-0005-0000-0000-000062090000}"/>
    <cellStyle name="표준 10 6 9 2" xfId="7743" xr:uid="{00000000-0005-0000-0000-000063090000}"/>
    <cellStyle name="표준 10 7" xfId="1833" xr:uid="{00000000-0005-0000-0000-000064090000}"/>
    <cellStyle name="표준 10 7 10" xfId="5653" xr:uid="{00000000-0005-0000-0000-000065090000}"/>
    <cellStyle name="표준 10 7 2" xfId="1895" xr:uid="{00000000-0005-0000-0000-000066090000}"/>
    <cellStyle name="표준 10 7 2 2" xfId="2685" xr:uid="{00000000-0005-0000-0000-000067090000}"/>
    <cellStyle name="표준 10 7 2 2 2" xfId="2873" xr:uid="{00000000-0005-0000-0000-000068090000}"/>
    <cellStyle name="표준 10 7 2 2 2 2" xfId="3411" xr:uid="{00000000-0005-0000-0000-000069090000}"/>
    <cellStyle name="표준 10 7 2 2 2 2 2" xfId="4458" xr:uid="{00000000-0005-0000-0000-00006A090000}"/>
    <cellStyle name="표준 10 7 2 2 2 2 2 2" xfId="7608" xr:uid="{00000000-0005-0000-0000-00006B090000}"/>
    <cellStyle name="표준 10 7 2 2 2 2 3" xfId="5496" xr:uid="{00000000-0005-0000-0000-00006C090000}"/>
    <cellStyle name="표준 10 7 2 2 2 2 3 2" xfId="8645" xr:uid="{00000000-0005-0000-0000-00006D090000}"/>
    <cellStyle name="표준 10 7 2 2 2 2 4" xfId="6561" xr:uid="{00000000-0005-0000-0000-00006E090000}"/>
    <cellStyle name="표준 10 7 2 2 2 3" xfId="3929" xr:uid="{00000000-0005-0000-0000-00006F090000}"/>
    <cellStyle name="표준 10 7 2 2 2 3 2" xfId="7079" xr:uid="{00000000-0005-0000-0000-000070090000}"/>
    <cellStyle name="표준 10 7 2 2 2 4" xfId="4976" xr:uid="{00000000-0005-0000-0000-000071090000}"/>
    <cellStyle name="표준 10 7 2 2 2 4 2" xfId="8126" xr:uid="{00000000-0005-0000-0000-000072090000}"/>
    <cellStyle name="표준 10 7 2 2 2 5" xfId="6032" xr:uid="{00000000-0005-0000-0000-000073090000}"/>
    <cellStyle name="표준 10 7 2 2 3" xfId="3223" xr:uid="{00000000-0005-0000-0000-000074090000}"/>
    <cellStyle name="표준 10 7 2 2 3 2" xfId="4270" xr:uid="{00000000-0005-0000-0000-000075090000}"/>
    <cellStyle name="표준 10 7 2 2 3 2 2" xfId="7420" xr:uid="{00000000-0005-0000-0000-000076090000}"/>
    <cellStyle name="표준 10 7 2 2 3 3" xfId="5308" xr:uid="{00000000-0005-0000-0000-000077090000}"/>
    <cellStyle name="표준 10 7 2 2 3 3 2" xfId="8457" xr:uid="{00000000-0005-0000-0000-000078090000}"/>
    <cellStyle name="표준 10 7 2 2 3 4" xfId="6373" xr:uid="{00000000-0005-0000-0000-000079090000}"/>
    <cellStyle name="표준 10 7 2 2 4" xfId="3741" xr:uid="{00000000-0005-0000-0000-00007A090000}"/>
    <cellStyle name="표준 10 7 2 2 4 2" xfId="6891" xr:uid="{00000000-0005-0000-0000-00007B090000}"/>
    <cellStyle name="표준 10 7 2 2 5" xfId="4788" xr:uid="{00000000-0005-0000-0000-00007C090000}"/>
    <cellStyle name="표준 10 7 2 2 5 2" xfId="7938" xr:uid="{00000000-0005-0000-0000-00007D090000}"/>
    <cellStyle name="표준 10 7 2 2 6" xfId="5844" xr:uid="{00000000-0005-0000-0000-00007E090000}"/>
    <cellStyle name="표준 10 7 2 3" xfId="2814" xr:uid="{00000000-0005-0000-0000-00007F090000}"/>
    <cellStyle name="표준 10 7 2 3 2" xfId="3352" xr:uid="{00000000-0005-0000-0000-000080090000}"/>
    <cellStyle name="표준 10 7 2 3 2 2" xfId="4399" xr:uid="{00000000-0005-0000-0000-000081090000}"/>
    <cellStyle name="표준 10 7 2 3 2 2 2" xfId="7549" xr:uid="{00000000-0005-0000-0000-000082090000}"/>
    <cellStyle name="표준 10 7 2 3 2 3" xfId="5437" xr:uid="{00000000-0005-0000-0000-000083090000}"/>
    <cellStyle name="표준 10 7 2 3 2 3 2" xfId="8586" xr:uid="{00000000-0005-0000-0000-000084090000}"/>
    <cellStyle name="표준 10 7 2 3 2 4" xfId="6502" xr:uid="{00000000-0005-0000-0000-000085090000}"/>
    <cellStyle name="표준 10 7 2 3 3" xfId="3870" xr:uid="{00000000-0005-0000-0000-000086090000}"/>
    <cellStyle name="표준 10 7 2 3 3 2" xfId="7020" xr:uid="{00000000-0005-0000-0000-000087090000}"/>
    <cellStyle name="표준 10 7 2 3 4" xfId="4917" xr:uid="{00000000-0005-0000-0000-000088090000}"/>
    <cellStyle name="표준 10 7 2 3 4 2" xfId="8067" xr:uid="{00000000-0005-0000-0000-000089090000}"/>
    <cellStyle name="표준 10 7 2 3 5" xfId="5973" xr:uid="{00000000-0005-0000-0000-00008A090000}"/>
    <cellStyle name="표준 10 7 2 4" xfId="3094" xr:uid="{00000000-0005-0000-0000-00008B090000}"/>
    <cellStyle name="표준 10 7 2 4 2" xfId="4141" xr:uid="{00000000-0005-0000-0000-00008C090000}"/>
    <cellStyle name="표준 10 7 2 4 2 2" xfId="7291" xr:uid="{00000000-0005-0000-0000-00008D090000}"/>
    <cellStyle name="표준 10 7 2 4 3" xfId="5179" xr:uid="{00000000-0005-0000-0000-00008E090000}"/>
    <cellStyle name="표준 10 7 2 4 3 2" xfId="8328" xr:uid="{00000000-0005-0000-0000-00008F090000}"/>
    <cellStyle name="표준 10 7 2 4 4" xfId="6244" xr:uid="{00000000-0005-0000-0000-000090090000}"/>
    <cellStyle name="표준 10 7 2 5" xfId="3612" xr:uid="{00000000-0005-0000-0000-000091090000}"/>
    <cellStyle name="표준 10 7 2 5 2" xfId="6762" xr:uid="{00000000-0005-0000-0000-000092090000}"/>
    <cellStyle name="표준 10 7 2 6" xfId="4659" xr:uid="{00000000-0005-0000-0000-000093090000}"/>
    <cellStyle name="표준 10 7 2 6 2" xfId="7809" xr:uid="{00000000-0005-0000-0000-000094090000}"/>
    <cellStyle name="표준 10 7 2 7" xfId="5715" xr:uid="{00000000-0005-0000-0000-000095090000}"/>
    <cellStyle name="표준 10 7 3" xfId="1928" xr:uid="{00000000-0005-0000-0000-000096090000}"/>
    <cellStyle name="표준 10 7 3 2" xfId="2718" xr:uid="{00000000-0005-0000-0000-000097090000}"/>
    <cellStyle name="표준 10 7 3 2 2" xfId="2874" xr:uid="{00000000-0005-0000-0000-000098090000}"/>
    <cellStyle name="표준 10 7 3 2 2 2" xfId="3412" xr:uid="{00000000-0005-0000-0000-000099090000}"/>
    <cellStyle name="표준 10 7 3 2 2 2 2" xfId="4459" xr:uid="{00000000-0005-0000-0000-00009A090000}"/>
    <cellStyle name="표준 10 7 3 2 2 2 2 2" xfId="7609" xr:uid="{00000000-0005-0000-0000-00009B090000}"/>
    <cellStyle name="표준 10 7 3 2 2 2 3" xfId="5497" xr:uid="{00000000-0005-0000-0000-00009C090000}"/>
    <cellStyle name="표준 10 7 3 2 2 2 3 2" xfId="8646" xr:uid="{00000000-0005-0000-0000-00009D090000}"/>
    <cellStyle name="표준 10 7 3 2 2 2 4" xfId="6562" xr:uid="{00000000-0005-0000-0000-00009E090000}"/>
    <cellStyle name="표준 10 7 3 2 2 3" xfId="3930" xr:uid="{00000000-0005-0000-0000-00009F090000}"/>
    <cellStyle name="표준 10 7 3 2 2 3 2" xfId="7080" xr:uid="{00000000-0005-0000-0000-0000A0090000}"/>
    <cellStyle name="표준 10 7 3 2 2 4" xfId="4977" xr:uid="{00000000-0005-0000-0000-0000A1090000}"/>
    <cellStyle name="표준 10 7 3 2 2 4 2" xfId="8127" xr:uid="{00000000-0005-0000-0000-0000A2090000}"/>
    <cellStyle name="표준 10 7 3 2 2 5" xfId="6033" xr:uid="{00000000-0005-0000-0000-0000A3090000}"/>
    <cellStyle name="표준 10 7 3 2 3" xfId="3256" xr:uid="{00000000-0005-0000-0000-0000A4090000}"/>
    <cellStyle name="표준 10 7 3 2 3 2" xfId="4303" xr:uid="{00000000-0005-0000-0000-0000A5090000}"/>
    <cellStyle name="표준 10 7 3 2 3 2 2" xfId="7453" xr:uid="{00000000-0005-0000-0000-0000A6090000}"/>
    <cellStyle name="표준 10 7 3 2 3 3" xfId="5341" xr:uid="{00000000-0005-0000-0000-0000A7090000}"/>
    <cellStyle name="표준 10 7 3 2 3 3 2" xfId="8490" xr:uid="{00000000-0005-0000-0000-0000A8090000}"/>
    <cellStyle name="표준 10 7 3 2 3 4" xfId="6406" xr:uid="{00000000-0005-0000-0000-0000A9090000}"/>
    <cellStyle name="표준 10 7 3 2 4" xfId="3774" xr:uid="{00000000-0005-0000-0000-0000AA090000}"/>
    <cellStyle name="표준 10 7 3 2 4 2" xfId="6924" xr:uid="{00000000-0005-0000-0000-0000AB090000}"/>
    <cellStyle name="표준 10 7 3 2 5" xfId="4821" xr:uid="{00000000-0005-0000-0000-0000AC090000}"/>
    <cellStyle name="표준 10 7 3 2 5 2" xfId="7971" xr:uid="{00000000-0005-0000-0000-0000AD090000}"/>
    <cellStyle name="표준 10 7 3 2 6" xfId="5877" xr:uid="{00000000-0005-0000-0000-0000AE090000}"/>
    <cellStyle name="표준 10 7 3 3" xfId="2847" xr:uid="{00000000-0005-0000-0000-0000AF090000}"/>
    <cellStyle name="표준 10 7 3 3 2" xfId="3385" xr:uid="{00000000-0005-0000-0000-0000B0090000}"/>
    <cellStyle name="표준 10 7 3 3 2 2" xfId="4432" xr:uid="{00000000-0005-0000-0000-0000B1090000}"/>
    <cellStyle name="표준 10 7 3 3 2 2 2" xfId="7582" xr:uid="{00000000-0005-0000-0000-0000B2090000}"/>
    <cellStyle name="표준 10 7 3 3 2 3" xfId="5470" xr:uid="{00000000-0005-0000-0000-0000B3090000}"/>
    <cellStyle name="표준 10 7 3 3 2 3 2" xfId="8619" xr:uid="{00000000-0005-0000-0000-0000B4090000}"/>
    <cellStyle name="표준 10 7 3 3 2 4" xfId="6535" xr:uid="{00000000-0005-0000-0000-0000B5090000}"/>
    <cellStyle name="표준 10 7 3 3 3" xfId="3903" xr:uid="{00000000-0005-0000-0000-0000B6090000}"/>
    <cellStyle name="표준 10 7 3 3 3 2" xfId="7053" xr:uid="{00000000-0005-0000-0000-0000B7090000}"/>
    <cellStyle name="표준 10 7 3 3 4" xfId="4950" xr:uid="{00000000-0005-0000-0000-0000B8090000}"/>
    <cellStyle name="표준 10 7 3 3 4 2" xfId="8100" xr:uid="{00000000-0005-0000-0000-0000B9090000}"/>
    <cellStyle name="표준 10 7 3 3 5" xfId="6006" xr:uid="{00000000-0005-0000-0000-0000BA090000}"/>
    <cellStyle name="표준 10 7 3 4" xfId="3127" xr:uid="{00000000-0005-0000-0000-0000BB090000}"/>
    <cellStyle name="표준 10 7 3 4 2" xfId="4174" xr:uid="{00000000-0005-0000-0000-0000BC090000}"/>
    <cellStyle name="표준 10 7 3 4 2 2" xfId="7324" xr:uid="{00000000-0005-0000-0000-0000BD090000}"/>
    <cellStyle name="표준 10 7 3 4 3" xfId="5212" xr:uid="{00000000-0005-0000-0000-0000BE090000}"/>
    <cellStyle name="표준 10 7 3 4 3 2" xfId="8361" xr:uid="{00000000-0005-0000-0000-0000BF090000}"/>
    <cellStyle name="표준 10 7 3 4 4" xfId="6277" xr:uid="{00000000-0005-0000-0000-0000C0090000}"/>
    <cellStyle name="표준 10 7 3 5" xfId="3645" xr:uid="{00000000-0005-0000-0000-0000C1090000}"/>
    <cellStyle name="표준 10 7 3 5 2" xfId="6795" xr:uid="{00000000-0005-0000-0000-0000C2090000}"/>
    <cellStyle name="표준 10 7 3 6" xfId="4692" xr:uid="{00000000-0005-0000-0000-0000C3090000}"/>
    <cellStyle name="표준 10 7 3 6 2" xfId="7842" xr:uid="{00000000-0005-0000-0000-0000C4090000}"/>
    <cellStyle name="표준 10 7 3 7" xfId="5748" xr:uid="{00000000-0005-0000-0000-0000C5090000}"/>
    <cellStyle name="표준 10 7 4" xfId="1862" xr:uid="{00000000-0005-0000-0000-0000C6090000}"/>
    <cellStyle name="표준 10 7 4 2" xfId="2652" xr:uid="{00000000-0005-0000-0000-0000C7090000}"/>
    <cellStyle name="표준 10 7 4 2 2" xfId="2875" xr:uid="{00000000-0005-0000-0000-0000C8090000}"/>
    <cellStyle name="표준 10 7 4 2 2 2" xfId="3413" xr:uid="{00000000-0005-0000-0000-0000C9090000}"/>
    <cellStyle name="표준 10 7 4 2 2 2 2" xfId="4460" xr:uid="{00000000-0005-0000-0000-0000CA090000}"/>
    <cellStyle name="표준 10 7 4 2 2 2 2 2" xfId="7610" xr:uid="{00000000-0005-0000-0000-0000CB090000}"/>
    <cellStyle name="표준 10 7 4 2 2 2 3" xfId="5498" xr:uid="{00000000-0005-0000-0000-0000CC090000}"/>
    <cellStyle name="표준 10 7 4 2 2 2 3 2" xfId="8647" xr:uid="{00000000-0005-0000-0000-0000CD090000}"/>
    <cellStyle name="표준 10 7 4 2 2 2 4" xfId="6563" xr:uid="{00000000-0005-0000-0000-0000CE090000}"/>
    <cellStyle name="표준 10 7 4 2 2 3" xfId="3931" xr:uid="{00000000-0005-0000-0000-0000CF090000}"/>
    <cellStyle name="표준 10 7 4 2 2 3 2" xfId="7081" xr:uid="{00000000-0005-0000-0000-0000D0090000}"/>
    <cellStyle name="표준 10 7 4 2 2 4" xfId="4978" xr:uid="{00000000-0005-0000-0000-0000D1090000}"/>
    <cellStyle name="표준 10 7 4 2 2 4 2" xfId="8128" xr:uid="{00000000-0005-0000-0000-0000D2090000}"/>
    <cellStyle name="표준 10 7 4 2 2 5" xfId="6034" xr:uid="{00000000-0005-0000-0000-0000D3090000}"/>
    <cellStyle name="표준 10 7 4 2 3" xfId="3190" xr:uid="{00000000-0005-0000-0000-0000D4090000}"/>
    <cellStyle name="표준 10 7 4 2 3 2" xfId="4237" xr:uid="{00000000-0005-0000-0000-0000D5090000}"/>
    <cellStyle name="표준 10 7 4 2 3 2 2" xfId="7387" xr:uid="{00000000-0005-0000-0000-0000D6090000}"/>
    <cellStyle name="표준 10 7 4 2 3 3" xfId="5275" xr:uid="{00000000-0005-0000-0000-0000D7090000}"/>
    <cellStyle name="표준 10 7 4 2 3 3 2" xfId="8424" xr:uid="{00000000-0005-0000-0000-0000D8090000}"/>
    <cellStyle name="표준 10 7 4 2 3 4" xfId="6340" xr:uid="{00000000-0005-0000-0000-0000D9090000}"/>
    <cellStyle name="표준 10 7 4 2 4" xfId="3708" xr:uid="{00000000-0005-0000-0000-0000DA090000}"/>
    <cellStyle name="표준 10 7 4 2 4 2" xfId="6858" xr:uid="{00000000-0005-0000-0000-0000DB090000}"/>
    <cellStyle name="표준 10 7 4 2 5" xfId="4755" xr:uid="{00000000-0005-0000-0000-0000DC090000}"/>
    <cellStyle name="표준 10 7 4 2 5 2" xfId="7905" xr:uid="{00000000-0005-0000-0000-0000DD090000}"/>
    <cellStyle name="표준 10 7 4 2 6" xfId="5811" xr:uid="{00000000-0005-0000-0000-0000DE090000}"/>
    <cellStyle name="표준 10 7 4 3" xfId="2781" xr:uid="{00000000-0005-0000-0000-0000DF090000}"/>
    <cellStyle name="표준 10 7 4 3 2" xfId="3319" xr:uid="{00000000-0005-0000-0000-0000E0090000}"/>
    <cellStyle name="표준 10 7 4 3 2 2" xfId="4366" xr:uid="{00000000-0005-0000-0000-0000E1090000}"/>
    <cellStyle name="표준 10 7 4 3 2 2 2" xfId="7516" xr:uid="{00000000-0005-0000-0000-0000E2090000}"/>
    <cellStyle name="표준 10 7 4 3 2 3" xfId="5404" xr:uid="{00000000-0005-0000-0000-0000E3090000}"/>
    <cellStyle name="표준 10 7 4 3 2 3 2" xfId="8553" xr:uid="{00000000-0005-0000-0000-0000E4090000}"/>
    <cellStyle name="표준 10 7 4 3 2 4" xfId="6469" xr:uid="{00000000-0005-0000-0000-0000E5090000}"/>
    <cellStyle name="표준 10 7 4 3 3" xfId="3837" xr:uid="{00000000-0005-0000-0000-0000E6090000}"/>
    <cellStyle name="표준 10 7 4 3 3 2" xfId="6987" xr:uid="{00000000-0005-0000-0000-0000E7090000}"/>
    <cellStyle name="표준 10 7 4 3 4" xfId="4884" xr:uid="{00000000-0005-0000-0000-0000E8090000}"/>
    <cellStyle name="표준 10 7 4 3 4 2" xfId="8034" xr:uid="{00000000-0005-0000-0000-0000E9090000}"/>
    <cellStyle name="표준 10 7 4 3 5" xfId="5940" xr:uid="{00000000-0005-0000-0000-0000EA090000}"/>
    <cellStyle name="표준 10 7 4 4" xfId="3061" xr:uid="{00000000-0005-0000-0000-0000EB090000}"/>
    <cellStyle name="표준 10 7 4 4 2" xfId="4108" xr:uid="{00000000-0005-0000-0000-0000EC090000}"/>
    <cellStyle name="표준 10 7 4 4 2 2" xfId="7258" xr:uid="{00000000-0005-0000-0000-0000ED090000}"/>
    <cellStyle name="표준 10 7 4 4 3" xfId="5146" xr:uid="{00000000-0005-0000-0000-0000EE090000}"/>
    <cellStyle name="표준 10 7 4 4 3 2" xfId="8295" xr:uid="{00000000-0005-0000-0000-0000EF090000}"/>
    <cellStyle name="표준 10 7 4 4 4" xfId="6211" xr:uid="{00000000-0005-0000-0000-0000F0090000}"/>
    <cellStyle name="표준 10 7 4 5" xfId="3579" xr:uid="{00000000-0005-0000-0000-0000F1090000}"/>
    <cellStyle name="표준 10 7 4 5 2" xfId="6729" xr:uid="{00000000-0005-0000-0000-0000F2090000}"/>
    <cellStyle name="표준 10 7 4 6" xfId="4626" xr:uid="{00000000-0005-0000-0000-0000F3090000}"/>
    <cellStyle name="표준 10 7 4 6 2" xfId="7776" xr:uid="{00000000-0005-0000-0000-0000F4090000}"/>
    <cellStyle name="표준 10 7 4 7" xfId="5682" xr:uid="{00000000-0005-0000-0000-0000F5090000}"/>
    <cellStyle name="표준 10 7 5" xfId="2623" xr:uid="{00000000-0005-0000-0000-0000F6090000}"/>
    <cellStyle name="표준 10 7 5 2" xfId="2876" xr:uid="{00000000-0005-0000-0000-0000F7090000}"/>
    <cellStyle name="표준 10 7 5 2 2" xfId="3414" xr:uid="{00000000-0005-0000-0000-0000F8090000}"/>
    <cellStyle name="표준 10 7 5 2 2 2" xfId="4461" xr:uid="{00000000-0005-0000-0000-0000F9090000}"/>
    <cellStyle name="표준 10 7 5 2 2 2 2" xfId="7611" xr:uid="{00000000-0005-0000-0000-0000FA090000}"/>
    <cellStyle name="표준 10 7 5 2 2 3" xfId="5499" xr:uid="{00000000-0005-0000-0000-0000FB090000}"/>
    <cellStyle name="표준 10 7 5 2 2 3 2" xfId="8648" xr:uid="{00000000-0005-0000-0000-0000FC090000}"/>
    <cellStyle name="표준 10 7 5 2 2 4" xfId="6564" xr:uid="{00000000-0005-0000-0000-0000FD090000}"/>
    <cellStyle name="표준 10 7 5 2 3" xfId="3932" xr:uid="{00000000-0005-0000-0000-0000FE090000}"/>
    <cellStyle name="표준 10 7 5 2 3 2" xfId="7082" xr:uid="{00000000-0005-0000-0000-0000FF090000}"/>
    <cellStyle name="표준 10 7 5 2 4" xfId="4979" xr:uid="{00000000-0005-0000-0000-0000000A0000}"/>
    <cellStyle name="표준 10 7 5 2 4 2" xfId="8129" xr:uid="{00000000-0005-0000-0000-0000010A0000}"/>
    <cellStyle name="표준 10 7 5 2 5" xfId="6035" xr:uid="{00000000-0005-0000-0000-0000020A0000}"/>
    <cellStyle name="표준 10 7 5 3" xfId="3161" xr:uid="{00000000-0005-0000-0000-0000030A0000}"/>
    <cellStyle name="표준 10 7 5 3 2" xfId="4208" xr:uid="{00000000-0005-0000-0000-0000040A0000}"/>
    <cellStyle name="표준 10 7 5 3 2 2" xfId="7358" xr:uid="{00000000-0005-0000-0000-0000050A0000}"/>
    <cellStyle name="표준 10 7 5 3 3" xfId="5246" xr:uid="{00000000-0005-0000-0000-0000060A0000}"/>
    <cellStyle name="표준 10 7 5 3 3 2" xfId="8395" xr:uid="{00000000-0005-0000-0000-0000070A0000}"/>
    <cellStyle name="표준 10 7 5 3 4" xfId="6311" xr:uid="{00000000-0005-0000-0000-0000080A0000}"/>
    <cellStyle name="표준 10 7 5 4" xfId="3679" xr:uid="{00000000-0005-0000-0000-0000090A0000}"/>
    <cellStyle name="표준 10 7 5 4 2" xfId="6829" xr:uid="{00000000-0005-0000-0000-00000A0A0000}"/>
    <cellStyle name="표준 10 7 5 5" xfId="4726" xr:uid="{00000000-0005-0000-0000-00000B0A0000}"/>
    <cellStyle name="표준 10 7 5 5 2" xfId="7876" xr:uid="{00000000-0005-0000-0000-00000C0A0000}"/>
    <cellStyle name="표준 10 7 5 6" xfId="5782" xr:uid="{00000000-0005-0000-0000-00000D0A0000}"/>
    <cellStyle name="표준 10 7 6" xfId="2752" xr:uid="{00000000-0005-0000-0000-00000E0A0000}"/>
    <cellStyle name="표준 10 7 6 2" xfId="3290" xr:uid="{00000000-0005-0000-0000-00000F0A0000}"/>
    <cellStyle name="표준 10 7 6 2 2" xfId="4337" xr:uid="{00000000-0005-0000-0000-0000100A0000}"/>
    <cellStyle name="표준 10 7 6 2 2 2" xfId="7487" xr:uid="{00000000-0005-0000-0000-0000110A0000}"/>
    <cellStyle name="표준 10 7 6 2 3" xfId="5375" xr:uid="{00000000-0005-0000-0000-0000120A0000}"/>
    <cellStyle name="표준 10 7 6 2 3 2" xfId="8524" xr:uid="{00000000-0005-0000-0000-0000130A0000}"/>
    <cellStyle name="표준 10 7 6 2 4" xfId="6440" xr:uid="{00000000-0005-0000-0000-0000140A0000}"/>
    <cellStyle name="표준 10 7 6 3" xfId="3808" xr:uid="{00000000-0005-0000-0000-0000150A0000}"/>
    <cellStyle name="표준 10 7 6 3 2" xfId="6958" xr:uid="{00000000-0005-0000-0000-0000160A0000}"/>
    <cellStyle name="표준 10 7 6 4" xfId="4855" xr:uid="{00000000-0005-0000-0000-0000170A0000}"/>
    <cellStyle name="표준 10 7 6 4 2" xfId="8005" xr:uid="{00000000-0005-0000-0000-0000180A0000}"/>
    <cellStyle name="표준 10 7 6 5" xfId="5911" xr:uid="{00000000-0005-0000-0000-0000190A0000}"/>
    <cellStyle name="표준 10 7 7" xfId="3032" xr:uid="{00000000-0005-0000-0000-00001A0A0000}"/>
    <cellStyle name="표준 10 7 7 2" xfId="4079" xr:uid="{00000000-0005-0000-0000-00001B0A0000}"/>
    <cellStyle name="표준 10 7 7 2 2" xfId="7229" xr:uid="{00000000-0005-0000-0000-00001C0A0000}"/>
    <cellStyle name="표준 10 7 7 3" xfId="5117" xr:uid="{00000000-0005-0000-0000-00001D0A0000}"/>
    <cellStyle name="표준 10 7 7 3 2" xfId="8266" xr:uid="{00000000-0005-0000-0000-00001E0A0000}"/>
    <cellStyle name="표준 10 7 7 4" xfId="6182" xr:uid="{00000000-0005-0000-0000-00001F0A0000}"/>
    <cellStyle name="표준 10 7 8" xfId="3550" xr:uid="{00000000-0005-0000-0000-0000200A0000}"/>
    <cellStyle name="표준 10 7 8 2" xfId="6700" xr:uid="{00000000-0005-0000-0000-0000210A0000}"/>
    <cellStyle name="표준 10 7 9" xfId="4597" xr:uid="{00000000-0005-0000-0000-0000220A0000}"/>
    <cellStyle name="표준 10 7 9 2" xfId="7747" xr:uid="{00000000-0005-0000-0000-0000230A0000}"/>
    <cellStyle name="표준 10 8" xfId="1837" xr:uid="{00000000-0005-0000-0000-0000240A0000}"/>
    <cellStyle name="표준 10 8 10" xfId="5657" xr:uid="{00000000-0005-0000-0000-0000250A0000}"/>
    <cellStyle name="표준 10 8 2" xfId="1899" xr:uid="{00000000-0005-0000-0000-0000260A0000}"/>
    <cellStyle name="표준 10 8 2 2" xfId="2689" xr:uid="{00000000-0005-0000-0000-0000270A0000}"/>
    <cellStyle name="표준 10 8 2 2 2" xfId="2877" xr:uid="{00000000-0005-0000-0000-0000280A0000}"/>
    <cellStyle name="표준 10 8 2 2 2 2" xfId="3415" xr:uid="{00000000-0005-0000-0000-0000290A0000}"/>
    <cellStyle name="표준 10 8 2 2 2 2 2" xfId="4462" xr:uid="{00000000-0005-0000-0000-00002A0A0000}"/>
    <cellStyle name="표준 10 8 2 2 2 2 2 2" xfId="7612" xr:uid="{00000000-0005-0000-0000-00002B0A0000}"/>
    <cellStyle name="표준 10 8 2 2 2 2 3" xfId="5500" xr:uid="{00000000-0005-0000-0000-00002C0A0000}"/>
    <cellStyle name="표준 10 8 2 2 2 2 3 2" xfId="8649" xr:uid="{00000000-0005-0000-0000-00002D0A0000}"/>
    <cellStyle name="표준 10 8 2 2 2 2 4" xfId="6565" xr:uid="{00000000-0005-0000-0000-00002E0A0000}"/>
    <cellStyle name="표준 10 8 2 2 2 3" xfId="3933" xr:uid="{00000000-0005-0000-0000-00002F0A0000}"/>
    <cellStyle name="표준 10 8 2 2 2 3 2" xfId="7083" xr:uid="{00000000-0005-0000-0000-0000300A0000}"/>
    <cellStyle name="표준 10 8 2 2 2 4" xfId="4980" xr:uid="{00000000-0005-0000-0000-0000310A0000}"/>
    <cellStyle name="표준 10 8 2 2 2 4 2" xfId="8130" xr:uid="{00000000-0005-0000-0000-0000320A0000}"/>
    <cellStyle name="표준 10 8 2 2 2 5" xfId="6036" xr:uid="{00000000-0005-0000-0000-0000330A0000}"/>
    <cellStyle name="표준 10 8 2 2 3" xfId="3227" xr:uid="{00000000-0005-0000-0000-0000340A0000}"/>
    <cellStyle name="표준 10 8 2 2 3 2" xfId="4274" xr:uid="{00000000-0005-0000-0000-0000350A0000}"/>
    <cellStyle name="표준 10 8 2 2 3 2 2" xfId="7424" xr:uid="{00000000-0005-0000-0000-0000360A0000}"/>
    <cellStyle name="표준 10 8 2 2 3 3" xfId="5312" xr:uid="{00000000-0005-0000-0000-0000370A0000}"/>
    <cellStyle name="표준 10 8 2 2 3 3 2" xfId="8461" xr:uid="{00000000-0005-0000-0000-0000380A0000}"/>
    <cellStyle name="표준 10 8 2 2 3 4" xfId="6377" xr:uid="{00000000-0005-0000-0000-0000390A0000}"/>
    <cellStyle name="표준 10 8 2 2 4" xfId="3745" xr:uid="{00000000-0005-0000-0000-00003A0A0000}"/>
    <cellStyle name="표준 10 8 2 2 4 2" xfId="6895" xr:uid="{00000000-0005-0000-0000-00003B0A0000}"/>
    <cellStyle name="표준 10 8 2 2 5" xfId="4792" xr:uid="{00000000-0005-0000-0000-00003C0A0000}"/>
    <cellStyle name="표준 10 8 2 2 5 2" xfId="7942" xr:uid="{00000000-0005-0000-0000-00003D0A0000}"/>
    <cellStyle name="표준 10 8 2 2 6" xfId="5848" xr:uid="{00000000-0005-0000-0000-00003E0A0000}"/>
    <cellStyle name="표준 10 8 2 3" xfId="2818" xr:uid="{00000000-0005-0000-0000-00003F0A0000}"/>
    <cellStyle name="표준 10 8 2 3 2" xfId="3356" xr:uid="{00000000-0005-0000-0000-0000400A0000}"/>
    <cellStyle name="표준 10 8 2 3 2 2" xfId="4403" xr:uid="{00000000-0005-0000-0000-0000410A0000}"/>
    <cellStyle name="표준 10 8 2 3 2 2 2" xfId="7553" xr:uid="{00000000-0005-0000-0000-0000420A0000}"/>
    <cellStyle name="표준 10 8 2 3 2 3" xfId="5441" xr:uid="{00000000-0005-0000-0000-0000430A0000}"/>
    <cellStyle name="표준 10 8 2 3 2 3 2" xfId="8590" xr:uid="{00000000-0005-0000-0000-0000440A0000}"/>
    <cellStyle name="표준 10 8 2 3 2 4" xfId="6506" xr:uid="{00000000-0005-0000-0000-0000450A0000}"/>
    <cellStyle name="표준 10 8 2 3 3" xfId="3874" xr:uid="{00000000-0005-0000-0000-0000460A0000}"/>
    <cellStyle name="표준 10 8 2 3 3 2" xfId="7024" xr:uid="{00000000-0005-0000-0000-0000470A0000}"/>
    <cellStyle name="표준 10 8 2 3 4" xfId="4921" xr:uid="{00000000-0005-0000-0000-0000480A0000}"/>
    <cellStyle name="표준 10 8 2 3 4 2" xfId="8071" xr:uid="{00000000-0005-0000-0000-0000490A0000}"/>
    <cellStyle name="표준 10 8 2 3 5" xfId="5977" xr:uid="{00000000-0005-0000-0000-00004A0A0000}"/>
    <cellStyle name="표준 10 8 2 4" xfId="3098" xr:uid="{00000000-0005-0000-0000-00004B0A0000}"/>
    <cellStyle name="표준 10 8 2 4 2" xfId="4145" xr:uid="{00000000-0005-0000-0000-00004C0A0000}"/>
    <cellStyle name="표준 10 8 2 4 2 2" xfId="7295" xr:uid="{00000000-0005-0000-0000-00004D0A0000}"/>
    <cellStyle name="표준 10 8 2 4 3" xfId="5183" xr:uid="{00000000-0005-0000-0000-00004E0A0000}"/>
    <cellStyle name="표준 10 8 2 4 3 2" xfId="8332" xr:uid="{00000000-0005-0000-0000-00004F0A0000}"/>
    <cellStyle name="표준 10 8 2 4 4" xfId="6248" xr:uid="{00000000-0005-0000-0000-0000500A0000}"/>
    <cellStyle name="표준 10 8 2 5" xfId="3616" xr:uid="{00000000-0005-0000-0000-0000510A0000}"/>
    <cellStyle name="표준 10 8 2 5 2" xfId="6766" xr:uid="{00000000-0005-0000-0000-0000520A0000}"/>
    <cellStyle name="표준 10 8 2 6" xfId="4663" xr:uid="{00000000-0005-0000-0000-0000530A0000}"/>
    <cellStyle name="표준 10 8 2 6 2" xfId="7813" xr:uid="{00000000-0005-0000-0000-0000540A0000}"/>
    <cellStyle name="표준 10 8 2 7" xfId="5719" xr:uid="{00000000-0005-0000-0000-0000550A0000}"/>
    <cellStyle name="표준 10 8 3" xfId="1932" xr:uid="{00000000-0005-0000-0000-0000560A0000}"/>
    <cellStyle name="표준 10 8 3 2" xfId="2722" xr:uid="{00000000-0005-0000-0000-0000570A0000}"/>
    <cellStyle name="표준 10 8 3 2 2" xfId="2878" xr:uid="{00000000-0005-0000-0000-0000580A0000}"/>
    <cellStyle name="표준 10 8 3 2 2 2" xfId="3416" xr:uid="{00000000-0005-0000-0000-0000590A0000}"/>
    <cellStyle name="표준 10 8 3 2 2 2 2" xfId="4463" xr:uid="{00000000-0005-0000-0000-00005A0A0000}"/>
    <cellStyle name="표준 10 8 3 2 2 2 2 2" xfId="7613" xr:uid="{00000000-0005-0000-0000-00005B0A0000}"/>
    <cellStyle name="표준 10 8 3 2 2 2 3" xfId="5501" xr:uid="{00000000-0005-0000-0000-00005C0A0000}"/>
    <cellStyle name="표준 10 8 3 2 2 2 3 2" xfId="8650" xr:uid="{00000000-0005-0000-0000-00005D0A0000}"/>
    <cellStyle name="표준 10 8 3 2 2 2 4" xfId="6566" xr:uid="{00000000-0005-0000-0000-00005E0A0000}"/>
    <cellStyle name="표준 10 8 3 2 2 3" xfId="3934" xr:uid="{00000000-0005-0000-0000-00005F0A0000}"/>
    <cellStyle name="표준 10 8 3 2 2 3 2" xfId="7084" xr:uid="{00000000-0005-0000-0000-0000600A0000}"/>
    <cellStyle name="표준 10 8 3 2 2 4" xfId="4981" xr:uid="{00000000-0005-0000-0000-0000610A0000}"/>
    <cellStyle name="표준 10 8 3 2 2 4 2" xfId="8131" xr:uid="{00000000-0005-0000-0000-0000620A0000}"/>
    <cellStyle name="표준 10 8 3 2 2 5" xfId="6037" xr:uid="{00000000-0005-0000-0000-0000630A0000}"/>
    <cellStyle name="표준 10 8 3 2 3" xfId="3260" xr:uid="{00000000-0005-0000-0000-0000640A0000}"/>
    <cellStyle name="표준 10 8 3 2 3 2" xfId="4307" xr:uid="{00000000-0005-0000-0000-0000650A0000}"/>
    <cellStyle name="표준 10 8 3 2 3 2 2" xfId="7457" xr:uid="{00000000-0005-0000-0000-0000660A0000}"/>
    <cellStyle name="표준 10 8 3 2 3 3" xfId="5345" xr:uid="{00000000-0005-0000-0000-0000670A0000}"/>
    <cellStyle name="표준 10 8 3 2 3 3 2" xfId="8494" xr:uid="{00000000-0005-0000-0000-0000680A0000}"/>
    <cellStyle name="표준 10 8 3 2 3 4" xfId="6410" xr:uid="{00000000-0005-0000-0000-0000690A0000}"/>
    <cellStyle name="표준 10 8 3 2 4" xfId="3778" xr:uid="{00000000-0005-0000-0000-00006A0A0000}"/>
    <cellStyle name="표준 10 8 3 2 4 2" xfId="6928" xr:uid="{00000000-0005-0000-0000-00006B0A0000}"/>
    <cellStyle name="표준 10 8 3 2 5" xfId="4825" xr:uid="{00000000-0005-0000-0000-00006C0A0000}"/>
    <cellStyle name="표준 10 8 3 2 5 2" xfId="7975" xr:uid="{00000000-0005-0000-0000-00006D0A0000}"/>
    <cellStyle name="표준 10 8 3 2 6" xfId="5881" xr:uid="{00000000-0005-0000-0000-00006E0A0000}"/>
    <cellStyle name="표준 10 8 3 3" xfId="2851" xr:uid="{00000000-0005-0000-0000-00006F0A0000}"/>
    <cellStyle name="표준 10 8 3 3 2" xfId="3389" xr:uid="{00000000-0005-0000-0000-0000700A0000}"/>
    <cellStyle name="표준 10 8 3 3 2 2" xfId="4436" xr:uid="{00000000-0005-0000-0000-0000710A0000}"/>
    <cellStyle name="표준 10 8 3 3 2 2 2" xfId="7586" xr:uid="{00000000-0005-0000-0000-0000720A0000}"/>
    <cellStyle name="표준 10 8 3 3 2 3" xfId="5474" xr:uid="{00000000-0005-0000-0000-0000730A0000}"/>
    <cellStyle name="표준 10 8 3 3 2 3 2" xfId="8623" xr:uid="{00000000-0005-0000-0000-0000740A0000}"/>
    <cellStyle name="표준 10 8 3 3 2 4" xfId="6539" xr:uid="{00000000-0005-0000-0000-0000750A0000}"/>
    <cellStyle name="표준 10 8 3 3 3" xfId="3907" xr:uid="{00000000-0005-0000-0000-0000760A0000}"/>
    <cellStyle name="표준 10 8 3 3 3 2" xfId="7057" xr:uid="{00000000-0005-0000-0000-0000770A0000}"/>
    <cellStyle name="표준 10 8 3 3 4" xfId="4954" xr:uid="{00000000-0005-0000-0000-0000780A0000}"/>
    <cellStyle name="표준 10 8 3 3 4 2" xfId="8104" xr:uid="{00000000-0005-0000-0000-0000790A0000}"/>
    <cellStyle name="표준 10 8 3 3 5" xfId="6010" xr:uid="{00000000-0005-0000-0000-00007A0A0000}"/>
    <cellStyle name="표준 10 8 3 4" xfId="3131" xr:uid="{00000000-0005-0000-0000-00007B0A0000}"/>
    <cellStyle name="표준 10 8 3 4 2" xfId="4178" xr:uid="{00000000-0005-0000-0000-00007C0A0000}"/>
    <cellStyle name="표준 10 8 3 4 2 2" xfId="7328" xr:uid="{00000000-0005-0000-0000-00007D0A0000}"/>
    <cellStyle name="표준 10 8 3 4 3" xfId="5216" xr:uid="{00000000-0005-0000-0000-00007E0A0000}"/>
    <cellStyle name="표준 10 8 3 4 3 2" xfId="8365" xr:uid="{00000000-0005-0000-0000-00007F0A0000}"/>
    <cellStyle name="표준 10 8 3 4 4" xfId="6281" xr:uid="{00000000-0005-0000-0000-0000800A0000}"/>
    <cellStyle name="표준 10 8 3 5" xfId="3649" xr:uid="{00000000-0005-0000-0000-0000810A0000}"/>
    <cellStyle name="표준 10 8 3 5 2" xfId="6799" xr:uid="{00000000-0005-0000-0000-0000820A0000}"/>
    <cellStyle name="표준 10 8 3 6" xfId="4696" xr:uid="{00000000-0005-0000-0000-0000830A0000}"/>
    <cellStyle name="표준 10 8 3 6 2" xfId="7846" xr:uid="{00000000-0005-0000-0000-0000840A0000}"/>
    <cellStyle name="표준 10 8 3 7" xfId="5752" xr:uid="{00000000-0005-0000-0000-0000850A0000}"/>
    <cellStyle name="표준 10 8 4" xfId="1866" xr:uid="{00000000-0005-0000-0000-0000860A0000}"/>
    <cellStyle name="표준 10 8 4 2" xfId="2656" xr:uid="{00000000-0005-0000-0000-0000870A0000}"/>
    <cellStyle name="표준 10 8 4 2 2" xfId="2879" xr:uid="{00000000-0005-0000-0000-0000880A0000}"/>
    <cellStyle name="표준 10 8 4 2 2 2" xfId="3417" xr:uid="{00000000-0005-0000-0000-0000890A0000}"/>
    <cellStyle name="표준 10 8 4 2 2 2 2" xfId="4464" xr:uid="{00000000-0005-0000-0000-00008A0A0000}"/>
    <cellStyle name="표준 10 8 4 2 2 2 2 2" xfId="7614" xr:uid="{00000000-0005-0000-0000-00008B0A0000}"/>
    <cellStyle name="표준 10 8 4 2 2 2 3" xfId="5502" xr:uid="{00000000-0005-0000-0000-00008C0A0000}"/>
    <cellStyle name="표준 10 8 4 2 2 2 3 2" xfId="8651" xr:uid="{00000000-0005-0000-0000-00008D0A0000}"/>
    <cellStyle name="표준 10 8 4 2 2 2 4" xfId="6567" xr:uid="{00000000-0005-0000-0000-00008E0A0000}"/>
    <cellStyle name="표준 10 8 4 2 2 3" xfId="3935" xr:uid="{00000000-0005-0000-0000-00008F0A0000}"/>
    <cellStyle name="표준 10 8 4 2 2 3 2" xfId="7085" xr:uid="{00000000-0005-0000-0000-0000900A0000}"/>
    <cellStyle name="표준 10 8 4 2 2 4" xfId="4982" xr:uid="{00000000-0005-0000-0000-0000910A0000}"/>
    <cellStyle name="표준 10 8 4 2 2 4 2" xfId="8132" xr:uid="{00000000-0005-0000-0000-0000920A0000}"/>
    <cellStyle name="표준 10 8 4 2 2 5" xfId="6038" xr:uid="{00000000-0005-0000-0000-0000930A0000}"/>
    <cellStyle name="표준 10 8 4 2 3" xfId="3194" xr:uid="{00000000-0005-0000-0000-0000940A0000}"/>
    <cellStyle name="표준 10 8 4 2 3 2" xfId="4241" xr:uid="{00000000-0005-0000-0000-0000950A0000}"/>
    <cellStyle name="표준 10 8 4 2 3 2 2" xfId="7391" xr:uid="{00000000-0005-0000-0000-0000960A0000}"/>
    <cellStyle name="표준 10 8 4 2 3 3" xfId="5279" xr:uid="{00000000-0005-0000-0000-0000970A0000}"/>
    <cellStyle name="표준 10 8 4 2 3 3 2" xfId="8428" xr:uid="{00000000-0005-0000-0000-0000980A0000}"/>
    <cellStyle name="표준 10 8 4 2 3 4" xfId="6344" xr:uid="{00000000-0005-0000-0000-0000990A0000}"/>
    <cellStyle name="표준 10 8 4 2 4" xfId="3712" xr:uid="{00000000-0005-0000-0000-00009A0A0000}"/>
    <cellStyle name="표준 10 8 4 2 4 2" xfId="6862" xr:uid="{00000000-0005-0000-0000-00009B0A0000}"/>
    <cellStyle name="표준 10 8 4 2 5" xfId="4759" xr:uid="{00000000-0005-0000-0000-00009C0A0000}"/>
    <cellStyle name="표준 10 8 4 2 5 2" xfId="7909" xr:uid="{00000000-0005-0000-0000-00009D0A0000}"/>
    <cellStyle name="표준 10 8 4 2 6" xfId="5815" xr:uid="{00000000-0005-0000-0000-00009E0A0000}"/>
    <cellStyle name="표준 10 8 4 3" xfId="2785" xr:uid="{00000000-0005-0000-0000-00009F0A0000}"/>
    <cellStyle name="표준 10 8 4 3 2" xfId="3323" xr:uid="{00000000-0005-0000-0000-0000A00A0000}"/>
    <cellStyle name="표준 10 8 4 3 2 2" xfId="4370" xr:uid="{00000000-0005-0000-0000-0000A10A0000}"/>
    <cellStyle name="표준 10 8 4 3 2 2 2" xfId="7520" xr:uid="{00000000-0005-0000-0000-0000A20A0000}"/>
    <cellStyle name="표준 10 8 4 3 2 3" xfId="5408" xr:uid="{00000000-0005-0000-0000-0000A30A0000}"/>
    <cellStyle name="표준 10 8 4 3 2 3 2" xfId="8557" xr:uid="{00000000-0005-0000-0000-0000A40A0000}"/>
    <cellStyle name="표준 10 8 4 3 2 4" xfId="6473" xr:uid="{00000000-0005-0000-0000-0000A50A0000}"/>
    <cellStyle name="표준 10 8 4 3 3" xfId="3841" xr:uid="{00000000-0005-0000-0000-0000A60A0000}"/>
    <cellStyle name="표준 10 8 4 3 3 2" xfId="6991" xr:uid="{00000000-0005-0000-0000-0000A70A0000}"/>
    <cellStyle name="표준 10 8 4 3 4" xfId="4888" xr:uid="{00000000-0005-0000-0000-0000A80A0000}"/>
    <cellStyle name="표준 10 8 4 3 4 2" xfId="8038" xr:uid="{00000000-0005-0000-0000-0000A90A0000}"/>
    <cellStyle name="표준 10 8 4 3 5" xfId="5944" xr:uid="{00000000-0005-0000-0000-0000AA0A0000}"/>
    <cellStyle name="표준 10 8 4 4" xfId="3065" xr:uid="{00000000-0005-0000-0000-0000AB0A0000}"/>
    <cellStyle name="표준 10 8 4 4 2" xfId="4112" xr:uid="{00000000-0005-0000-0000-0000AC0A0000}"/>
    <cellStyle name="표준 10 8 4 4 2 2" xfId="7262" xr:uid="{00000000-0005-0000-0000-0000AD0A0000}"/>
    <cellStyle name="표준 10 8 4 4 3" xfId="5150" xr:uid="{00000000-0005-0000-0000-0000AE0A0000}"/>
    <cellStyle name="표준 10 8 4 4 3 2" xfId="8299" xr:uid="{00000000-0005-0000-0000-0000AF0A0000}"/>
    <cellStyle name="표준 10 8 4 4 4" xfId="6215" xr:uid="{00000000-0005-0000-0000-0000B00A0000}"/>
    <cellStyle name="표준 10 8 4 5" xfId="3583" xr:uid="{00000000-0005-0000-0000-0000B10A0000}"/>
    <cellStyle name="표준 10 8 4 5 2" xfId="6733" xr:uid="{00000000-0005-0000-0000-0000B20A0000}"/>
    <cellStyle name="표준 10 8 4 6" xfId="4630" xr:uid="{00000000-0005-0000-0000-0000B30A0000}"/>
    <cellStyle name="표준 10 8 4 6 2" xfId="7780" xr:uid="{00000000-0005-0000-0000-0000B40A0000}"/>
    <cellStyle name="표준 10 8 4 7" xfId="5686" xr:uid="{00000000-0005-0000-0000-0000B50A0000}"/>
    <cellStyle name="표준 10 8 5" xfId="2627" xr:uid="{00000000-0005-0000-0000-0000B60A0000}"/>
    <cellStyle name="표준 10 8 5 2" xfId="2880" xr:uid="{00000000-0005-0000-0000-0000B70A0000}"/>
    <cellStyle name="표준 10 8 5 2 2" xfId="3418" xr:uid="{00000000-0005-0000-0000-0000B80A0000}"/>
    <cellStyle name="표준 10 8 5 2 2 2" xfId="4465" xr:uid="{00000000-0005-0000-0000-0000B90A0000}"/>
    <cellStyle name="표준 10 8 5 2 2 2 2" xfId="7615" xr:uid="{00000000-0005-0000-0000-0000BA0A0000}"/>
    <cellStyle name="표준 10 8 5 2 2 3" xfId="5503" xr:uid="{00000000-0005-0000-0000-0000BB0A0000}"/>
    <cellStyle name="표준 10 8 5 2 2 3 2" xfId="8652" xr:uid="{00000000-0005-0000-0000-0000BC0A0000}"/>
    <cellStyle name="표준 10 8 5 2 2 4" xfId="6568" xr:uid="{00000000-0005-0000-0000-0000BD0A0000}"/>
    <cellStyle name="표준 10 8 5 2 3" xfId="3936" xr:uid="{00000000-0005-0000-0000-0000BE0A0000}"/>
    <cellStyle name="표준 10 8 5 2 3 2" xfId="7086" xr:uid="{00000000-0005-0000-0000-0000BF0A0000}"/>
    <cellStyle name="표준 10 8 5 2 4" xfId="4983" xr:uid="{00000000-0005-0000-0000-0000C00A0000}"/>
    <cellStyle name="표준 10 8 5 2 4 2" xfId="8133" xr:uid="{00000000-0005-0000-0000-0000C10A0000}"/>
    <cellStyle name="표준 10 8 5 2 5" xfId="6039" xr:uid="{00000000-0005-0000-0000-0000C20A0000}"/>
    <cellStyle name="표준 10 8 5 3" xfId="3165" xr:uid="{00000000-0005-0000-0000-0000C30A0000}"/>
    <cellStyle name="표준 10 8 5 3 2" xfId="4212" xr:uid="{00000000-0005-0000-0000-0000C40A0000}"/>
    <cellStyle name="표준 10 8 5 3 2 2" xfId="7362" xr:uid="{00000000-0005-0000-0000-0000C50A0000}"/>
    <cellStyle name="표준 10 8 5 3 3" xfId="5250" xr:uid="{00000000-0005-0000-0000-0000C60A0000}"/>
    <cellStyle name="표준 10 8 5 3 3 2" xfId="8399" xr:uid="{00000000-0005-0000-0000-0000C70A0000}"/>
    <cellStyle name="표준 10 8 5 3 4" xfId="6315" xr:uid="{00000000-0005-0000-0000-0000C80A0000}"/>
    <cellStyle name="표준 10 8 5 4" xfId="3683" xr:uid="{00000000-0005-0000-0000-0000C90A0000}"/>
    <cellStyle name="표준 10 8 5 4 2" xfId="6833" xr:uid="{00000000-0005-0000-0000-0000CA0A0000}"/>
    <cellStyle name="표준 10 8 5 5" xfId="4730" xr:uid="{00000000-0005-0000-0000-0000CB0A0000}"/>
    <cellStyle name="표준 10 8 5 5 2" xfId="7880" xr:uid="{00000000-0005-0000-0000-0000CC0A0000}"/>
    <cellStyle name="표준 10 8 5 6" xfId="5786" xr:uid="{00000000-0005-0000-0000-0000CD0A0000}"/>
    <cellStyle name="표준 10 8 6" xfId="2756" xr:uid="{00000000-0005-0000-0000-0000CE0A0000}"/>
    <cellStyle name="표준 10 8 6 2" xfId="3294" xr:uid="{00000000-0005-0000-0000-0000CF0A0000}"/>
    <cellStyle name="표준 10 8 6 2 2" xfId="4341" xr:uid="{00000000-0005-0000-0000-0000D00A0000}"/>
    <cellStyle name="표준 10 8 6 2 2 2" xfId="7491" xr:uid="{00000000-0005-0000-0000-0000D10A0000}"/>
    <cellStyle name="표준 10 8 6 2 3" xfId="5379" xr:uid="{00000000-0005-0000-0000-0000D20A0000}"/>
    <cellStyle name="표준 10 8 6 2 3 2" xfId="8528" xr:uid="{00000000-0005-0000-0000-0000D30A0000}"/>
    <cellStyle name="표준 10 8 6 2 4" xfId="6444" xr:uid="{00000000-0005-0000-0000-0000D40A0000}"/>
    <cellStyle name="표준 10 8 6 3" xfId="3812" xr:uid="{00000000-0005-0000-0000-0000D50A0000}"/>
    <cellStyle name="표준 10 8 6 3 2" xfId="6962" xr:uid="{00000000-0005-0000-0000-0000D60A0000}"/>
    <cellStyle name="표준 10 8 6 4" xfId="4859" xr:uid="{00000000-0005-0000-0000-0000D70A0000}"/>
    <cellStyle name="표준 10 8 6 4 2" xfId="8009" xr:uid="{00000000-0005-0000-0000-0000D80A0000}"/>
    <cellStyle name="표준 10 8 6 5" xfId="5915" xr:uid="{00000000-0005-0000-0000-0000D90A0000}"/>
    <cellStyle name="표준 10 8 7" xfId="3036" xr:uid="{00000000-0005-0000-0000-0000DA0A0000}"/>
    <cellStyle name="표준 10 8 7 2" xfId="4083" xr:uid="{00000000-0005-0000-0000-0000DB0A0000}"/>
    <cellStyle name="표준 10 8 7 2 2" xfId="7233" xr:uid="{00000000-0005-0000-0000-0000DC0A0000}"/>
    <cellStyle name="표준 10 8 7 3" xfId="5121" xr:uid="{00000000-0005-0000-0000-0000DD0A0000}"/>
    <cellStyle name="표준 10 8 7 3 2" xfId="8270" xr:uid="{00000000-0005-0000-0000-0000DE0A0000}"/>
    <cellStyle name="표준 10 8 7 4" xfId="6186" xr:uid="{00000000-0005-0000-0000-0000DF0A0000}"/>
    <cellStyle name="표준 10 8 8" xfId="3554" xr:uid="{00000000-0005-0000-0000-0000E00A0000}"/>
    <cellStyle name="표준 10 8 8 2" xfId="6704" xr:uid="{00000000-0005-0000-0000-0000E10A0000}"/>
    <cellStyle name="표준 10 8 9" xfId="4601" xr:uid="{00000000-0005-0000-0000-0000E20A0000}"/>
    <cellStyle name="표준 10 8 9 2" xfId="7751" xr:uid="{00000000-0005-0000-0000-0000E30A0000}"/>
    <cellStyle name="표준 10 9" xfId="457" xr:uid="{00000000-0005-0000-0000-0000E40A0000}"/>
    <cellStyle name="표준 10 9 2" xfId="1907" xr:uid="{00000000-0005-0000-0000-0000E50A0000}"/>
    <cellStyle name="표준 10 9 2 2" xfId="2697" xr:uid="{00000000-0005-0000-0000-0000E60A0000}"/>
    <cellStyle name="표준 10 9 2 2 2" xfId="2881" xr:uid="{00000000-0005-0000-0000-0000E70A0000}"/>
    <cellStyle name="표준 10 9 2 2 2 2" xfId="3419" xr:uid="{00000000-0005-0000-0000-0000E80A0000}"/>
    <cellStyle name="표준 10 9 2 2 2 2 2" xfId="4466" xr:uid="{00000000-0005-0000-0000-0000E90A0000}"/>
    <cellStyle name="표준 10 9 2 2 2 2 2 2" xfId="7616" xr:uid="{00000000-0005-0000-0000-0000EA0A0000}"/>
    <cellStyle name="표준 10 9 2 2 2 2 3" xfId="5504" xr:uid="{00000000-0005-0000-0000-0000EB0A0000}"/>
    <cellStyle name="표준 10 9 2 2 2 2 3 2" xfId="8653" xr:uid="{00000000-0005-0000-0000-0000EC0A0000}"/>
    <cellStyle name="표준 10 9 2 2 2 2 4" xfId="6569" xr:uid="{00000000-0005-0000-0000-0000ED0A0000}"/>
    <cellStyle name="표준 10 9 2 2 2 3" xfId="3937" xr:uid="{00000000-0005-0000-0000-0000EE0A0000}"/>
    <cellStyle name="표준 10 9 2 2 2 3 2" xfId="7087" xr:uid="{00000000-0005-0000-0000-0000EF0A0000}"/>
    <cellStyle name="표준 10 9 2 2 2 4" xfId="4984" xr:uid="{00000000-0005-0000-0000-0000F00A0000}"/>
    <cellStyle name="표준 10 9 2 2 2 4 2" xfId="8134" xr:uid="{00000000-0005-0000-0000-0000F10A0000}"/>
    <cellStyle name="표준 10 9 2 2 2 5" xfId="6040" xr:uid="{00000000-0005-0000-0000-0000F20A0000}"/>
    <cellStyle name="표준 10 9 2 2 3" xfId="3235" xr:uid="{00000000-0005-0000-0000-0000F30A0000}"/>
    <cellStyle name="표준 10 9 2 2 3 2" xfId="4282" xr:uid="{00000000-0005-0000-0000-0000F40A0000}"/>
    <cellStyle name="표준 10 9 2 2 3 2 2" xfId="7432" xr:uid="{00000000-0005-0000-0000-0000F50A0000}"/>
    <cellStyle name="표준 10 9 2 2 3 3" xfId="5320" xr:uid="{00000000-0005-0000-0000-0000F60A0000}"/>
    <cellStyle name="표준 10 9 2 2 3 3 2" xfId="8469" xr:uid="{00000000-0005-0000-0000-0000F70A0000}"/>
    <cellStyle name="표준 10 9 2 2 3 4" xfId="6385" xr:uid="{00000000-0005-0000-0000-0000F80A0000}"/>
    <cellStyle name="표준 10 9 2 2 4" xfId="3753" xr:uid="{00000000-0005-0000-0000-0000F90A0000}"/>
    <cellStyle name="표준 10 9 2 2 4 2" xfId="6903" xr:uid="{00000000-0005-0000-0000-0000FA0A0000}"/>
    <cellStyle name="표준 10 9 2 2 5" xfId="4800" xr:uid="{00000000-0005-0000-0000-0000FB0A0000}"/>
    <cellStyle name="표준 10 9 2 2 5 2" xfId="7950" xr:uid="{00000000-0005-0000-0000-0000FC0A0000}"/>
    <cellStyle name="표준 10 9 2 2 6" xfId="5856" xr:uid="{00000000-0005-0000-0000-0000FD0A0000}"/>
    <cellStyle name="표준 10 9 2 3" xfId="2826" xr:uid="{00000000-0005-0000-0000-0000FE0A0000}"/>
    <cellStyle name="표준 10 9 2 3 2" xfId="3364" xr:uid="{00000000-0005-0000-0000-0000FF0A0000}"/>
    <cellStyle name="표준 10 9 2 3 2 2" xfId="4411" xr:uid="{00000000-0005-0000-0000-0000000B0000}"/>
    <cellStyle name="표준 10 9 2 3 2 2 2" xfId="7561" xr:uid="{00000000-0005-0000-0000-0000010B0000}"/>
    <cellStyle name="표준 10 9 2 3 2 3" xfId="5449" xr:uid="{00000000-0005-0000-0000-0000020B0000}"/>
    <cellStyle name="표준 10 9 2 3 2 3 2" xfId="8598" xr:uid="{00000000-0005-0000-0000-0000030B0000}"/>
    <cellStyle name="표준 10 9 2 3 2 4" xfId="6514" xr:uid="{00000000-0005-0000-0000-0000040B0000}"/>
    <cellStyle name="표준 10 9 2 3 3" xfId="3882" xr:uid="{00000000-0005-0000-0000-0000050B0000}"/>
    <cellStyle name="표준 10 9 2 3 3 2" xfId="7032" xr:uid="{00000000-0005-0000-0000-0000060B0000}"/>
    <cellStyle name="표준 10 9 2 3 4" xfId="4929" xr:uid="{00000000-0005-0000-0000-0000070B0000}"/>
    <cellStyle name="표준 10 9 2 3 4 2" xfId="8079" xr:uid="{00000000-0005-0000-0000-0000080B0000}"/>
    <cellStyle name="표준 10 9 2 3 5" xfId="5985" xr:uid="{00000000-0005-0000-0000-0000090B0000}"/>
    <cellStyle name="표준 10 9 2 4" xfId="3106" xr:uid="{00000000-0005-0000-0000-00000A0B0000}"/>
    <cellStyle name="표준 10 9 2 4 2" xfId="4153" xr:uid="{00000000-0005-0000-0000-00000B0B0000}"/>
    <cellStyle name="표준 10 9 2 4 2 2" xfId="7303" xr:uid="{00000000-0005-0000-0000-00000C0B0000}"/>
    <cellStyle name="표준 10 9 2 4 3" xfId="5191" xr:uid="{00000000-0005-0000-0000-00000D0B0000}"/>
    <cellStyle name="표준 10 9 2 4 3 2" xfId="8340" xr:uid="{00000000-0005-0000-0000-00000E0B0000}"/>
    <cellStyle name="표준 10 9 2 4 4" xfId="6256" xr:uid="{00000000-0005-0000-0000-00000F0B0000}"/>
    <cellStyle name="표준 10 9 2 5" xfId="3624" xr:uid="{00000000-0005-0000-0000-0000100B0000}"/>
    <cellStyle name="표준 10 9 2 5 2" xfId="6774" xr:uid="{00000000-0005-0000-0000-0000110B0000}"/>
    <cellStyle name="표준 10 9 2 6" xfId="4671" xr:uid="{00000000-0005-0000-0000-0000120B0000}"/>
    <cellStyle name="표준 10 9 2 6 2" xfId="7821" xr:uid="{00000000-0005-0000-0000-0000130B0000}"/>
    <cellStyle name="표준 10 9 2 7" xfId="5727" xr:uid="{00000000-0005-0000-0000-0000140B0000}"/>
    <cellStyle name="표준 10 9 3" xfId="1874" xr:uid="{00000000-0005-0000-0000-0000150B0000}"/>
    <cellStyle name="표준 10 9 3 2" xfId="2664" xr:uid="{00000000-0005-0000-0000-0000160B0000}"/>
    <cellStyle name="표준 10 9 3 2 2" xfId="2882" xr:uid="{00000000-0005-0000-0000-0000170B0000}"/>
    <cellStyle name="표준 10 9 3 2 2 2" xfId="3420" xr:uid="{00000000-0005-0000-0000-0000180B0000}"/>
    <cellStyle name="표준 10 9 3 2 2 2 2" xfId="4467" xr:uid="{00000000-0005-0000-0000-0000190B0000}"/>
    <cellStyle name="표준 10 9 3 2 2 2 2 2" xfId="7617" xr:uid="{00000000-0005-0000-0000-00001A0B0000}"/>
    <cellStyle name="표준 10 9 3 2 2 2 3" xfId="5505" xr:uid="{00000000-0005-0000-0000-00001B0B0000}"/>
    <cellStyle name="표준 10 9 3 2 2 2 3 2" xfId="8654" xr:uid="{00000000-0005-0000-0000-00001C0B0000}"/>
    <cellStyle name="표준 10 9 3 2 2 2 4" xfId="6570" xr:uid="{00000000-0005-0000-0000-00001D0B0000}"/>
    <cellStyle name="표준 10 9 3 2 2 3" xfId="3938" xr:uid="{00000000-0005-0000-0000-00001E0B0000}"/>
    <cellStyle name="표준 10 9 3 2 2 3 2" xfId="7088" xr:uid="{00000000-0005-0000-0000-00001F0B0000}"/>
    <cellStyle name="표준 10 9 3 2 2 4" xfId="4985" xr:uid="{00000000-0005-0000-0000-0000200B0000}"/>
    <cellStyle name="표준 10 9 3 2 2 4 2" xfId="8135" xr:uid="{00000000-0005-0000-0000-0000210B0000}"/>
    <cellStyle name="표준 10 9 3 2 2 5" xfId="6041" xr:uid="{00000000-0005-0000-0000-0000220B0000}"/>
    <cellStyle name="표준 10 9 3 2 3" xfId="3202" xr:uid="{00000000-0005-0000-0000-0000230B0000}"/>
    <cellStyle name="표준 10 9 3 2 3 2" xfId="4249" xr:uid="{00000000-0005-0000-0000-0000240B0000}"/>
    <cellStyle name="표준 10 9 3 2 3 2 2" xfId="7399" xr:uid="{00000000-0005-0000-0000-0000250B0000}"/>
    <cellStyle name="표준 10 9 3 2 3 3" xfId="5287" xr:uid="{00000000-0005-0000-0000-0000260B0000}"/>
    <cellStyle name="표준 10 9 3 2 3 3 2" xfId="8436" xr:uid="{00000000-0005-0000-0000-0000270B0000}"/>
    <cellStyle name="표준 10 9 3 2 3 4" xfId="6352" xr:uid="{00000000-0005-0000-0000-0000280B0000}"/>
    <cellStyle name="표준 10 9 3 2 4" xfId="3720" xr:uid="{00000000-0005-0000-0000-0000290B0000}"/>
    <cellStyle name="표준 10 9 3 2 4 2" xfId="6870" xr:uid="{00000000-0005-0000-0000-00002A0B0000}"/>
    <cellStyle name="표준 10 9 3 2 5" xfId="4767" xr:uid="{00000000-0005-0000-0000-00002B0B0000}"/>
    <cellStyle name="표준 10 9 3 2 5 2" xfId="7917" xr:uid="{00000000-0005-0000-0000-00002C0B0000}"/>
    <cellStyle name="표준 10 9 3 2 6" xfId="5823" xr:uid="{00000000-0005-0000-0000-00002D0B0000}"/>
    <cellStyle name="표준 10 9 3 3" xfId="2793" xr:uid="{00000000-0005-0000-0000-00002E0B0000}"/>
    <cellStyle name="표준 10 9 3 3 2" xfId="3331" xr:uid="{00000000-0005-0000-0000-00002F0B0000}"/>
    <cellStyle name="표준 10 9 3 3 2 2" xfId="4378" xr:uid="{00000000-0005-0000-0000-0000300B0000}"/>
    <cellStyle name="표준 10 9 3 3 2 2 2" xfId="7528" xr:uid="{00000000-0005-0000-0000-0000310B0000}"/>
    <cellStyle name="표준 10 9 3 3 2 3" xfId="5416" xr:uid="{00000000-0005-0000-0000-0000320B0000}"/>
    <cellStyle name="표준 10 9 3 3 2 3 2" xfId="8565" xr:uid="{00000000-0005-0000-0000-0000330B0000}"/>
    <cellStyle name="표준 10 9 3 3 2 4" xfId="6481" xr:uid="{00000000-0005-0000-0000-0000340B0000}"/>
    <cellStyle name="표준 10 9 3 3 3" xfId="3849" xr:uid="{00000000-0005-0000-0000-0000350B0000}"/>
    <cellStyle name="표준 10 9 3 3 3 2" xfId="6999" xr:uid="{00000000-0005-0000-0000-0000360B0000}"/>
    <cellStyle name="표준 10 9 3 3 4" xfId="4896" xr:uid="{00000000-0005-0000-0000-0000370B0000}"/>
    <cellStyle name="표준 10 9 3 3 4 2" xfId="8046" xr:uid="{00000000-0005-0000-0000-0000380B0000}"/>
    <cellStyle name="표준 10 9 3 3 5" xfId="5952" xr:uid="{00000000-0005-0000-0000-0000390B0000}"/>
    <cellStyle name="표준 10 9 3 4" xfId="3073" xr:uid="{00000000-0005-0000-0000-00003A0B0000}"/>
    <cellStyle name="표준 10 9 3 4 2" xfId="4120" xr:uid="{00000000-0005-0000-0000-00003B0B0000}"/>
    <cellStyle name="표준 10 9 3 4 2 2" xfId="7270" xr:uid="{00000000-0005-0000-0000-00003C0B0000}"/>
    <cellStyle name="표준 10 9 3 4 3" xfId="5158" xr:uid="{00000000-0005-0000-0000-00003D0B0000}"/>
    <cellStyle name="표준 10 9 3 4 3 2" xfId="8307" xr:uid="{00000000-0005-0000-0000-00003E0B0000}"/>
    <cellStyle name="표준 10 9 3 4 4" xfId="6223" xr:uid="{00000000-0005-0000-0000-00003F0B0000}"/>
    <cellStyle name="표준 10 9 3 5" xfId="3591" xr:uid="{00000000-0005-0000-0000-0000400B0000}"/>
    <cellStyle name="표준 10 9 3 5 2" xfId="6741" xr:uid="{00000000-0005-0000-0000-0000410B0000}"/>
    <cellStyle name="표준 10 9 3 6" xfId="4638" xr:uid="{00000000-0005-0000-0000-0000420B0000}"/>
    <cellStyle name="표준 10 9 3 6 2" xfId="7788" xr:uid="{00000000-0005-0000-0000-0000430B0000}"/>
    <cellStyle name="표준 10 9 3 7" xfId="5694" xr:uid="{00000000-0005-0000-0000-0000440B0000}"/>
    <cellStyle name="표준 10 9 4" xfId="2602" xr:uid="{00000000-0005-0000-0000-0000450B0000}"/>
    <cellStyle name="표준 10 9 4 2" xfId="2883" xr:uid="{00000000-0005-0000-0000-0000460B0000}"/>
    <cellStyle name="표준 10 9 4 2 2" xfId="3421" xr:uid="{00000000-0005-0000-0000-0000470B0000}"/>
    <cellStyle name="표준 10 9 4 2 2 2" xfId="4468" xr:uid="{00000000-0005-0000-0000-0000480B0000}"/>
    <cellStyle name="표준 10 9 4 2 2 2 2" xfId="7618" xr:uid="{00000000-0005-0000-0000-0000490B0000}"/>
    <cellStyle name="표준 10 9 4 2 2 3" xfId="5506" xr:uid="{00000000-0005-0000-0000-00004A0B0000}"/>
    <cellStyle name="표준 10 9 4 2 2 3 2" xfId="8655" xr:uid="{00000000-0005-0000-0000-00004B0B0000}"/>
    <cellStyle name="표준 10 9 4 2 2 4" xfId="6571" xr:uid="{00000000-0005-0000-0000-00004C0B0000}"/>
    <cellStyle name="표준 10 9 4 2 3" xfId="3939" xr:uid="{00000000-0005-0000-0000-00004D0B0000}"/>
    <cellStyle name="표준 10 9 4 2 3 2" xfId="7089" xr:uid="{00000000-0005-0000-0000-00004E0B0000}"/>
    <cellStyle name="표준 10 9 4 2 4" xfId="4986" xr:uid="{00000000-0005-0000-0000-00004F0B0000}"/>
    <cellStyle name="표준 10 9 4 2 4 2" xfId="8136" xr:uid="{00000000-0005-0000-0000-0000500B0000}"/>
    <cellStyle name="표준 10 9 4 2 5" xfId="6042" xr:uid="{00000000-0005-0000-0000-0000510B0000}"/>
    <cellStyle name="표준 10 9 4 3" xfId="3140" xr:uid="{00000000-0005-0000-0000-0000520B0000}"/>
    <cellStyle name="표준 10 9 4 3 2" xfId="4187" xr:uid="{00000000-0005-0000-0000-0000530B0000}"/>
    <cellStyle name="표준 10 9 4 3 2 2" xfId="7337" xr:uid="{00000000-0005-0000-0000-0000540B0000}"/>
    <cellStyle name="표준 10 9 4 3 3" xfId="5225" xr:uid="{00000000-0005-0000-0000-0000550B0000}"/>
    <cellStyle name="표준 10 9 4 3 3 2" xfId="8374" xr:uid="{00000000-0005-0000-0000-0000560B0000}"/>
    <cellStyle name="표준 10 9 4 3 4" xfId="6290" xr:uid="{00000000-0005-0000-0000-0000570B0000}"/>
    <cellStyle name="표준 10 9 4 4" xfId="3658" xr:uid="{00000000-0005-0000-0000-0000580B0000}"/>
    <cellStyle name="표준 10 9 4 4 2" xfId="6808" xr:uid="{00000000-0005-0000-0000-0000590B0000}"/>
    <cellStyle name="표준 10 9 4 5" xfId="4705" xr:uid="{00000000-0005-0000-0000-00005A0B0000}"/>
    <cellStyle name="표준 10 9 4 5 2" xfId="7855" xr:uid="{00000000-0005-0000-0000-00005B0B0000}"/>
    <cellStyle name="표준 10 9 4 6" xfId="5761" xr:uid="{00000000-0005-0000-0000-00005C0B0000}"/>
    <cellStyle name="표준 10 9 5" xfId="2731" xr:uid="{00000000-0005-0000-0000-00005D0B0000}"/>
    <cellStyle name="표준 10 9 5 2" xfId="3269" xr:uid="{00000000-0005-0000-0000-00005E0B0000}"/>
    <cellStyle name="표준 10 9 5 2 2" xfId="4316" xr:uid="{00000000-0005-0000-0000-00005F0B0000}"/>
    <cellStyle name="표준 10 9 5 2 2 2" xfId="7466" xr:uid="{00000000-0005-0000-0000-0000600B0000}"/>
    <cellStyle name="표준 10 9 5 2 3" xfId="5354" xr:uid="{00000000-0005-0000-0000-0000610B0000}"/>
    <cellStyle name="표준 10 9 5 2 3 2" xfId="8503" xr:uid="{00000000-0005-0000-0000-0000620B0000}"/>
    <cellStyle name="표준 10 9 5 2 4" xfId="6419" xr:uid="{00000000-0005-0000-0000-0000630B0000}"/>
    <cellStyle name="표준 10 9 5 3" xfId="3787" xr:uid="{00000000-0005-0000-0000-0000640B0000}"/>
    <cellStyle name="표준 10 9 5 3 2" xfId="6937" xr:uid="{00000000-0005-0000-0000-0000650B0000}"/>
    <cellStyle name="표준 10 9 5 4" xfId="4834" xr:uid="{00000000-0005-0000-0000-0000660B0000}"/>
    <cellStyle name="표준 10 9 5 4 2" xfId="7984" xr:uid="{00000000-0005-0000-0000-0000670B0000}"/>
    <cellStyle name="표준 10 9 5 5" xfId="5890" xr:uid="{00000000-0005-0000-0000-0000680B0000}"/>
    <cellStyle name="표준 10 9 6" xfId="3011" xr:uid="{00000000-0005-0000-0000-0000690B0000}"/>
    <cellStyle name="표준 10 9 6 2" xfId="4058" xr:uid="{00000000-0005-0000-0000-00006A0B0000}"/>
    <cellStyle name="표준 10 9 6 2 2" xfId="7208" xr:uid="{00000000-0005-0000-0000-00006B0B0000}"/>
    <cellStyle name="표준 10 9 6 3" xfId="5096" xr:uid="{00000000-0005-0000-0000-00006C0B0000}"/>
    <cellStyle name="표준 10 9 6 3 2" xfId="8245" xr:uid="{00000000-0005-0000-0000-00006D0B0000}"/>
    <cellStyle name="표준 10 9 6 4" xfId="6161" xr:uid="{00000000-0005-0000-0000-00006E0B0000}"/>
    <cellStyle name="표준 10 9 7" xfId="3529" xr:uid="{00000000-0005-0000-0000-00006F0B0000}"/>
    <cellStyle name="표준 10 9 7 2" xfId="6679" xr:uid="{00000000-0005-0000-0000-0000700B0000}"/>
    <cellStyle name="표준 10 9 8" xfId="4576" xr:uid="{00000000-0005-0000-0000-0000710B0000}"/>
    <cellStyle name="표준 10 9 8 2" xfId="7726" xr:uid="{00000000-0005-0000-0000-0000720B0000}"/>
    <cellStyle name="표준 10 9 9" xfId="5632" xr:uid="{00000000-0005-0000-0000-0000730B0000}"/>
    <cellStyle name="표준 11" xfId="150" xr:uid="{00000000-0005-0000-0000-0000740B0000}"/>
    <cellStyle name="표준 11 2" xfId="151" xr:uid="{00000000-0005-0000-0000-0000750B0000}"/>
    <cellStyle name="표준 11 2 2" xfId="1937" xr:uid="{00000000-0005-0000-0000-0000760B0000}"/>
    <cellStyle name="표준 11 3" xfId="1707" xr:uid="{00000000-0005-0000-0000-0000770B0000}"/>
    <cellStyle name="표준 12" xfId="152" xr:uid="{00000000-0005-0000-0000-0000780B0000}"/>
    <cellStyle name="표준 12 2" xfId="153" xr:uid="{00000000-0005-0000-0000-0000790B0000}"/>
    <cellStyle name="표준 12 2 2" xfId="154" xr:uid="{00000000-0005-0000-0000-00007A0B0000}"/>
    <cellStyle name="표준 12 2 3" xfId="155" xr:uid="{00000000-0005-0000-0000-00007B0B0000}"/>
    <cellStyle name="표준 12 2 4" xfId="1709" xr:uid="{00000000-0005-0000-0000-00007C0B0000}"/>
    <cellStyle name="표준 12 3" xfId="156" xr:uid="{00000000-0005-0000-0000-00007D0B0000}"/>
    <cellStyle name="표준 12 3 2" xfId="1938" xr:uid="{00000000-0005-0000-0000-00007E0B0000}"/>
    <cellStyle name="표준 12 4" xfId="1708" xr:uid="{00000000-0005-0000-0000-00007F0B0000}"/>
    <cellStyle name="표준 13" xfId="157" xr:uid="{00000000-0005-0000-0000-0000800B0000}"/>
    <cellStyle name="표준 13 2" xfId="158" xr:uid="{00000000-0005-0000-0000-0000810B0000}"/>
    <cellStyle name="표준 13 2 2" xfId="1939" xr:uid="{00000000-0005-0000-0000-0000820B0000}"/>
    <cellStyle name="표준 13 3" xfId="159" xr:uid="{00000000-0005-0000-0000-0000830B0000}"/>
    <cellStyle name="표준 13 4" xfId="1710" xr:uid="{00000000-0005-0000-0000-0000840B0000}"/>
    <cellStyle name="표준 14" xfId="160" xr:uid="{00000000-0005-0000-0000-0000850B0000}"/>
    <cellStyle name="표준 14 2" xfId="1940" xr:uid="{00000000-0005-0000-0000-0000860B0000}"/>
    <cellStyle name="표준 14 3" xfId="1711" xr:uid="{00000000-0005-0000-0000-0000870B0000}"/>
    <cellStyle name="표준 15" xfId="161" xr:uid="{00000000-0005-0000-0000-0000880B0000}"/>
    <cellStyle name="표준 15 2" xfId="162" xr:uid="{00000000-0005-0000-0000-0000890B0000}"/>
    <cellStyle name="표준 15 2 2" xfId="1941" xr:uid="{00000000-0005-0000-0000-00008A0B0000}"/>
    <cellStyle name="표준 15 3" xfId="163" xr:uid="{00000000-0005-0000-0000-00008B0B0000}"/>
    <cellStyle name="표준 15 4" xfId="1712" xr:uid="{00000000-0005-0000-0000-00008C0B0000}"/>
    <cellStyle name="표준 16" xfId="164" xr:uid="{00000000-0005-0000-0000-00008D0B0000}"/>
    <cellStyle name="표준 16 10" xfId="1943" xr:uid="{00000000-0005-0000-0000-00008E0B0000}"/>
    <cellStyle name="표준 16 11" xfId="1942" xr:uid="{00000000-0005-0000-0000-00008F0B0000}"/>
    <cellStyle name="표준 16 12" xfId="1713" xr:uid="{00000000-0005-0000-0000-0000900B0000}"/>
    <cellStyle name="표준 16 2" xfId="165" xr:uid="{00000000-0005-0000-0000-0000910B0000}"/>
    <cellStyle name="표준 16 2 2" xfId="1944" xr:uid="{00000000-0005-0000-0000-0000920B0000}"/>
    <cellStyle name="표준 16 3" xfId="166" xr:uid="{00000000-0005-0000-0000-0000930B0000}"/>
    <cellStyle name="표준 16 3 2" xfId="1945" xr:uid="{00000000-0005-0000-0000-0000940B0000}"/>
    <cellStyle name="표준 16 4" xfId="1946" xr:uid="{00000000-0005-0000-0000-0000950B0000}"/>
    <cellStyle name="표준 16 5" xfId="1947" xr:uid="{00000000-0005-0000-0000-0000960B0000}"/>
    <cellStyle name="표준 16 6" xfId="1948" xr:uid="{00000000-0005-0000-0000-0000970B0000}"/>
    <cellStyle name="표준 16 7" xfId="1949" xr:uid="{00000000-0005-0000-0000-0000980B0000}"/>
    <cellStyle name="표준 16 8" xfId="1950" xr:uid="{00000000-0005-0000-0000-0000990B0000}"/>
    <cellStyle name="표준 16 9" xfId="1951" xr:uid="{00000000-0005-0000-0000-00009A0B0000}"/>
    <cellStyle name="표준 17" xfId="167" xr:uid="{00000000-0005-0000-0000-00009B0B0000}"/>
    <cellStyle name="표준 17 2" xfId="168" xr:uid="{00000000-0005-0000-0000-00009C0B0000}"/>
    <cellStyle name="표준 17 2 2" xfId="1714" xr:uid="{00000000-0005-0000-0000-00009D0B0000}"/>
    <cellStyle name="표준 17 3" xfId="1715" xr:uid="{00000000-0005-0000-0000-00009E0B0000}"/>
    <cellStyle name="표준 17 4" xfId="1952" xr:uid="{00000000-0005-0000-0000-00009F0B0000}"/>
    <cellStyle name="표준 17 5" xfId="462" xr:uid="{00000000-0005-0000-0000-0000A00B0000}"/>
    <cellStyle name="표준 18" xfId="169" xr:uid="{00000000-0005-0000-0000-0000A10B0000}"/>
    <cellStyle name="표준 18 10" xfId="1954" xr:uid="{00000000-0005-0000-0000-0000A20B0000}"/>
    <cellStyle name="표준 18 11" xfId="1955" xr:uid="{00000000-0005-0000-0000-0000A30B0000}"/>
    <cellStyle name="표준 18 12" xfId="1956" xr:uid="{00000000-0005-0000-0000-0000A40B0000}"/>
    <cellStyle name="표준 18 13" xfId="1957" xr:uid="{00000000-0005-0000-0000-0000A50B0000}"/>
    <cellStyle name="표준 18 14" xfId="1958" xr:uid="{00000000-0005-0000-0000-0000A60B0000}"/>
    <cellStyle name="표준 18 15" xfId="1959" xr:uid="{00000000-0005-0000-0000-0000A70B0000}"/>
    <cellStyle name="표준 18 16" xfId="1960" xr:uid="{00000000-0005-0000-0000-0000A80B0000}"/>
    <cellStyle name="표준 18 17" xfId="1961" xr:uid="{00000000-0005-0000-0000-0000A90B0000}"/>
    <cellStyle name="표준 18 18" xfId="1962" xr:uid="{00000000-0005-0000-0000-0000AA0B0000}"/>
    <cellStyle name="표준 18 19" xfId="1963" xr:uid="{00000000-0005-0000-0000-0000AB0B0000}"/>
    <cellStyle name="표준 18 2" xfId="1964" xr:uid="{00000000-0005-0000-0000-0000AC0B0000}"/>
    <cellStyle name="표준 18 20" xfId="1965" xr:uid="{00000000-0005-0000-0000-0000AD0B0000}"/>
    <cellStyle name="표준 18 21" xfId="1966" xr:uid="{00000000-0005-0000-0000-0000AE0B0000}"/>
    <cellStyle name="표준 18 22" xfId="1967" xr:uid="{00000000-0005-0000-0000-0000AF0B0000}"/>
    <cellStyle name="표준 18 23" xfId="1968" xr:uid="{00000000-0005-0000-0000-0000B00B0000}"/>
    <cellStyle name="표준 18 24" xfId="1969" xr:uid="{00000000-0005-0000-0000-0000B10B0000}"/>
    <cellStyle name="표준 18 25" xfId="1970" xr:uid="{00000000-0005-0000-0000-0000B20B0000}"/>
    <cellStyle name="표준 18 26" xfId="1971" xr:uid="{00000000-0005-0000-0000-0000B30B0000}"/>
    <cellStyle name="표준 18 27" xfId="1972" xr:uid="{00000000-0005-0000-0000-0000B40B0000}"/>
    <cellStyle name="표준 18 28" xfId="1973" xr:uid="{00000000-0005-0000-0000-0000B50B0000}"/>
    <cellStyle name="표준 18 29" xfId="1974" xr:uid="{00000000-0005-0000-0000-0000B60B0000}"/>
    <cellStyle name="표준 18 3" xfId="1975" xr:uid="{00000000-0005-0000-0000-0000B70B0000}"/>
    <cellStyle name="표준 18 30" xfId="1976" xr:uid="{00000000-0005-0000-0000-0000B80B0000}"/>
    <cellStyle name="표준 18 31" xfId="1977" xr:uid="{00000000-0005-0000-0000-0000B90B0000}"/>
    <cellStyle name="표준 18 32" xfId="1953" xr:uid="{00000000-0005-0000-0000-0000BA0B0000}"/>
    <cellStyle name="표준 18 33" xfId="1810" xr:uid="{00000000-0005-0000-0000-0000BB0B0000}"/>
    <cellStyle name="표준 18 4" xfId="1978" xr:uid="{00000000-0005-0000-0000-0000BC0B0000}"/>
    <cellStyle name="표준 18 5" xfId="1979" xr:uid="{00000000-0005-0000-0000-0000BD0B0000}"/>
    <cellStyle name="표준 18 6" xfId="1980" xr:uid="{00000000-0005-0000-0000-0000BE0B0000}"/>
    <cellStyle name="표준 18 7" xfId="1981" xr:uid="{00000000-0005-0000-0000-0000BF0B0000}"/>
    <cellStyle name="표준 18 8" xfId="1982" xr:uid="{00000000-0005-0000-0000-0000C00B0000}"/>
    <cellStyle name="표준 18 9" xfId="1983" xr:uid="{00000000-0005-0000-0000-0000C10B0000}"/>
    <cellStyle name="표준 180" xfId="1984" xr:uid="{00000000-0005-0000-0000-0000C20B0000}"/>
    <cellStyle name="표준 19" xfId="1811" xr:uid="{00000000-0005-0000-0000-0000C30B0000}"/>
    <cellStyle name="표준 19 2" xfId="1985" xr:uid="{00000000-0005-0000-0000-0000C40B0000}"/>
    <cellStyle name="표준 2" xfId="170" xr:uid="{00000000-0005-0000-0000-0000C50B0000}"/>
    <cellStyle name="표준 2 10" xfId="171" xr:uid="{00000000-0005-0000-0000-0000C60B0000}"/>
    <cellStyle name="표준 2 10 2" xfId="1986" xr:uid="{00000000-0005-0000-0000-0000C70B0000}"/>
    <cellStyle name="표준 2 10 3" xfId="1716" xr:uid="{00000000-0005-0000-0000-0000C80B0000}"/>
    <cellStyle name="표준 2 11" xfId="172" xr:uid="{00000000-0005-0000-0000-0000C90B0000}"/>
    <cellStyle name="표준 2 11 2" xfId="1987" xr:uid="{00000000-0005-0000-0000-0000CA0B0000}"/>
    <cellStyle name="표준 2 11 3" xfId="1717" xr:uid="{00000000-0005-0000-0000-0000CB0B0000}"/>
    <cellStyle name="표준 2 12" xfId="173" xr:uid="{00000000-0005-0000-0000-0000CC0B0000}"/>
    <cellStyle name="표준 2 12 2" xfId="1988" xr:uid="{00000000-0005-0000-0000-0000CD0B0000}"/>
    <cellStyle name="표준 2 12 3" xfId="1718" xr:uid="{00000000-0005-0000-0000-0000CE0B0000}"/>
    <cellStyle name="표준 2 13" xfId="174" xr:uid="{00000000-0005-0000-0000-0000CF0B0000}"/>
    <cellStyle name="표준 2 13 2" xfId="1989" xr:uid="{00000000-0005-0000-0000-0000D00B0000}"/>
    <cellStyle name="표준 2 14" xfId="175" xr:uid="{00000000-0005-0000-0000-0000D10B0000}"/>
    <cellStyle name="표준 2 14 2" xfId="176" xr:uid="{00000000-0005-0000-0000-0000D20B0000}"/>
    <cellStyle name="표준 2 14 2 2" xfId="1990" xr:uid="{00000000-0005-0000-0000-0000D30B0000}"/>
    <cellStyle name="표준 2 14 3" xfId="177" xr:uid="{00000000-0005-0000-0000-0000D40B0000}"/>
    <cellStyle name="표준 2 14 4" xfId="1719" xr:uid="{00000000-0005-0000-0000-0000D50B0000}"/>
    <cellStyle name="표준 2 15" xfId="178" xr:uid="{00000000-0005-0000-0000-0000D60B0000}"/>
    <cellStyle name="표준 2 15 2" xfId="1991" xr:uid="{00000000-0005-0000-0000-0000D70B0000}"/>
    <cellStyle name="표준 2 15 3" xfId="1720" xr:uid="{00000000-0005-0000-0000-0000D80B0000}"/>
    <cellStyle name="표준 2 16" xfId="1721" xr:uid="{00000000-0005-0000-0000-0000D90B0000}"/>
    <cellStyle name="표준 2 16 2" xfId="1992" xr:uid="{00000000-0005-0000-0000-0000DA0B0000}"/>
    <cellStyle name="표준 2 17" xfId="1722" xr:uid="{00000000-0005-0000-0000-0000DB0B0000}"/>
    <cellStyle name="표준 2 17 2" xfId="1993" xr:uid="{00000000-0005-0000-0000-0000DC0B0000}"/>
    <cellStyle name="표준 2 18" xfId="1723" xr:uid="{00000000-0005-0000-0000-0000DD0B0000}"/>
    <cellStyle name="표준 2 18 2" xfId="1994" xr:uid="{00000000-0005-0000-0000-0000DE0B0000}"/>
    <cellStyle name="표준 2 19" xfId="1724" xr:uid="{00000000-0005-0000-0000-0000DF0B0000}"/>
    <cellStyle name="표준 2 19 2" xfId="1995" xr:uid="{00000000-0005-0000-0000-0000E00B0000}"/>
    <cellStyle name="표준 2 198" xfId="415" xr:uid="{00000000-0005-0000-0000-0000E10B0000}"/>
    <cellStyle name="표준 2 2" xfId="179" xr:uid="{00000000-0005-0000-0000-0000E20B0000}"/>
    <cellStyle name="표준 2 2 2" xfId="180" xr:uid="{00000000-0005-0000-0000-0000E30B0000}"/>
    <cellStyle name="표준 2 2 2 2" xfId="181" xr:uid="{00000000-0005-0000-0000-0000E40B0000}"/>
    <cellStyle name="표준 2 2 2 3" xfId="182" xr:uid="{00000000-0005-0000-0000-0000E50B0000}"/>
    <cellStyle name="표준 2 2 3" xfId="183" xr:uid="{00000000-0005-0000-0000-0000E60B0000}"/>
    <cellStyle name="표준 2 2 4" xfId="1726" xr:uid="{00000000-0005-0000-0000-0000E70B0000}"/>
    <cellStyle name="표준 2 2 5" xfId="1996" xr:uid="{00000000-0005-0000-0000-0000E80B0000}"/>
    <cellStyle name="표준 2 2 6" xfId="1725" xr:uid="{00000000-0005-0000-0000-0000E90B0000}"/>
    <cellStyle name="표준 2 2_PS_NW_보안진단결과_090501_진행중" xfId="1727" xr:uid="{00000000-0005-0000-0000-0000EA0B0000}"/>
    <cellStyle name="표준 2 20" xfId="1728" xr:uid="{00000000-0005-0000-0000-0000EB0B0000}"/>
    <cellStyle name="표준 2 20 2" xfId="1997" xr:uid="{00000000-0005-0000-0000-0000EC0B0000}"/>
    <cellStyle name="표준 2 21" xfId="1729" xr:uid="{00000000-0005-0000-0000-0000ED0B0000}"/>
    <cellStyle name="표준 2 21 2" xfId="1998" xr:uid="{00000000-0005-0000-0000-0000EE0B0000}"/>
    <cellStyle name="표준 2 22" xfId="1730" xr:uid="{00000000-0005-0000-0000-0000EF0B0000}"/>
    <cellStyle name="표준 2 22 2" xfId="1999" xr:uid="{00000000-0005-0000-0000-0000F00B0000}"/>
    <cellStyle name="표준 2 23" xfId="1731" xr:uid="{00000000-0005-0000-0000-0000F10B0000}"/>
    <cellStyle name="표준 2 23 2" xfId="2000" xr:uid="{00000000-0005-0000-0000-0000F20B0000}"/>
    <cellStyle name="표준 2 24" xfId="1732" xr:uid="{00000000-0005-0000-0000-0000F30B0000}"/>
    <cellStyle name="표준 2 24 2" xfId="2001" xr:uid="{00000000-0005-0000-0000-0000F40B0000}"/>
    <cellStyle name="표준 2 25" xfId="1733" xr:uid="{00000000-0005-0000-0000-0000F50B0000}"/>
    <cellStyle name="표준 2 25 2" xfId="2002" xr:uid="{00000000-0005-0000-0000-0000F60B0000}"/>
    <cellStyle name="표준 2 26" xfId="1734" xr:uid="{00000000-0005-0000-0000-0000F70B0000}"/>
    <cellStyle name="표준 2 26 2" xfId="2003" xr:uid="{00000000-0005-0000-0000-0000F80B0000}"/>
    <cellStyle name="표준 2 27" xfId="1735" xr:uid="{00000000-0005-0000-0000-0000F90B0000}"/>
    <cellStyle name="표준 2 27 2" xfId="2004" xr:uid="{00000000-0005-0000-0000-0000FA0B0000}"/>
    <cellStyle name="표준 2 28" xfId="2005" xr:uid="{00000000-0005-0000-0000-0000FB0B0000}"/>
    <cellStyle name="표준 2 29" xfId="2006" xr:uid="{00000000-0005-0000-0000-0000FC0B0000}"/>
    <cellStyle name="표준 2 3" xfId="184" xr:uid="{00000000-0005-0000-0000-0000FD0B0000}"/>
    <cellStyle name="표준 2 3 2" xfId="2007" xr:uid="{00000000-0005-0000-0000-0000FE0B0000}"/>
    <cellStyle name="표준 2 3 3" xfId="1736" xr:uid="{00000000-0005-0000-0000-0000FF0B0000}"/>
    <cellStyle name="표준 2 30" xfId="2008" xr:uid="{00000000-0005-0000-0000-0000000C0000}"/>
    <cellStyle name="표준 2 31" xfId="2009" xr:uid="{00000000-0005-0000-0000-0000010C0000}"/>
    <cellStyle name="표준 2 32" xfId="2010" xr:uid="{00000000-0005-0000-0000-0000020C0000}"/>
    <cellStyle name="표준 2 33" xfId="2011" xr:uid="{00000000-0005-0000-0000-0000030C0000}"/>
    <cellStyle name="표준 2 34" xfId="2012" xr:uid="{00000000-0005-0000-0000-0000040C0000}"/>
    <cellStyle name="표준 2 35" xfId="2013" xr:uid="{00000000-0005-0000-0000-0000050C0000}"/>
    <cellStyle name="표준 2 36" xfId="2014" xr:uid="{00000000-0005-0000-0000-0000060C0000}"/>
    <cellStyle name="표준 2 37" xfId="2015" xr:uid="{00000000-0005-0000-0000-0000070C0000}"/>
    <cellStyle name="표준 2 38" xfId="2016" xr:uid="{00000000-0005-0000-0000-0000080C0000}"/>
    <cellStyle name="표준 2 39" xfId="2017" xr:uid="{00000000-0005-0000-0000-0000090C0000}"/>
    <cellStyle name="표준 2 4" xfId="185" xr:uid="{00000000-0005-0000-0000-00000A0C0000}"/>
    <cellStyle name="표준 2 4 2" xfId="2018" xr:uid="{00000000-0005-0000-0000-00000B0C0000}"/>
    <cellStyle name="표준 2 4 3" xfId="1737" xr:uid="{00000000-0005-0000-0000-00000C0C0000}"/>
    <cellStyle name="표준 2 40" xfId="2019" xr:uid="{00000000-0005-0000-0000-00000D0C0000}"/>
    <cellStyle name="표준 2 41" xfId="2020" xr:uid="{00000000-0005-0000-0000-00000E0C0000}"/>
    <cellStyle name="표준 2 42" xfId="2021" xr:uid="{00000000-0005-0000-0000-00000F0C0000}"/>
    <cellStyle name="표준 2 43" xfId="2022" xr:uid="{00000000-0005-0000-0000-0000100C0000}"/>
    <cellStyle name="표준 2 44" xfId="2023" xr:uid="{00000000-0005-0000-0000-0000110C0000}"/>
    <cellStyle name="표준 2 45" xfId="2024" xr:uid="{00000000-0005-0000-0000-0000120C0000}"/>
    <cellStyle name="표준 2 46" xfId="2025" xr:uid="{00000000-0005-0000-0000-0000130C0000}"/>
    <cellStyle name="표준 2 47" xfId="2026" xr:uid="{00000000-0005-0000-0000-0000140C0000}"/>
    <cellStyle name="표준 2 48" xfId="2027" xr:uid="{00000000-0005-0000-0000-0000150C0000}"/>
    <cellStyle name="표준 2 49" xfId="2028" xr:uid="{00000000-0005-0000-0000-0000160C0000}"/>
    <cellStyle name="표준 2 5" xfId="186" xr:uid="{00000000-0005-0000-0000-0000170C0000}"/>
    <cellStyle name="표준 2 5 2" xfId="2029" xr:uid="{00000000-0005-0000-0000-0000180C0000}"/>
    <cellStyle name="표준 2 5 3" xfId="1738" xr:uid="{00000000-0005-0000-0000-0000190C0000}"/>
    <cellStyle name="표준 2 50" xfId="2987" xr:uid="{00000000-0005-0000-0000-00001A0C0000}"/>
    <cellStyle name="표준 2 51" xfId="2998" xr:uid="{00000000-0005-0000-0000-00001B0C0000}"/>
    <cellStyle name="표준 2 52" xfId="2985" xr:uid="{00000000-0005-0000-0000-00001C0C0000}"/>
    <cellStyle name="표준 2 53" xfId="3002" xr:uid="{00000000-0005-0000-0000-00001D0C0000}"/>
    <cellStyle name="표준 2 54" xfId="3001" xr:uid="{00000000-0005-0000-0000-00001E0C0000}"/>
    <cellStyle name="표준 2 55" xfId="5611" xr:uid="{00000000-0005-0000-0000-00001F0C0000}"/>
    <cellStyle name="표준 2 56" xfId="5616" xr:uid="{00000000-0005-0000-0000-0000200C0000}"/>
    <cellStyle name="표준 2 57" xfId="5618" xr:uid="{00000000-0005-0000-0000-0000210C0000}"/>
    <cellStyle name="표준 2 58" xfId="5620" xr:uid="{00000000-0005-0000-0000-0000220C0000}"/>
    <cellStyle name="표준 2 59" xfId="5621" xr:uid="{00000000-0005-0000-0000-0000230C0000}"/>
    <cellStyle name="표준 2 6" xfId="187" xr:uid="{00000000-0005-0000-0000-0000240C0000}"/>
    <cellStyle name="표준 2 6 2" xfId="2030" xr:uid="{00000000-0005-0000-0000-0000250C0000}"/>
    <cellStyle name="표준 2 60" xfId="5615" xr:uid="{00000000-0005-0000-0000-0000260C0000}"/>
    <cellStyle name="표준 2 7" xfId="188" xr:uid="{00000000-0005-0000-0000-0000270C0000}"/>
    <cellStyle name="표준 2 7 2" xfId="2031" xr:uid="{00000000-0005-0000-0000-0000280C0000}"/>
    <cellStyle name="표준 2 7 3" xfId="1739" xr:uid="{00000000-0005-0000-0000-0000290C0000}"/>
    <cellStyle name="표준 2 8" xfId="189" xr:uid="{00000000-0005-0000-0000-00002A0C0000}"/>
    <cellStyle name="표준 2 8 2" xfId="2032" xr:uid="{00000000-0005-0000-0000-00002B0C0000}"/>
    <cellStyle name="표준 2 8 3" xfId="1740" xr:uid="{00000000-0005-0000-0000-00002C0C0000}"/>
    <cellStyle name="표준 2 9" xfId="190" xr:uid="{00000000-0005-0000-0000-00002D0C0000}"/>
    <cellStyle name="표준 2 9 2" xfId="2033" xr:uid="{00000000-0005-0000-0000-00002E0C0000}"/>
    <cellStyle name="표준 2 9 3" xfId="1741" xr:uid="{00000000-0005-0000-0000-00002F0C0000}"/>
    <cellStyle name="표준 20" xfId="1812" xr:uid="{00000000-0005-0000-0000-0000300C0000}"/>
    <cellStyle name="표준 20 10" xfId="2035" xr:uid="{00000000-0005-0000-0000-0000310C0000}"/>
    <cellStyle name="표준 20 11" xfId="2036" xr:uid="{00000000-0005-0000-0000-0000320C0000}"/>
    <cellStyle name="표준 20 12" xfId="2037" xr:uid="{00000000-0005-0000-0000-0000330C0000}"/>
    <cellStyle name="표준 20 13" xfId="2038" xr:uid="{00000000-0005-0000-0000-0000340C0000}"/>
    <cellStyle name="표준 20 14" xfId="2039" xr:uid="{00000000-0005-0000-0000-0000350C0000}"/>
    <cellStyle name="표준 20 15" xfId="2040" xr:uid="{00000000-0005-0000-0000-0000360C0000}"/>
    <cellStyle name="표준 20 16" xfId="2041" xr:uid="{00000000-0005-0000-0000-0000370C0000}"/>
    <cellStyle name="표준 20 17" xfId="2042" xr:uid="{00000000-0005-0000-0000-0000380C0000}"/>
    <cellStyle name="표준 20 18" xfId="2043" xr:uid="{00000000-0005-0000-0000-0000390C0000}"/>
    <cellStyle name="표준 20 19" xfId="2044" xr:uid="{00000000-0005-0000-0000-00003A0C0000}"/>
    <cellStyle name="표준 20 2" xfId="2045" xr:uid="{00000000-0005-0000-0000-00003B0C0000}"/>
    <cellStyle name="표준 20 20" xfId="2046" xr:uid="{00000000-0005-0000-0000-00003C0C0000}"/>
    <cellStyle name="표준 20 21" xfId="2047" xr:uid="{00000000-0005-0000-0000-00003D0C0000}"/>
    <cellStyle name="표준 20 22" xfId="2048" xr:uid="{00000000-0005-0000-0000-00003E0C0000}"/>
    <cellStyle name="표준 20 23" xfId="2049" xr:uid="{00000000-0005-0000-0000-00003F0C0000}"/>
    <cellStyle name="표준 20 24" xfId="2050" xr:uid="{00000000-0005-0000-0000-0000400C0000}"/>
    <cellStyle name="표준 20 25" xfId="2051" xr:uid="{00000000-0005-0000-0000-0000410C0000}"/>
    <cellStyle name="표준 20 26" xfId="2052" xr:uid="{00000000-0005-0000-0000-0000420C0000}"/>
    <cellStyle name="표준 20 27" xfId="2053" xr:uid="{00000000-0005-0000-0000-0000430C0000}"/>
    <cellStyle name="표준 20 28" xfId="2054" xr:uid="{00000000-0005-0000-0000-0000440C0000}"/>
    <cellStyle name="표준 20 29" xfId="2034" xr:uid="{00000000-0005-0000-0000-0000450C0000}"/>
    <cellStyle name="표준 20 3" xfId="2055" xr:uid="{00000000-0005-0000-0000-0000460C0000}"/>
    <cellStyle name="표준 20 4" xfId="2056" xr:uid="{00000000-0005-0000-0000-0000470C0000}"/>
    <cellStyle name="표준 20 5" xfId="2057" xr:uid="{00000000-0005-0000-0000-0000480C0000}"/>
    <cellStyle name="표준 20 6" xfId="2058" xr:uid="{00000000-0005-0000-0000-0000490C0000}"/>
    <cellStyle name="표준 20 7" xfId="2059" xr:uid="{00000000-0005-0000-0000-00004A0C0000}"/>
    <cellStyle name="표준 20 8" xfId="2060" xr:uid="{00000000-0005-0000-0000-00004B0C0000}"/>
    <cellStyle name="표준 20 9" xfId="2061" xr:uid="{00000000-0005-0000-0000-00004C0C0000}"/>
    <cellStyle name="표준 21" xfId="1821" xr:uid="{00000000-0005-0000-0000-00004D0C0000}"/>
    <cellStyle name="표준 21 10" xfId="2062" xr:uid="{00000000-0005-0000-0000-00004E0C0000}"/>
    <cellStyle name="표준 21 11" xfId="2063" xr:uid="{00000000-0005-0000-0000-00004F0C0000}"/>
    <cellStyle name="표준 21 12" xfId="2064" xr:uid="{00000000-0005-0000-0000-0000500C0000}"/>
    <cellStyle name="표준 21 13" xfId="2065" xr:uid="{00000000-0005-0000-0000-0000510C0000}"/>
    <cellStyle name="표준 21 14" xfId="2066" xr:uid="{00000000-0005-0000-0000-0000520C0000}"/>
    <cellStyle name="표준 21 15" xfId="2067" xr:uid="{00000000-0005-0000-0000-0000530C0000}"/>
    <cellStyle name="표준 21 16" xfId="2068" xr:uid="{00000000-0005-0000-0000-0000540C0000}"/>
    <cellStyle name="표준 21 17" xfId="2069" xr:uid="{00000000-0005-0000-0000-0000550C0000}"/>
    <cellStyle name="표준 21 18" xfId="2070" xr:uid="{00000000-0005-0000-0000-0000560C0000}"/>
    <cellStyle name="표준 21 19" xfId="2071" xr:uid="{00000000-0005-0000-0000-0000570C0000}"/>
    <cellStyle name="표준 21 2" xfId="1887" xr:uid="{00000000-0005-0000-0000-0000580C0000}"/>
    <cellStyle name="표준 21 2 2" xfId="2072" xr:uid="{00000000-0005-0000-0000-0000590C0000}"/>
    <cellStyle name="표준 21 2 3" xfId="2677" xr:uid="{00000000-0005-0000-0000-00005A0C0000}"/>
    <cellStyle name="표준 21 2 3 2" xfId="2884" xr:uid="{00000000-0005-0000-0000-00005B0C0000}"/>
    <cellStyle name="표준 21 2 3 2 2" xfId="3422" xr:uid="{00000000-0005-0000-0000-00005C0C0000}"/>
    <cellStyle name="표준 21 2 3 2 2 2" xfId="4469" xr:uid="{00000000-0005-0000-0000-00005D0C0000}"/>
    <cellStyle name="표준 21 2 3 2 2 2 2" xfId="7619" xr:uid="{00000000-0005-0000-0000-00005E0C0000}"/>
    <cellStyle name="표준 21 2 3 2 2 3" xfId="5507" xr:uid="{00000000-0005-0000-0000-00005F0C0000}"/>
    <cellStyle name="표준 21 2 3 2 2 3 2" xfId="8656" xr:uid="{00000000-0005-0000-0000-0000600C0000}"/>
    <cellStyle name="표준 21 2 3 2 2 4" xfId="6572" xr:uid="{00000000-0005-0000-0000-0000610C0000}"/>
    <cellStyle name="표준 21 2 3 2 3" xfId="3940" xr:uid="{00000000-0005-0000-0000-0000620C0000}"/>
    <cellStyle name="표준 21 2 3 2 3 2" xfId="7090" xr:uid="{00000000-0005-0000-0000-0000630C0000}"/>
    <cellStyle name="표준 21 2 3 2 4" xfId="4987" xr:uid="{00000000-0005-0000-0000-0000640C0000}"/>
    <cellStyle name="표준 21 2 3 2 4 2" xfId="8137" xr:uid="{00000000-0005-0000-0000-0000650C0000}"/>
    <cellStyle name="표준 21 2 3 2 5" xfId="6043" xr:uid="{00000000-0005-0000-0000-0000660C0000}"/>
    <cellStyle name="표준 21 2 3 3" xfId="3215" xr:uid="{00000000-0005-0000-0000-0000670C0000}"/>
    <cellStyle name="표준 21 2 3 3 2" xfId="4262" xr:uid="{00000000-0005-0000-0000-0000680C0000}"/>
    <cellStyle name="표준 21 2 3 3 2 2" xfId="7412" xr:uid="{00000000-0005-0000-0000-0000690C0000}"/>
    <cellStyle name="표준 21 2 3 3 3" xfId="5300" xr:uid="{00000000-0005-0000-0000-00006A0C0000}"/>
    <cellStyle name="표준 21 2 3 3 3 2" xfId="8449" xr:uid="{00000000-0005-0000-0000-00006B0C0000}"/>
    <cellStyle name="표준 21 2 3 3 4" xfId="6365" xr:uid="{00000000-0005-0000-0000-00006C0C0000}"/>
    <cellStyle name="표준 21 2 3 4" xfId="3733" xr:uid="{00000000-0005-0000-0000-00006D0C0000}"/>
    <cellStyle name="표준 21 2 3 4 2" xfId="6883" xr:uid="{00000000-0005-0000-0000-00006E0C0000}"/>
    <cellStyle name="표준 21 2 3 5" xfId="4780" xr:uid="{00000000-0005-0000-0000-00006F0C0000}"/>
    <cellStyle name="표준 21 2 3 5 2" xfId="7930" xr:uid="{00000000-0005-0000-0000-0000700C0000}"/>
    <cellStyle name="표준 21 2 3 6" xfId="5836" xr:uid="{00000000-0005-0000-0000-0000710C0000}"/>
    <cellStyle name="표준 21 2 4" xfId="2806" xr:uid="{00000000-0005-0000-0000-0000720C0000}"/>
    <cellStyle name="표준 21 2 4 2" xfId="3344" xr:uid="{00000000-0005-0000-0000-0000730C0000}"/>
    <cellStyle name="표준 21 2 4 2 2" xfId="4391" xr:uid="{00000000-0005-0000-0000-0000740C0000}"/>
    <cellStyle name="표준 21 2 4 2 2 2" xfId="7541" xr:uid="{00000000-0005-0000-0000-0000750C0000}"/>
    <cellStyle name="표준 21 2 4 2 3" xfId="5429" xr:uid="{00000000-0005-0000-0000-0000760C0000}"/>
    <cellStyle name="표준 21 2 4 2 3 2" xfId="8578" xr:uid="{00000000-0005-0000-0000-0000770C0000}"/>
    <cellStyle name="표준 21 2 4 2 4" xfId="6494" xr:uid="{00000000-0005-0000-0000-0000780C0000}"/>
    <cellStyle name="표준 21 2 4 3" xfId="3862" xr:uid="{00000000-0005-0000-0000-0000790C0000}"/>
    <cellStyle name="표준 21 2 4 3 2" xfId="7012" xr:uid="{00000000-0005-0000-0000-00007A0C0000}"/>
    <cellStyle name="표준 21 2 4 4" xfId="4909" xr:uid="{00000000-0005-0000-0000-00007B0C0000}"/>
    <cellStyle name="표준 21 2 4 4 2" xfId="8059" xr:uid="{00000000-0005-0000-0000-00007C0C0000}"/>
    <cellStyle name="표준 21 2 4 5" xfId="5965" xr:uid="{00000000-0005-0000-0000-00007D0C0000}"/>
    <cellStyle name="표준 21 2 5" xfId="3086" xr:uid="{00000000-0005-0000-0000-00007E0C0000}"/>
    <cellStyle name="표준 21 2 5 2" xfId="4133" xr:uid="{00000000-0005-0000-0000-00007F0C0000}"/>
    <cellStyle name="표준 21 2 5 2 2" xfId="7283" xr:uid="{00000000-0005-0000-0000-0000800C0000}"/>
    <cellStyle name="표준 21 2 5 3" xfId="5171" xr:uid="{00000000-0005-0000-0000-0000810C0000}"/>
    <cellStyle name="표준 21 2 5 3 2" xfId="8320" xr:uid="{00000000-0005-0000-0000-0000820C0000}"/>
    <cellStyle name="표준 21 2 5 4" xfId="6236" xr:uid="{00000000-0005-0000-0000-0000830C0000}"/>
    <cellStyle name="표준 21 2 6" xfId="3604" xr:uid="{00000000-0005-0000-0000-0000840C0000}"/>
    <cellStyle name="표준 21 2 6 2" xfId="6754" xr:uid="{00000000-0005-0000-0000-0000850C0000}"/>
    <cellStyle name="표준 21 2 7" xfId="4651" xr:uid="{00000000-0005-0000-0000-0000860C0000}"/>
    <cellStyle name="표준 21 2 7 2" xfId="7801" xr:uid="{00000000-0005-0000-0000-0000870C0000}"/>
    <cellStyle name="표준 21 2 8" xfId="5707" xr:uid="{00000000-0005-0000-0000-0000880C0000}"/>
    <cellStyle name="표준 21 20" xfId="2073" xr:uid="{00000000-0005-0000-0000-0000890C0000}"/>
    <cellStyle name="표준 21 21" xfId="2074" xr:uid="{00000000-0005-0000-0000-00008A0C0000}"/>
    <cellStyle name="표준 21 22" xfId="2075" xr:uid="{00000000-0005-0000-0000-00008B0C0000}"/>
    <cellStyle name="표준 21 23" xfId="2076" xr:uid="{00000000-0005-0000-0000-00008C0C0000}"/>
    <cellStyle name="표준 21 24" xfId="2077" xr:uid="{00000000-0005-0000-0000-00008D0C0000}"/>
    <cellStyle name="표준 21 25" xfId="2078" xr:uid="{00000000-0005-0000-0000-00008E0C0000}"/>
    <cellStyle name="표준 21 26" xfId="2079" xr:uid="{00000000-0005-0000-0000-00008F0C0000}"/>
    <cellStyle name="표준 21 27" xfId="2080" xr:uid="{00000000-0005-0000-0000-0000900C0000}"/>
    <cellStyle name="표준 21 28" xfId="2081" xr:uid="{00000000-0005-0000-0000-0000910C0000}"/>
    <cellStyle name="표준 21 29" xfId="2082" xr:uid="{00000000-0005-0000-0000-0000920C0000}"/>
    <cellStyle name="표준 21 3" xfId="1920" xr:uid="{00000000-0005-0000-0000-0000930C0000}"/>
    <cellStyle name="표준 21 3 2" xfId="2083" xr:uid="{00000000-0005-0000-0000-0000940C0000}"/>
    <cellStyle name="표준 21 3 3" xfId="2710" xr:uid="{00000000-0005-0000-0000-0000950C0000}"/>
    <cellStyle name="표준 21 3 3 2" xfId="2885" xr:uid="{00000000-0005-0000-0000-0000960C0000}"/>
    <cellStyle name="표준 21 3 3 2 2" xfId="3423" xr:uid="{00000000-0005-0000-0000-0000970C0000}"/>
    <cellStyle name="표준 21 3 3 2 2 2" xfId="4470" xr:uid="{00000000-0005-0000-0000-0000980C0000}"/>
    <cellStyle name="표준 21 3 3 2 2 2 2" xfId="7620" xr:uid="{00000000-0005-0000-0000-0000990C0000}"/>
    <cellStyle name="표준 21 3 3 2 2 3" xfId="5508" xr:uid="{00000000-0005-0000-0000-00009A0C0000}"/>
    <cellStyle name="표준 21 3 3 2 2 3 2" xfId="8657" xr:uid="{00000000-0005-0000-0000-00009B0C0000}"/>
    <cellStyle name="표준 21 3 3 2 2 4" xfId="6573" xr:uid="{00000000-0005-0000-0000-00009C0C0000}"/>
    <cellStyle name="표준 21 3 3 2 3" xfId="3941" xr:uid="{00000000-0005-0000-0000-00009D0C0000}"/>
    <cellStyle name="표준 21 3 3 2 3 2" xfId="7091" xr:uid="{00000000-0005-0000-0000-00009E0C0000}"/>
    <cellStyle name="표준 21 3 3 2 4" xfId="4988" xr:uid="{00000000-0005-0000-0000-00009F0C0000}"/>
    <cellStyle name="표준 21 3 3 2 4 2" xfId="8138" xr:uid="{00000000-0005-0000-0000-0000A00C0000}"/>
    <cellStyle name="표준 21 3 3 2 5" xfId="6044" xr:uid="{00000000-0005-0000-0000-0000A10C0000}"/>
    <cellStyle name="표준 21 3 3 3" xfId="3248" xr:uid="{00000000-0005-0000-0000-0000A20C0000}"/>
    <cellStyle name="표준 21 3 3 3 2" xfId="4295" xr:uid="{00000000-0005-0000-0000-0000A30C0000}"/>
    <cellStyle name="표준 21 3 3 3 2 2" xfId="7445" xr:uid="{00000000-0005-0000-0000-0000A40C0000}"/>
    <cellStyle name="표준 21 3 3 3 3" xfId="5333" xr:uid="{00000000-0005-0000-0000-0000A50C0000}"/>
    <cellStyle name="표준 21 3 3 3 3 2" xfId="8482" xr:uid="{00000000-0005-0000-0000-0000A60C0000}"/>
    <cellStyle name="표준 21 3 3 3 4" xfId="6398" xr:uid="{00000000-0005-0000-0000-0000A70C0000}"/>
    <cellStyle name="표준 21 3 3 4" xfId="3766" xr:uid="{00000000-0005-0000-0000-0000A80C0000}"/>
    <cellStyle name="표준 21 3 3 4 2" xfId="6916" xr:uid="{00000000-0005-0000-0000-0000A90C0000}"/>
    <cellStyle name="표준 21 3 3 5" xfId="4813" xr:uid="{00000000-0005-0000-0000-0000AA0C0000}"/>
    <cellStyle name="표준 21 3 3 5 2" xfId="7963" xr:uid="{00000000-0005-0000-0000-0000AB0C0000}"/>
    <cellStyle name="표준 21 3 3 6" xfId="5869" xr:uid="{00000000-0005-0000-0000-0000AC0C0000}"/>
    <cellStyle name="표준 21 3 4" xfId="2839" xr:uid="{00000000-0005-0000-0000-0000AD0C0000}"/>
    <cellStyle name="표준 21 3 4 2" xfId="3377" xr:uid="{00000000-0005-0000-0000-0000AE0C0000}"/>
    <cellStyle name="표준 21 3 4 2 2" xfId="4424" xr:uid="{00000000-0005-0000-0000-0000AF0C0000}"/>
    <cellStyle name="표준 21 3 4 2 2 2" xfId="7574" xr:uid="{00000000-0005-0000-0000-0000B00C0000}"/>
    <cellStyle name="표준 21 3 4 2 3" xfId="5462" xr:uid="{00000000-0005-0000-0000-0000B10C0000}"/>
    <cellStyle name="표준 21 3 4 2 3 2" xfId="8611" xr:uid="{00000000-0005-0000-0000-0000B20C0000}"/>
    <cellStyle name="표준 21 3 4 2 4" xfId="6527" xr:uid="{00000000-0005-0000-0000-0000B30C0000}"/>
    <cellStyle name="표준 21 3 4 3" xfId="3895" xr:uid="{00000000-0005-0000-0000-0000B40C0000}"/>
    <cellStyle name="표준 21 3 4 3 2" xfId="7045" xr:uid="{00000000-0005-0000-0000-0000B50C0000}"/>
    <cellStyle name="표준 21 3 4 4" xfId="4942" xr:uid="{00000000-0005-0000-0000-0000B60C0000}"/>
    <cellStyle name="표준 21 3 4 4 2" xfId="8092" xr:uid="{00000000-0005-0000-0000-0000B70C0000}"/>
    <cellStyle name="표준 21 3 4 5" xfId="5998" xr:uid="{00000000-0005-0000-0000-0000B80C0000}"/>
    <cellStyle name="표준 21 3 5" xfId="3119" xr:uid="{00000000-0005-0000-0000-0000B90C0000}"/>
    <cellStyle name="표준 21 3 5 2" xfId="4166" xr:uid="{00000000-0005-0000-0000-0000BA0C0000}"/>
    <cellStyle name="표준 21 3 5 2 2" xfId="7316" xr:uid="{00000000-0005-0000-0000-0000BB0C0000}"/>
    <cellStyle name="표준 21 3 5 3" xfId="5204" xr:uid="{00000000-0005-0000-0000-0000BC0C0000}"/>
    <cellStyle name="표준 21 3 5 3 2" xfId="8353" xr:uid="{00000000-0005-0000-0000-0000BD0C0000}"/>
    <cellStyle name="표준 21 3 5 4" xfId="6269" xr:uid="{00000000-0005-0000-0000-0000BE0C0000}"/>
    <cellStyle name="표준 21 3 6" xfId="3637" xr:uid="{00000000-0005-0000-0000-0000BF0C0000}"/>
    <cellStyle name="표준 21 3 6 2" xfId="6787" xr:uid="{00000000-0005-0000-0000-0000C00C0000}"/>
    <cellStyle name="표준 21 3 7" xfId="4684" xr:uid="{00000000-0005-0000-0000-0000C10C0000}"/>
    <cellStyle name="표준 21 3 7 2" xfId="7834" xr:uid="{00000000-0005-0000-0000-0000C20C0000}"/>
    <cellStyle name="표준 21 3 8" xfId="5740" xr:uid="{00000000-0005-0000-0000-0000C30C0000}"/>
    <cellStyle name="표준 21 30" xfId="2084" xr:uid="{00000000-0005-0000-0000-0000C40C0000}"/>
    <cellStyle name="표준 21 31" xfId="2085" xr:uid="{00000000-0005-0000-0000-0000C50C0000}"/>
    <cellStyle name="표준 21 32" xfId="2086" xr:uid="{00000000-0005-0000-0000-0000C60C0000}"/>
    <cellStyle name="표준 21 33" xfId="2087" xr:uid="{00000000-0005-0000-0000-0000C70C0000}"/>
    <cellStyle name="표준 21 34" xfId="2088" xr:uid="{00000000-0005-0000-0000-0000C80C0000}"/>
    <cellStyle name="표준 21 35" xfId="2089" xr:uid="{00000000-0005-0000-0000-0000C90C0000}"/>
    <cellStyle name="표준 21 36" xfId="2090" xr:uid="{00000000-0005-0000-0000-0000CA0C0000}"/>
    <cellStyle name="표준 21 37" xfId="2091" xr:uid="{00000000-0005-0000-0000-0000CB0C0000}"/>
    <cellStyle name="표준 21 38" xfId="2092" xr:uid="{00000000-0005-0000-0000-0000CC0C0000}"/>
    <cellStyle name="표준 21 39" xfId="2093" xr:uid="{00000000-0005-0000-0000-0000CD0C0000}"/>
    <cellStyle name="표준 21 4" xfId="1854" xr:uid="{00000000-0005-0000-0000-0000CE0C0000}"/>
    <cellStyle name="표준 21 4 2" xfId="2094" xr:uid="{00000000-0005-0000-0000-0000CF0C0000}"/>
    <cellStyle name="표준 21 4 3" xfId="2644" xr:uid="{00000000-0005-0000-0000-0000D00C0000}"/>
    <cellStyle name="표준 21 4 3 2" xfId="2886" xr:uid="{00000000-0005-0000-0000-0000D10C0000}"/>
    <cellStyle name="표준 21 4 3 2 2" xfId="3424" xr:uid="{00000000-0005-0000-0000-0000D20C0000}"/>
    <cellStyle name="표준 21 4 3 2 2 2" xfId="4471" xr:uid="{00000000-0005-0000-0000-0000D30C0000}"/>
    <cellStyle name="표준 21 4 3 2 2 2 2" xfId="7621" xr:uid="{00000000-0005-0000-0000-0000D40C0000}"/>
    <cellStyle name="표준 21 4 3 2 2 3" xfId="5509" xr:uid="{00000000-0005-0000-0000-0000D50C0000}"/>
    <cellStyle name="표준 21 4 3 2 2 3 2" xfId="8658" xr:uid="{00000000-0005-0000-0000-0000D60C0000}"/>
    <cellStyle name="표준 21 4 3 2 2 4" xfId="6574" xr:uid="{00000000-0005-0000-0000-0000D70C0000}"/>
    <cellStyle name="표준 21 4 3 2 3" xfId="3942" xr:uid="{00000000-0005-0000-0000-0000D80C0000}"/>
    <cellStyle name="표준 21 4 3 2 3 2" xfId="7092" xr:uid="{00000000-0005-0000-0000-0000D90C0000}"/>
    <cellStyle name="표준 21 4 3 2 4" xfId="4989" xr:uid="{00000000-0005-0000-0000-0000DA0C0000}"/>
    <cellStyle name="표준 21 4 3 2 4 2" xfId="8139" xr:uid="{00000000-0005-0000-0000-0000DB0C0000}"/>
    <cellStyle name="표준 21 4 3 2 5" xfId="6045" xr:uid="{00000000-0005-0000-0000-0000DC0C0000}"/>
    <cellStyle name="표준 21 4 3 3" xfId="3182" xr:uid="{00000000-0005-0000-0000-0000DD0C0000}"/>
    <cellStyle name="표준 21 4 3 3 2" xfId="4229" xr:uid="{00000000-0005-0000-0000-0000DE0C0000}"/>
    <cellStyle name="표준 21 4 3 3 2 2" xfId="7379" xr:uid="{00000000-0005-0000-0000-0000DF0C0000}"/>
    <cellStyle name="표준 21 4 3 3 3" xfId="5267" xr:uid="{00000000-0005-0000-0000-0000E00C0000}"/>
    <cellStyle name="표준 21 4 3 3 3 2" xfId="8416" xr:uid="{00000000-0005-0000-0000-0000E10C0000}"/>
    <cellStyle name="표준 21 4 3 3 4" xfId="6332" xr:uid="{00000000-0005-0000-0000-0000E20C0000}"/>
    <cellStyle name="표준 21 4 3 4" xfId="3700" xr:uid="{00000000-0005-0000-0000-0000E30C0000}"/>
    <cellStyle name="표준 21 4 3 4 2" xfId="6850" xr:uid="{00000000-0005-0000-0000-0000E40C0000}"/>
    <cellStyle name="표준 21 4 3 5" xfId="4747" xr:uid="{00000000-0005-0000-0000-0000E50C0000}"/>
    <cellStyle name="표준 21 4 3 5 2" xfId="7897" xr:uid="{00000000-0005-0000-0000-0000E60C0000}"/>
    <cellStyle name="표준 21 4 3 6" xfId="5803" xr:uid="{00000000-0005-0000-0000-0000E70C0000}"/>
    <cellStyle name="표준 21 4 4" xfId="2773" xr:uid="{00000000-0005-0000-0000-0000E80C0000}"/>
    <cellStyle name="표준 21 4 4 2" xfId="3311" xr:uid="{00000000-0005-0000-0000-0000E90C0000}"/>
    <cellStyle name="표준 21 4 4 2 2" xfId="4358" xr:uid="{00000000-0005-0000-0000-0000EA0C0000}"/>
    <cellStyle name="표준 21 4 4 2 2 2" xfId="7508" xr:uid="{00000000-0005-0000-0000-0000EB0C0000}"/>
    <cellStyle name="표준 21 4 4 2 3" xfId="5396" xr:uid="{00000000-0005-0000-0000-0000EC0C0000}"/>
    <cellStyle name="표준 21 4 4 2 3 2" xfId="8545" xr:uid="{00000000-0005-0000-0000-0000ED0C0000}"/>
    <cellStyle name="표준 21 4 4 2 4" xfId="6461" xr:uid="{00000000-0005-0000-0000-0000EE0C0000}"/>
    <cellStyle name="표준 21 4 4 3" xfId="3829" xr:uid="{00000000-0005-0000-0000-0000EF0C0000}"/>
    <cellStyle name="표준 21 4 4 3 2" xfId="6979" xr:uid="{00000000-0005-0000-0000-0000F00C0000}"/>
    <cellStyle name="표준 21 4 4 4" xfId="4876" xr:uid="{00000000-0005-0000-0000-0000F10C0000}"/>
    <cellStyle name="표준 21 4 4 4 2" xfId="8026" xr:uid="{00000000-0005-0000-0000-0000F20C0000}"/>
    <cellStyle name="표준 21 4 4 5" xfId="5932" xr:uid="{00000000-0005-0000-0000-0000F30C0000}"/>
    <cellStyle name="표준 21 4 5" xfId="3053" xr:uid="{00000000-0005-0000-0000-0000F40C0000}"/>
    <cellStyle name="표준 21 4 5 2" xfId="4100" xr:uid="{00000000-0005-0000-0000-0000F50C0000}"/>
    <cellStyle name="표준 21 4 5 2 2" xfId="7250" xr:uid="{00000000-0005-0000-0000-0000F60C0000}"/>
    <cellStyle name="표준 21 4 5 3" xfId="5138" xr:uid="{00000000-0005-0000-0000-0000F70C0000}"/>
    <cellStyle name="표준 21 4 5 3 2" xfId="8287" xr:uid="{00000000-0005-0000-0000-0000F80C0000}"/>
    <cellStyle name="표준 21 4 5 4" xfId="6203" xr:uid="{00000000-0005-0000-0000-0000F90C0000}"/>
    <cellStyle name="표준 21 4 6" xfId="3571" xr:uid="{00000000-0005-0000-0000-0000FA0C0000}"/>
    <cellStyle name="표준 21 4 6 2" xfId="6721" xr:uid="{00000000-0005-0000-0000-0000FB0C0000}"/>
    <cellStyle name="표준 21 4 7" xfId="4618" xr:uid="{00000000-0005-0000-0000-0000FC0C0000}"/>
    <cellStyle name="표준 21 4 7 2" xfId="7768" xr:uid="{00000000-0005-0000-0000-0000FD0C0000}"/>
    <cellStyle name="표준 21 4 8" xfId="5674" xr:uid="{00000000-0005-0000-0000-0000FE0C0000}"/>
    <cellStyle name="표준 21 40" xfId="2615" xr:uid="{00000000-0005-0000-0000-0000FF0C0000}"/>
    <cellStyle name="표준 21 40 2" xfId="2887" xr:uid="{00000000-0005-0000-0000-0000000D0000}"/>
    <cellStyle name="표준 21 40 2 2" xfId="3425" xr:uid="{00000000-0005-0000-0000-0000010D0000}"/>
    <cellStyle name="표준 21 40 2 2 2" xfId="4472" xr:uid="{00000000-0005-0000-0000-0000020D0000}"/>
    <cellStyle name="표준 21 40 2 2 2 2" xfId="7622" xr:uid="{00000000-0005-0000-0000-0000030D0000}"/>
    <cellStyle name="표준 21 40 2 2 3" xfId="5510" xr:uid="{00000000-0005-0000-0000-0000040D0000}"/>
    <cellStyle name="표준 21 40 2 2 3 2" xfId="8659" xr:uid="{00000000-0005-0000-0000-0000050D0000}"/>
    <cellStyle name="표준 21 40 2 2 4" xfId="6575" xr:uid="{00000000-0005-0000-0000-0000060D0000}"/>
    <cellStyle name="표준 21 40 2 3" xfId="3943" xr:uid="{00000000-0005-0000-0000-0000070D0000}"/>
    <cellStyle name="표준 21 40 2 3 2" xfId="7093" xr:uid="{00000000-0005-0000-0000-0000080D0000}"/>
    <cellStyle name="표준 21 40 2 4" xfId="4990" xr:uid="{00000000-0005-0000-0000-0000090D0000}"/>
    <cellStyle name="표준 21 40 2 4 2" xfId="8140" xr:uid="{00000000-0005-0000-0000-00000A0D0000}"/>
    <cellStyle name="표준 21 40 2 5" xfId="6046" xr:uid="{00000000-0005-0000-0000-00000B0D0000}"/>
    <cellStyle name="표준 21 40 3" xfId="3153" xr:uid="{00000000-0005-0000-0000-00000C0D0000}"/>
    <cellStyle name="표준 21 40 3 2" xfId="4200" xr:uid="{00000000-0005-0000-0000-00000D0D0000}"/>
    <cellStyle name="표준 21 40 3 2 2" xfId="7350" xr:uid="{00000000-0005-0000-0000-00000E0D0000}"/>
    <cellStyle name="표준 21 40 3 3" xfId="5238" xr:uid="{00000000-0005-0000-0000-00000F0D0000}"/>
    <cellStyle name="표준 21 40 3 3 2" xfId="8387" xr:uid="{00000000-0005-0000-0000-0000100D0000}"/>
    <cellStyle name="표준 21 40 3 4" xfId="6303" xr:uid="{00000000-0005-0000-0000-0000110D0000}"/>
    <cellStyle name="표준 21 40 4" xfId="3671" xr:uid="{00000000-0005-0000-0000-0000120D0000}"/>
    <cellStyle name="표준 21 40 4 2" xfId="6821" xr:uid="{00000000-0005-0000-0000-0000130D0000}"/>
    <cellStyle name="표준 21 40 5" xfId="4718" xr:uid="{00000000-0005-0000-0000-0000140D0000}"/>
    <cellStyle name="표준 21 40 5 2" xfId="7868" xr:uid="{00000000-0005-0000-0000-0000150D0000}"/>
    <cellStyle name="표준 21 40 6" xfId="5774" xr:uid="{00000000-0005-0000-0000-0000160D0000}"/>
    <cellStyle name="표준 21 41" xfId="2744" xr:uid="{00000000-0005-0000-0000-0000170D0000}"/>
    <cellStyle name="표준 21 41 2" xfId="3282" xr:uid="{00000000-0005-0000-0000-0000180D0000}"/>
    <cellStyle name="표준 21 41 2 2" xfId="4329" xr:uid="{00000000-0005-0000-0000-0000190D0000}"/>
    <cellStyle name="표준 21 41 2 2 2" xfId="7479" xr:uid="{00000000-0005-0000-0000-00001A0D0000}"/>
    <cellStyle name="표준 21 41 2 3" xfId="5367" xr:uid="{00000000-0005-0000-0000-00001B0D0000}"/>
    <cellStyle name="표준 21 41 2 3 2" xfId="8516" xr:uid="{00000000-0005-0000-0000-00001C0D0000}"/>
    <cellStyle name="표준 21 41 2 4" xfId="6432" xr:uid="{00000000-0005-0000-0000-00001D0D0000}"/>
    <cellStyle name="표준 21 41 3" xfId="3800" xr:uid="{00000000-0005-0000-0000-00001E0D0000}"/>
    <cellStyle name="표준 21 41 3 2" xfId="6950" xr:uid="{00000000-0005-0000-0000-00001F0D0000}"/>
    <cellStyle name="표준 21 41 4" xfId="4847" xr:uid="{00000000-0005-0000-0000-0000200D0000}"/>
    <cellStyle name="표준 21 41 4 2" xfId="7997" xr:uid="{00000000-0005-0000-0000-0000210D0000}"/>
    <cellStyle name="표준 21 41 5" xfId="5903" xr:uid="{00000000-0005-0000-0000-0000220D0000}"/>
    <cellStyle name="표준 21 42" xfId="3024" xr:uid="{00000000-0005-0000-0000-0000230D0000}"/>
    <cellStyle name="표준 21 42 2" xfId="4071" xr:uid="{00000000-0005-0000-0000-0000240D0000}"/>
    <cellStyle name="표준 21 42 2 2" xfId="7221" xr:uid="{00000000-0005-0000-0000-0000250D0000}"/>
    <cellStyle name="표준 21 42 3" xfId="5109" xr:uid="{00000000-0005-0000-0000-0000260D0000}"/>
    <cellStyle name="표준 21 42 3 2" xfId="8258" xr:uid="{00000000-0005-0000-0000-0000270D0000}"/>
    <cellStyle name="표준 21 42 4" xfId="6174" xr:uid="{00000000-0005-0000-0000-0000280D0000}"/>
    <cellStyle name="표준 21 43" xfId="3542" xr:uid="{00000000-0005-0000-0000-0000290D0000}"/>
    <cellStyle name="표준 21 43 2" xfId="6692" xr:uid="{00000000-0005-0000-0000-00002A0D0000}"/>
    <cellStyle name="표준 21 44" xfId="4589" xr:uid="{00000000-0005-0000-0000-00002B0D0000}"/>
    <cellStyle name="표준 21 44 2" xfId="7739" xr:uid="{00000000-0005-0000-0000-00002C0D0000}"/>
    <cellStyle name="표준 21 45" xfId="5645" xr:uid="{00000000-0005-0000-0000-00002D0D0000}"/>
    <cellStyle name="표준 21 5" xfId="2095" xr:uid="{00000000-0005-0000-0000-00002E0D0000}"/>
    <cellStyle name="표준 21 6" xfId="2096" xr:uid="{00000000-0005-0000-0000-00002F0D0000}"/>
    <cellStyle name="표준 21 7" xfId="2097" xr:uid="{00000000-0005-0000-0000-0000300D0000}"/>
    <cellStyle name="표준 21 8" xfId="2098" xr:uid="{00000000-0005-0000-0000-0000310D0000}"/>
    <cellStyle name="표준 21 9" xfId="2099" xr:uid="{00000000-0005-0000-0000-0000320D0000}"/>
    <cellStyle name="표준 22" xfId="1933" xr:uid="{00000000-0005-0000-0000-0000330D0000}"/>
    <cellStyle name="표준 22 2" xfId="2100" xr:uid="{00000000-0005-0000-0000-0000340D0000}"/>
    <cellStyle name="표준 22 3" xfId="2723" xr:uid="{00000000-0005-0000-0000-0000350D0000}"/>
    <cellStyle name="표준 22 3 2" xfId="2888" xr:uid="{00000000-0005-0000-0000-0000360D0000}"/>
    <cellStyle name="표준 22 3 2 2" xfId="3426" xr:uid="{00000000-0005-0000-0000-0000370D0000}"/>
    <cellStyle name="표준 22 3 2 2 2" xfId="4473" xr:uid="{00000000-0005-0000-0000-0000380D0000}"/>
    <cellStyle name="표준 22 3 2 2 2 2" xfId="7623" xr:uid="{00000000-0005-0000-0000-0000390D0000}"/>
    <cellStyle name="표준 22 3 2 2 3" xfId="5511" xr:uid="{00000000-0005-0000-0000-00003A0D0000}"/>
    <cellStyle name="표준 22 3 2 2 3 2" xfId="8660" xr:uid="{00000000-0005-0000-0000-00003B0D0000}"/>
    <cellStyle name="표준 22 3 2 2 4" xfId="6576" xr:uid="{00000000-0005-0000-0000-00003C0D0000}"/>
    <cellStyle name="표준 22 3 2 3" xfId="3944" xr:uid="{00000000-0005-0000-0000-00003D0D0000}"/>
    <cellStyle name="표준 22 3 2 3 2" xfId="7094" xr:uid="{00000000-0005-0000-0000-00003E0D0000}"/>
    <cellStyle name="표준 22 3 2 4" xfId="4991" xr:uid="{00000000-0005-0000-0000-00003F0D0000}"/>
    <cellStyle name="표준 22 3 2 4 2" xfId="8141" xr:uid="{00000000-0005-0000-0000-0000400D0000}"/>
    <cellStyle name="표준 22 3 2 5" xfId="6047" xr:uid="{00000000-0005-0000-0000-0000410D0000}"/>
    <cellStyle name="표준 22 3 3" xfId="3261" xr:uid="{00000000-0005-0000-0000-0000420D0000}"/>
    <cellStyle name="표준 22 3 3 2" xfId="4308" xr:uid="{00000000-0005-0000-0000-0000430D0000}"/>
    <cellStyle name="표준 22 3 3 2 2" xfId="7458" xr:uid="{00000000-0005-0000-0000-0000440D0000}"/>
    <cellStyle name="표준 22 3 3 3" xfId="5346" xr:uid="{00000000-0005-0000-0000-0000450D0000}"/>
    <cellStyle name="표준 22 3 3 3 2" xfId="8495" xr:uid="{00000000-0005-0000-0000-0000460D0000}"/>
    <cellStyle name="표준 22 3 3 4" xfId="6411" xr:uid="{00000000-0005-0000-0000-0000470D0000}"/>
    <cellStyle name="표준 22 3 4" xfId="3779" xr:uid="{00000000-0005-0000-0000-0000480D0000}"/>
    <cellStyle name="표준 22 3 4 2" xfId="6929" xr:uid="{00000000-0005-0000-0000-0000490D0000}"/>
    <cellStyle name="표준 22 3 5" xfId="4826" xr:uid="{00000000-0005-0000-0000-00004A0D0000}"/>
    <cellStyle name="표준 22 3 5 2" xfId="7976" xr:uid="{00000000-0005-0000-0000-00004B0D0000}"/>
    <cellStyle name="표준 22 3 6" xfId="5882" xr:uid="{00000000-0005-0000-0000-00004C0D0000}"/>
    <cellStyle name="표준 22 4" xfId="2852" xr:uid="{00000000-0005-0000-0000-00004D0D0000}"/>
    <cellStyle name="표준 22 4 2" xfId="3390" xr:uid="{00000000-0005-0000-0000-00004E0D0000}"/>
    <cellStyle name="표준 22 4 2 2" xfId="4437" xr:uid="{00000000-0005-0000-0000-00004F0D0000}"/>
    <cellStyle name="표준 22 4 2 2 2" xfId="7587" xr:uid="{00000000-0005-0000-0000-0000500D0000}"/>
    <cellStyle name="표준 22 4 2 3" xfId="5475" xr:uid="{00000000-0005-0000-0000-0000510D0000}"/>
    <cellStyle name="표준 22 4 2 3 2" xfId="8624" xr:uid="{00000000-0005-0000-0000-0000520D0000}"/>
    <cellStyle name="표준 22 4 2 4" xfId="6540" xr:uid="{00000000-0005-0000-0000-0000530D0000}"/>
    <cellStyle name="표준 22 4 3" xfId="3908" xr:uid="{00000000-0005-0000-0000-0000540D0000}"/>
    <cellStyle name="표준 22 4 3 2" xfId="7058" xr:uid="{00000000-0005-0000-0000-0000550D0000}"/>
    <cellStyle name="표준 22 4 4" xfId="4955" xr:uid="{00000000-0005-0000-0000-0000560D0000}"/>
    <cellStyle name="표준 22 4 4 2" xfId="8105" xr:uid="{00000000-0005-0000-0000-0000570D0000}"/>
    <cellStyle name="표준 22 4 5" xfId="6011" xr:uid="{00000000-0005-0000-0000-0000580D0000}"/>
    <cellStyle name="표준 22 5" xfId="3132" xr:uid="{00000000-0005-0000-0000-0000590D0000}"/>
    <cellStyle name="표준 22 5 2" xfId="4179" xr:uid="{00000000-0005-0000-0000-00005A0D0000}"/>
    <cellStyle name="표준 22 5 2 2" xfId="7329" xr:uid="{00000000-0005-0000-0000-00005B0D0000}"/>
    <cellStyle name="표준 22 5 3" xfId="5217" xr:uid="{00000000-0005-0000-0000-00005C0D0000}"/>
    <cellStyle name="표준 22 5 3 2" xfId="8366" xr:uid="{00000000-0005-0000-0000-00005D0D0000}"/>
    <cellStyle name="표준 22 5 4" xfId="6282" xr:uid="{00000000-0005-0000-0000-00005E0D0000}"/>
    <cellStyle name="표준 22 6" xfId="3650" xr:uid="{00000000-0005-0000-0000-00005F0D0000}"/>
    <cellStyle name="표준 22 6 2" xfId="6800" xr:uid="{00000000-0005-0000-0000-0000600D0000}"/>
    <cellStyle name="표준 22 7" xfId="4697" xr:uid="{00000000-0005-0000-0000-0000610D0000}"/>
    <cellStyle name="표준 22 7 2" xfId="7847" xr:uid="{00000000-0005-0000-0000-0000620D0000}"/>
    <cellStyle name="표준 22 8" xfId="5753" xr:uid="{00000000-0005-0000-0000-0000630D0000}"/>
    <cellStyle name="표준 23" xfId="1935" xr:uid="{00000000-0005-0000-0000-0000640D0000}"/>
    <cellStyle name="표준 23 10" xfId="2101" xr:uid="{00000000-0005-0000-0000-0000650D0000}"/>
    <cellStyle name="표준 23 11" xfId="2102" xr:uid="{00000000-0005-0000-0000-0000660D0000}"/>
    <cellStyle name="표준 23 12" xfId="2103" xr:uid="{00000000-0005-0000-0000-0000670D0000}"/>
    <cellStyle name="표준 23 13" xfId="2104" xr:uid="{00000000-0005-0000-0000-0000680D0000}"/>
    <cellStyle name="표준 23 14" xfId="2105" xr:uid="{00000000-0005-0000-0000-0000690D0000}"/>
    <cellStyle name="표준 23 15" xfId="2106" xr:uid="{00000000-0005-0000-0000-00006A0D0000}"/>
    <cellStyle name="표준 23 16" xfId="2107" xr:uid="{00000000-0005-0000-0000-00006B0D0000}"/>
    <cellStyle name="표준 23 17" xfId="2108" xr:uid="{00000000-0005-0000-0000-00006C0D0000}"/>
    <cellStyle name="표준 23 18" xfId="2109" xr:uid="{00000000-0005-0000-0000-00006D0D0000}"/>
    <cellStyle name="표준 23 19" xfId="2110" xr:uid="{00000000-0005-0000-0000-00006E0D0000}"/>
    <cellStyle name="표준 23 2" xfId="2111" xr:uid="{00000000-0005-0000-0000-00006F0D0000}"/>
    <cellStyle name="표준 23 20" xfId="2112" xr:uid="{00000000-0005-0000-0000-0000700D0000}"/>
    <cellStyle name="표준 23 21" xfId="2113" xr:uid="{00000000-0005-0000-0000-0000710D0000}"/>
    <cellStyle name="표준 23 22" xfId="2114" xr:uid="{00000000-0005-0000-0000-0000720D0000}"/>
    <cellStyle name="표준 23 23" xfId="2115" xr:uid="{00000000-0005-0000-0000-0000730D0000}"/>
    <cellStyle name="표준 23 24" xfId="2116" xr:uid="{00000000-0005-0000-0000-0000740D0000}"/>
    <cellStyle name="표준 23 25" xfId="2117" xr:uid="{00000000-0005-0000-0000-0000750D0000}"/>
    <cellStyle name="표준 23 26" xfId="2118" xr:uid="{00000000-0005-0000-0000-0000760D0000}"/>
    <cellStyle name="표준 23 27" xfId="2119" xr:uid="{00000000-0005-0000-0000-0000770D0000}"/>
    <cellStyle name="표준 23 28" xfId="2120" xr:uid="{00000000-0005-0000-0000-0000780D0000}"/>
    <cellStyle name="표준 23 29" xfId="2121" xr:uid="{00000000-0005-0000-0000-0000790D0000}"/>
    <cellStyle name="표준 23 3" xfId="2122" xr:uid="{00000000-0005-0000-0000-00007A0D0000}"/>
    <cellStyle name="표준 23 30" xfId="2123" xr:uid="{00000000-0005-0000-0000-00007B0D0000}"/>
    <cellStyle name="표준 23 31" xfId="2124" xr:uid="{00000000-0005-0000-0000-00007C0D0000}"/>
    <cellStyle name="표준 23 32" xfId="2125" xr:uid="{00000000-0005-0000-0000-00007D0D0000}"/>
    <cellStyle name="표준 23 33" xfId="2126" xr:uid="{00000000-0005-0000-0000-00007E0D0000}"/>
    <cellStyle name="표준 23 34" xfId="2127" xr:uid="{00000000-0005-0000-0000-00007F0D0000}"/>
    <cellStyle name="표준 23 35" xfId="2128" xr:uid="{00000000-0005-0000-0000-0000800D0000}"/>
    <cellStyle name="표준 23 36" xfId="2129" xr:uid="{00000000-0005-0000-0000-0000810D0000}"/>
    <cellStyle name="표준 23 37" xfId="2130" xr:uid="{00000000-0005-0000-0000-0000820D0000}"/>
    <cellStyle name="표준 23 38" xfId="2131" xr:uid="{00000000-0005-0000-0000-0000830D0000}"/>
    <cellStyle name="표준 23 39" xfId="2132" xr:uid="{00000000-0005-0000-0000-0000840D0000}"/>
    <cellStyle name="표준 23 4" xfId="2133" xr:uid="{00000000-0005-0000-0000-0000850D0000}"/>
    <cellStyle name="표준 23 5" xfId="2134" xr:uid="{00000000-0005-0000-0000-0000860D0000}"/>
    <cellStyle name="표준 23 6" xfId="2135" xr:uid="{00000000-0005-0000-0000-0000870D0000}"/>
    <cellStyle name="표준 23 7" xfId="2136" xr:uid="{00000000-0005-0000-0000-0000880D0000}"/>
    <cellStyle name="표준 23 8" xfId="2137" xr:uid="{00000000-0005-0000-0000-0000890D0000}"/>
    <cellStyle name="표준 23 9" xfId="2138" xr:uid="{00000000-0005-0000-0000-00008A0D0000}"/>
    <cellStyle name="표준 24" xfId="2889" xr:uid="{00000000-0005-0000-0000-00008B0D0000}"/>
    <cellStyle name="표준 24 10" xfId="2139" xr:uid="{00000000-0005-0000-0000-00008C0D0000}"/>
    <cellStyle name="표준 24 11" xfId="2140" xr:uid="{00000000-0005-0000-0000-00008D0D0000}"/>
    <cellStyle name="표준 24 12" xfId="2141" xr:uid="{00000000-0005-0000-0000-00008E0D0000}"/>
    <cellStyle name="표준 24 13" xfId="2142" xr:uid="{00000000-0005-0000-0000-00008F0D0000}"/>
    <cellStyle name="표준 24 14" xfId="2143" xr:uid="{00000000-0005-0000-0000-0000900D0000}"/>
    <cellStyle name="표준 24 15" xfId="2144" xr:uid="{00000000-0005-0000-0000-0000910D0000}"/>
    <cellStyle name="표준 24 16" xfId="2145" xr:uid="{00000000-0005-0000-0000-0000920D0000}"/>
    <cellStyle name="표준 24 17" xfId="2146" xr:uid="{00000000-0005-0000-0000-0000930D0000}"/>
    <cellStyle name="표준 24 18" xfId="2147" xr:uid="{00000000-0005-0000-0000-0000940D0000}"/>
    <cellStyle name="표준 24 19" xfId="2148" xr:uid="{00000000-0005-0000-0000-0000950D0000}"/>
    <cellStyle name="표준 24 2" xfId="2149" xr:uid="{00000000-0005-0000-0000-0000960D0000}"/>
    <cellStyle name="표준 24 20" xfId="2150" xr:uid="{00000000-0005-0000-0000-0000970D0000}"/>
    <cellStyle name="표준 24 21" xfId="2151" xr:uid="{00000000-0005-0000-0000-0000980D0000}"/>
    <cellStyle name="표준 24 22" xfId="2152" xr:uid="{00000000-0005-0000-0000-0000990D0000}"/>
    <cellStyle name="표준 24 23" xfId="2153" xr:uid="{00000000-0005-0000-0000-00009A0D0000}"/>
    <cellStyle name="표준 24 24" xfId="2154" xr:uid="{00000000-0005-0000-0000-00009B0D0000}"/>
    <cellStyle name="표준 24 25" xfId="2155" xr:uid="{00000000-0005-0000-0000-00009C0D0000}"/>
    <cellStyle name="표준 24 26" xfId="2156" xr:uid="{00000000-0005-0000-0000-00009D0D0000}"/>
    <cellStyle name="표준 24 27" xfId="2157" xr:uid="{00000000-0005-0000-0000-00009E0D0000}"/>
    <cellStyle name="표준 24 28" xfId="2158" xr:uid="{00000000-0005-0000-0000-00009F0D0000}"/>
    <cellStyle name="표준 24 29" xfId="2159" xr:uid="{00000000-0005-0000-0000-0000A00D0000}"/>
    <cellStyle name="표준 24 3" xfId="2160" xr:uid="{00000000-0005-0000-0000-0000A10D0000}"/>
    <cellStyle name="표준 24 30" xfId="2161" xr:uid="{00000000-0005-0000-0000-0000A20D0000}"/>
    <cellStyle name="표준 24 31" xfId="2162" xr:uid="{00000000-0005-0000-0000-0000A30D0000}"/>
    <cellStyle name="표준 24 32" xfId="2163" xr:uid="{00000000-0005-0000-0000-0000A40D0000}"/>
    <cellStyle name="표준 24 33" xfId="2164" xr:uid="{00000000-0005-0000-0000-0000A50D0000}"/>
    <cellStyle name="표준 24 34" xfId="2165" xr:uid="{00000000-0005-0000-0000-0000A60D0000}"/>
    <cellStyle name="표준 24 35" xfId="2166" xr:uid="{00000000-0005-0000-0000-0000A70D0000}"/>
    <cellStyle name="표준 24 36" xfId="2167" xr:uid="{00000000-0005-0000-0000-0000A80D0000}"/>
    <cellStyle name="표준 24 37" xfId="2168" xr:uid="{00000000-0005-0000-0000-0000A90D0000}"/>
    <cellStyle name="표준 24 38" xfId="2169" xr:uid="{00000000-0005-0000-0000-0000AA0D0000}"/>
    <cellStyle name="표준 24 39" xfId="2170" xr:uid="{00000000-0005-0000-0000-0000AB0D0000}"/>
    <cellStyle name="표준 24 4" xfId="2171" xr:uid="{00000000-0005-0000-0000-0000AC0D0000}"/>
    <cellStyle name="표준 24 40" xfId="3427" xr:uid="{00000000-0005-0000-0000-0000AD0D0000}"/>
    <cellStyle name="표준 24 40 2" xfId="4474" xr:uid="{00000000-0005-0000-0000-0000AE0D0000}"/>
    <cellStyle name="표준 24 40 2 2" xfId="7624" xr:uid="{00000000-0005-0000-0000-0000AF0D0000}"/>
    <cellStyle name="표준 24 40 3" xfId="5512" xr:uid="{00000000-0005-0000-0000-0000B00D0000}"/>
    <cellStyle name="표준 24 40 3 2" xfId="8661" xr:uid="{00000000-0005-0000-0000-0000B10D0000}"/>
    <cellStyle name="표준 24 40 4" xfId="6577" xr:uid="{00000000-0005-0000-0000-0000B20D0000}"/>
    <cellStyle name="표준 24 41" xfId="3945" xr:uid="{00000000-0005-0000-0000-0000B30D0000}"/>
    <cellStyle name="표준 24 41 2" xfId="7095" xr:uid="{00000000-0005-0000-0000-0000B40D0000}"/>
    <cellStyle name="표준 24 42" xfId="4992" xr:uid="{00000000-0005-0000-0000-0000B50D0000}"/>
    <cellStyle name="표준 24 42 2" xfId="8142" xr:uid="{00000000-0005-0000-0000-0000B60D0000}"/>
    <cellStyle name="표준 24 43" xfId="6048" xr:uid="{00000000-0005-0000-0000-0000B70D0000}"/>
    <cellStyle name="표준 24 5" xfId="2172" xr:uid="{00000000-0005-0000-0000-0000B80D0000}"/>
    <cellStyle name="표준 24 6" xfId="2173" xr:uid="{00000000-0005-0000-0000-0000B90D0000}"/>
    <cellStyle name="표준 24 7" xfId="2174" xr:uid="{00000000-0005-0000-0000-0000BA0D0000}"/>
    <cellStyle name="표준 24 8" xfId="2175" xr:uid="{00000000-0005-0000-0000-0000BB0D0000}"/>
    <cellStyle name="표준 24 9" xfId="2176" xr:uid="{00000000-0005-0000-0000-0000BC0D0000}"/>
    <cellStyle name="표준 25" xfId="2890" xr:uid="{00000000-0005-0000-0000-0000BD0D0000}"/>
    <cellStyle name="표준 25 10" xfId="2177" xr:uid="{00000000-0005-0000-0000-0000BE0D0000}"/>
    <cellStyle name="표준 25 11" xfId="2178" xr:uid="{00000000-0005-0000-0000-0000BF0D0000}"/>
    <cellStyle name="표준 25 12" xfId="2179" xr:uid="{00000000-0005-0000-0000-0000C00D0000}"/>
    <cellStyle name="표준 25 13" xfId="2180" xr:uid="{00000000-0005-0000-0000-0000C10D0000}"/>
    <cellStyle name="표준 25 14" xfId="2181" xr:uid="{00000000-0005-0000-0000-0000C20D0000}"/>
    <cellStyle name="표준 25 15" xfId="2182" xr:uid="{00000000-0005-0000-0000-0000C30D0000}"/>
    <cellStyle name="표준 25 16" xfId="2183" xr:uid="{00000000-0005-0000-0000-0000C40D0000}"/>
    <cellStyle name="표준 25 17" xfId="2184" xr:uid="{00000000-0005-0000-0000-0000C50D0000}"/>
    <cellStyle name="표준 25 18" xfId="2185" xr:uid="{00000000-0005-0000-0000-0000C60D0000}"/>
    <cellStyle name="표준 25 19" xfId="2186" xr:uid="{00000000-0005-0000-0000-0000C70D0000}"/>
    <cellStyle name="표준 25 2" xfId="2187" xr:uid="{00000000-0005-0000-0000-0000C80D0000}"/>
    <cellStyle name="표준 25 20" xfId="2188" xr:uid="{00000000-0005-0000-0000-0000C90D0000}"/>
    <cellStyle name="표준 25 21" xfId="2189" xr:uid="{00000000-0005-0000-0000-0000CA0D0000}"/>
    <cellStyle name="표준 25 22" xfId="2190" xr:uid="{00000000-0005-0000-0000-0000CB0D0000}"/>
    <cellStyle name="표준 25 23" xfId="2191" xr:uid="{00000000-0005-0000-0000-0000CC0D0000}"/>
    <cellStyle name="표준 25 24" xfId="3428" xr:uid="{00000000-0005-0000-0000-0000CD0D0000}"/>
    <cellStyle name="표준 25 24 2" xfId="4475" xr:uid="{00000000-0005-0000-0000-0000CE0D0000}"/>
    <cellStyle name="표준 25 24 2 2" xfId="7625" xr:uid="{00000000-0005-0000-0000-0000CF0D0000}"/>
    <cellStyle name="표준 25 24 3" xfId="5513" xr:uid="{00000000-0005-0000-0000-0000D00D0000}"/>
    <cellStyle name="표준 25 24 3 2" xfId="8662" xr:uid="{00000000-0005-0000-0000-0000D10D0000}"/>
    <cellStyle name="표준 25 24 4" xfId="6578" xr:uid="{00000000-0005-0000-0000-0000D20D0000}"/>
    <cellStyle name="표준 25 25" xfId="3946" xr:uid="{00000000-0005-0000-0000-0000D30D0000}"/>
    <cellStyle name="표준 25 25 2" xfId="7096" xr:uid="{00000000-0005-0000-0000-0000D40D0000}"/>
    <cellStyle name="표준 25 26" xfId="4993" xr:uid="{00000000-0005-0000-0000-0000D50D0000}"/>
    <cellStyle name="표준 25 26 2" xfId="8143" xr:uid="{00000000-0005-0000-0000-0000D60D0000}"/>
    <cellStyle name="표준 25 27" xfId="6049" xr:uid="{00000000-0005-0000-0000-0000D70D0000}"/>
    <cellStyle name="표준 25 3" xfId="2192" xr:uid="{00000000-0005-0000-0000-0000D80D0000}"/>
    <cellStyle name="표준 25 4" xfId="2193" xr:uid="{00000000-0005-0000-0000-0000D90D0000}"/>
    <cellStyle name="표준 25 5" xfId="2194" xr:uid="{00000000-0005-0000-0000-0000DA0D0000}"/>
    <cellStyle name="표준 25 6" xfId="2195" xr:uid="{00000000-0005-0000-0000-0000DB0D0000}"/>
    <cellStyle name="표준 25 7" xfId="2196" xr:uid="{00000000-0005-0000-0000-0000DC0D0000}"/>
    <cellStyle name="표준 25 8" xfId="2197" xr:uid="{00000000-0005-0000-0000-0000DD0D0000}"/>
    <cellStyle name="표준 25 9" xfId="2198" xr:uid="{00000000-0005-0000-0000-0000DE0D0000}"/>
    <cellStyle name="표준 26" xfId="2984" xr:uid="{00000000-0005-0000-0000-0000DF0D0000}"/>
    <cellStyle name="표준 26 10" xfId="2199" xr:uid="{00000000-0005-0000-0000-0000E00D0000}"/>
    <cellStyle name="표준 26 11" xfId="2200" xr:uid="{00000000-0005-0000-0000-0000E10D0000}"/>
    <cellStyle name="표준 26 12" xfId="2201" xr:uid="{00000000-0005-0000-0000-0000E20D0000}"/>
    <cellStyle name="표준 26 13" xfId="2202" xr:uid="{00000000-0005-0000-0000-0000E30D0000}"/>
    <cellStyle name="표준 26 14" xfId="2203" xr:uid="{00000000-0005-0000-0000-0000E40D0000}"/>
    <cellStyle name="표준 26 15" xfId="2204" xr:uid="{00000000-0005-0000-0000-0000E50D0000}"/>
    <cellStyle name="표준 26 16" xfId="2205" xr:uid="{00000000-0005-0000-0000-0000E60D0000}"/>
    <cellStyle name="표준 26 17" xfId="2206" xr:uid="{00000000-0005-0000-0000-0000E70D0000}"/>
    <cellStyle name="표준 26 18" xfId="2207" xr:uid="{00000000-0005-0000-0000-0000E80D0000}"/>
    <cellStyle name="표준 26 19" xfId="2208" xr:uid="{00000000-0005-0000-0000-0000E90D0000}"/>
    <cellStyle name="표준 26 2" xfId="2209" xr:uid="{00000000-0005-0000-0000-0000EA0D0000}"/>
    <cellStyle name="표준 26 20" xfId="2210" xr:uid="{00000000-0005-0000-0000-0000EB0D0000}"/>
    <cellStyle name="표준 26 21" xfId="2211" xr:uid="{00000000-0005-0000-0000-0000EC0D0000}"/>
    <cellStyle name="표준 26 22" xfId="2212" xr:uid="{00000000-0005-0000-0000-0000ED0D0000}"/>
    <cellStyle name="표준 26 23" xfId="2213" xr:uid="{00000000-0005-0000-0000-0000EE0D0000}"/>
    <cellStyle name="표준 26 24" xfId="2214" xr:uid="{00000000-0005-0000-0000-0000EF0D0000}"/>
    <cellStyle name="표준 26 25" xfId="2215" xr:uid="{00000000-0005-0000-0000-0000F00D0000}"/>
    <cellStyle name="표준 26 26" xfId="2216" xr:uid="{00000000-0005-0000-0000-0000F10D0000}"/>
    <cellStyle name="표준 26 27" xfId="2217" xr:uid="{00000000-0005-0000-0000-0000F20D0000}"/>
    <cellStyle name="표준 26 28" xfId="2218" xr:uid="{00000000-0005-0000-0000-0000F30D0000}"/>
    <cellStyle name="표준 26 29" xfId="2219" xr:uid="{00000000-0005-0000-0000-0000F40D0000}"/>
    <cellStyle name="표준 26 3" xfId="2220" xr:uid="{00000000-0005-0000-0000-0000F50D0000}"/>
    <cellStyle name="표준 26 30" xfId="2221" xr:uid="{00000000-0005-0000-0000-0000F60D0000}"/>
    <cellStyle name="표준 26 31" xfId="2222" xr:uid="{00000000-0005-0000-0000-0000F70D0000}"/>
    <cellStyle name="표준 26 32" xfId="2223" xr:uid="{00000000-0005-0000-0000-0000F80D0000}"/>
    <cellStyle name="표준 26 33" xfId="2224" xr:uid="{00000000-0005-0000-0000-0000F90D0000}"/>
    <cellStyle name="표준 26 34" xfId="2225" xr:uid="{00000000-0005-0000-0000-0000FA0D0000}"/>
    <cellStyle name="표준 26 35" xfId="2226" xr:uid="{00000000-0005-0000-0000-0000FB0D0000}"/>
    <cellStyle name="표준 26 36" xfId="2227" xr:uid="{00000000-0005-0000-0000-0000FC0D0000}"/>
    <cellStyle name="표준 26 37" xfId="2228" xr:uid="{00000000-0005-0000-0000-0000FD0D0000}"/>
    <cellStyle name="표준 26 38" xfId="2229" xr:uid="{00000000-0005-0000-0000-0000FE0D0000}"/>
    <cellStyle name="표준 26 39" xfId="2230" xr:uid="{00000000-0005-0000-0000-0000FF0D0000}"/>
    <cellStyle name="표준 26 4" xfId="2231" xr:uid="{00000000-0005-0000-0000-0000000E0000}"/>
    <cellStyle name="표준 26 40" xfId="2232" xr:uid="{00000000-0005-0000-0000-0000010E0000}"/>
    <cellStyle name="표준 26 41" xfId="2233" xr:uid="{00000000-0005-0000-0000-0000020E0000}"/>
    <cellStyle name="표준 26 42" xfId="4040" xr:uid="{00000000-0005-0000-0000-0000030E0000}"/>
    <cellStyle name="표준 26 42 2" xfId="7190" xr:uid="{00000000-0005-0000-0000-0000040E0000}"/>
    <cellStyle name="표준 26 43" xfId="5088" xr:uid="{00000000-0005-0000-0000-0000050E0000}"/>
    <cellStyle name="표준 26 44" xfId="6143" xr:uid="{00000000-0005-0000-0000-0000060E0000}"/>
    <cellStyle name="표준 26 5" xfId="2234" xr:uid="{00000000-0005-0000-0000-0000070E0000}"/>
    <cellStyle name="표준 26 6" xfId="2235" xr:uid="{00000000-0005-0000-0000-0000080E0000}"/>
    <cellStyle name="표준 26 7" xfId="2236" xr:uid="{00000000-0005-0000-0000-0000090E0000}"/>
    <cellStyle name="표준 26 8" xfId="2237" xr:uid="{00000000-0005-0000-0000-00000A0E0000}"/>
    <cellStyle name="표준 26 9" xfId="2238" xr:uid="{00000000-0005-0000-0000-00000B0E0000}"/>
    <cellStyle name="표준 27" xfId="2988" xr:uid="{00000000-0005-0000-0000-00000C0E0000}"/>
    <cellStyle name="표준 27 10" xfId="2239" xr:uid="{00000000-0005-0000-0000-00000D0E0000}"/>
    <cellStyle name="표준 27 11" xfId="2240" xr:uid="{00000000-0005-0000-0000-00000E0E0000}"/>
    <cellStyle name="표준 27 12" xfId="2241" xr:uid="{00000000-0005-0000-0000-00000F0E0000}"/>
    <cellStyle name="표준 27 13" xfId="2242" xr:uid="{00000000-0005-0000-0000-0000100E0000}"/>
    <cellStyle name="표준 27 14" xfId="2243" xr:uid="{00000000-0005-0000-0000-0000110E0000}"/>
    <cellStyle name="표준 27 15" xfId="2244" xr:uid="{00000000-0005-0000-0000-0000120E0000}"/>
    <cellStyle name="표준 27 16" xfId="2245" xr:uid="{00000000-0005-0000-0000-0000130E0000}"/>
    <cellStyle name="표준 27 17" xfId="2246" xr:uid="{00000000-0005-0000-0000-0000140E0000}"/>
    <cellStyle name="표준 27 18" xfId="2247" xr:uid="{00000000-0005-0000-0000-0000150E0000}"/>
    <cellStyle name="표준 27 19" xfId="2248" xr:uid="{00000000-0005-0000-0000-0000160E0000}"/>
    <cellStyle name="표준 27 2" xfId="2249" xr:uid="{00000000-0005-0000-0000-0000170E0000}"/>
    <cellStyle name="표준 27 20" xfId="2250" xr:uid="{00000000-0005-0000-0000-0000180E0000}"/>
    <cellStyle name="표준 27 21" xfId="2251" xr:uid="{00000000-0005-0000-0000-0000190E0000}"/>
    <cellStyle name="표준 27 22" xfId="2252" xr:uid="{00000000-0005-0000-0000-00001A0E0000}"/>
    <cellStyle name="표준 27 23" xfId="2253" xr:uid="{00000000-0005-0000-0000-00001B0E0000}"/>
    <cellStyle name="표준 27 24" xfId="2254" xr:uid="{00000000-0005-0000-0000-00001C0E0000}"/>
    <cellStyle name="표준 27 25" xfId="2255" xr:uid="{00000000-0005-0000-0000-00001D0E0000}"/>
    <cellStyle name="표준 27 26" xfId="2256" xr:uid="{00000000-0005-0000-0000-00001E0E0000}"/>
    <cellStyle name="표준 27 27" xfId="2257" xr:uid="{00000000-0005-0000-0000-00001F0E0000}"/>
    <cellStyle name="표준 27 28" xfId="2258" xr:uid="{00000000-0005-0000-0000-0000200E0000}"/>
    <cellStyle name="표준 27 29" xfId="2259" xr:uid="{00000000-0005-0000-0000-0000210E0000}"/>
    <cellStyle name="표준 27 3" xfId="2260" xr:uid="{00000000-0005-0000-0000-0000220E0000}"/>
    <cellStyle name="표준 27 30" xfId="2261" xr:uid="{00000000-0005-0000-0000-0000230E0000}"/>
    <cellStyle name="표준 27 31" xfId="2262" xr:uid="{00000000-0005-0000-0000-0000240E0000}"/>
    <cellStyle name="표준 27 32" xfId="2263" xr:uid="{00000000-0005-0000-0000-0000250E0000}"/>
    <cellStyle name="표준 27 33" xfId="2264" xr:uid="{00000000-0005-0000-0000-0000260E0000}"/>
    <cellStyle name="표준 27 34" xfId="2265" xr:uid="{00000000-0005-0000-0000-0000270E0000}"/>
    <cellStyle name="표준 27 35" xfId="2266" xr:uid="{00000000-0005-0000-0000-0000280E0000}"/>
    <cellStyle name="표준 27 36" xfId="2267" xr:uid="{00000000-0005-0000-0000-0000290E0000}"/>
    <cellStyle name="표준 27 37" xfId="2268" xr:uid="{00000000-0005-0000-0000-00002A0E0000}"/>
    <cellStyle name="표준 27 38" xfId="2269" xr:uid="{00000000-0005-0000-0000-00002B0E0000}"/>
    <cellStyle name="표준 27 39" xfId="2270" xr:uid="{00000000-0005-0000-0000-00002C0E0000}"/>
    <cellStyle name="표준 27 4" xfId="2271" xr:uid="{00000000-0005-0000-0000-00002D0E0000}"/>
    <cellStyle name="표준 27 40" xfId="2272" xr:uid="{00000000-0005-0000-0000-00002E0E0000}"/>
    <cellStyle name="표준 27 41" xfId="2273" xr:uid="{00000000-0005-0000-0000-00002F0E0000}"/>
    <cellStyle name="표준 27 42" xfId="4041" xr:uid="{00000000-0005-0000-0000-0000300E0000}"/>
    <cellStyle name="표준 27 42 2" xfId="7191" xr:uid="{00000000-0005-0000-0000-0000310E0000}"/>
    <cellStyle name="표준 27 43" xfId="5087" xr:uid="{00000000-0005-0000-0000-0000320E0000}"/>
    <cellStyle name="표준 27 43 2" xfId="8237" xr:uid="{00000000-0005-0000-0000-0000330E0000}"/>
    <cellStyle name="표준 27 44" xfId="6144" xr:uid="{00000000-0005-0000-0000-0000340E0000}"/>
    <cellStyle name="표준 27 5" xfId="2274" xr:uid="{00000000-0005-0000-0000-0000350E0000}"/>
    <cellStyle name="표준 27 6" xfId="2275" xr:uid="{00000000-0005-0000-0000-0000360E0000}"/>
    <cellStyle name="표준 27 7" xfId="2276" xr:uid="{00000000-0005-0000-0000-0000370E0000}"/>
    <cellStyle name="표준 27 8" xfId="2277" xr:uid="{00000000-0005-0000-0000-0000380E0000}"/>
    <cellStyle name="표준 27 9" xfId="2278" xr:uid="{00000000-0005-0000-0000-0000390E0000}"/>
    <cellStyle name="표준 28" xfId="2999" xr:uid="{00000000-0005-0000-0000-00003A0E0000}"/>
    <cellStyle name="표준 28 10" xfId="2279" xr:uid="{00000000-0005-0000-0000-00003B0E0000}"/>
    <cellStyle name="표준 28 11" xfId="2280" xr:uid="{00000000-0005-0000-0000-00003C0E0000}"/>
    <cellStyle name="표준 28 12" xfId="2281" xr:uid="{00000000-0005-0000-0000-00003D0E0000}"/>
    <cellStyle name="표준 28 13" xfId="2282" xr:uid="{00000000-0005-0000-0000-00003E0E0000}"/>
    <cellStyle name="표준 28 14" xfId="2283" xr:uid="{00000000-0005-0000-0000-00003F0E0000}"/>
    <cellStyle name="표준 28 15" xfId="2284" xr:uid="{00000000-0005-0000-0000-0000400E0000}"/>
    <cellStyle name="표준 28 16" xfId="2285" xr:uid="{00000000-0005-0000-0000-0000410E0000}"/>
    <cellStyle name="표준 28 17" xfId="2286" xr:uid="{00000000-0005-0000-0000-0000420E0000}"/>
    <cellStyle name="표준 28 18" xfId="2287" xr:uid="{00000000-0005-0000-0000-0000430E0000}"/>
    <cellStyle name="표준 28 19" xfId="2288" xr:uid="{00000000-0005-0000-0000-0000440E0000}"/>
    <cellStyle name="표준 28 2" xfId="2289" xr:uid="{00000000-0005-0000-0000-0000450E0000}"/>
    <cellStyle name="표준 28 20" xfId="2290" xr:uid="{00000000-0005-0000-0000-0000460E0000}"/>
    <cellStyle name="표준 28 21" xfId="2291" xr:uid="{00000000-0005-0000-0000-0000470E0000}"/>
    <cellStyle name="표준 28 22" xfId="2292" xr:uid="{00000000-0005-0000-0000-0000480E0000}"/>
    <cellStyle name="표준 28 23" xfId="2293" xr:uid="{00000000-0005-0000-0000-0000490E0000}"/>
    <cellStyle name="표준 28 24" xfId="2294" xr:uid="{00000000-0005-0000-0000-00004A0E0000}"/>
    <cellStyle name="표준 28 25" xfId="2295" xr:uid="{00000000-0005-0000-0000-00004B0E0000}"/>
    <cellStyle name="표준 28 26" xfId="2296" xr:uid="{00000000-0005-0000-0000-00004C0E0000}"/>
    <cellStyle name="표준 28 27" xfId="2297" xr:uid="{00000000-0005-0000-0000-00004D0E0000}"/>
    <cellStyle name="표준 28 28" xfId="2298" xr:uid="{00000000-0005-0000-0000-00004E0E0000}"/>
    <cellStyle name="표준 28 29" xfId="2299" xr:uid="{00000000-0005-0000-0000-00004F0E0000}"/>
    <cellStyle name="표준 28 3" xfId="2300" xr:uid="{00000000-0005-0000-0000-0000500E0000}"/>
    <cellStyle name="표준 28 30" xfId="2301" xr:uid="{00000000-0005-0000-0000-0000510E0000}"/>
    <cellStyle name="표준 28 31" xfId="2302" xr:uid="{00000000-0005-0000-0000-0000520E0000}"/>
    <cellStyle name="표준 28 32" xfId="2303" xr:uid="{00000000-0005-0000-0000-0000530E0000}"/>
    <cellStyle name="표준 28 33" xfId="2304" xr:uid="{00000000-0005-0000-0000-0000540E0000}"/>
    <cellStyle name="표준 28 34" xfId="2305" xr:uid="{00000000-0005-0000-0000-0000550E0000}"/>
    <cellStyle name="표준 28 35" xfId="2306" xr:uid="{00000000-0005-0000-0000-0000560E0000}"/>
    <cellStyle name="표준 28 36" xfId="2307" xr:uid="{00000000-0005-0000-0000-0000570E0000}"/>
    <cellStyle name="표준 28 37" xfId="2308" xr:uid="{00000000-0005-0000-0000-0000580E0000}"/>
    <cellStyle name="표준 28 38" xfId="2309" xr:uid="{00000000-0005-0000-0000-0000590E0000}"/>
    <cellStyle name="표준 28 39" xfId="2310" xr:uid="{00000000-0005-0000-0000-00005A0E0000}"/>
    <cellStyle name="표준 28 4" xfId="2311" xr:uid="{00000000-0005-0000-0000-00005B0E0000}"/>
    <cellStyle name="표준 28 40" xfId="2312" xr:uid="{00000000-0005-0000-0000-00005C0E0000}"/>
    <cellStyle name="표준 28 41" xfId="2313" xr:uid="{00000000-0005-0000-0000-00005D0E0000}"/>
    <cellStyle name="표준 28 42" xfId="4048" xr:uid="{00000000-0005-0000-0000-00005E0E0000}"/>
    <cellStyle name="표준 28 42 2" xfId="7198" xr:uid="{00000000-0005-0000-0000-00005F0E0000}"/>
    <cellStyle name="표준 28 43" xfId="6151" xr:uid="{00000000-0005-0000-0000-0000600E0000}"/>
    <cellStyle name="표준 28 5" xfId="2314" xr:uid="{00000000-0005-0000-0000-0000610E0000}"/>
    <cellStyle name="표준 28 6" xfId="2315" xr:uid="{00000000-0005-0000-0000-0000620E0000}"/>
    <cellStyle name="표준 28 7" xfId="2316" xr:uid="{00000000-0005-0000-0000-0000630E0000}"/>
    <cellStyle name="표준 28 8" xfId="2317" xr:uid="{00000000-0005-0000-0000-0000640E0000}"/>
    <cellStyle name="표준 28 9" xfId="2318" xr:uid="{00000000-0005-0000-0000-0000650E0000}"/>
    <cellStyle name="표준 287" xfId="5607" xr:uid="{00000000-0005-0000-0000-0000660E0000}"/>
    <cellStyle name="표준 287 2" xfId="8756" xr:uid="{00000000-0005-0000-0000-0000670E0000}"/>
    <cellStyle name="표준 29" xfId="3000" xr:uid="{00000000-0005-0000-0000-0000680E0000}"/>
    <cellStyle name="표준 29 10" xfId="2319" xr:uid="{00000000-0005-0000-0000-0000690E0000}"/>
    <cellStyle name="표준 29 11" xfId="2320" xr:uid="{00000000-0005-0000-0000-00006A0E0000}"/>
    <cellStyle name="표준 29 12" xfId="2321" xr:uid="{00000000-0005-0000-0000-00006B0E0000}"/>
    <cellStyle name="표준 29 13" xfId="2322" xr:uid="{00000000-0005-0000-0000-00006C0E0000}"/>
    <cellStyle name="표준 29 14" xfId="2323" xr:uid="{00000000-0005-0000-0000-00006D0E0000}"/>
    <cellStyle name="표준 29 15" xfId="2324" xr:uid="{00000000-0005-0000-0000-00006E0E0000}"/>
    <cellStyle name="표준 29 16" xfId="2325" xr:uid="{00000000-0005-0000-0000-00006F0E0000}"/>
    <cellStyle name="표준 29 17" xfId="2326" xr:uid="{00000000-0005-0000-0000-0000700E0000}"/>
    <cellStyle name="표준 29 18" xfId="2327" xr:uid="{00000000-0005-0000-0000-0000710E0000}"/>
    <cellStyle name="표준 29 19" xfId="2328" xr:uid="{00000000-0005-0000-0000-0000720E0000}"/>
    <cellStyle name="표준 29 2" xfId="2329" xr:uid="{00000000-0005-0000-0000-0000730E0000}"/>
    <cellStyle name="표준 29 20" xfId="2330" xr:uid="{00000000-0005-0000-0000-0000740E0000}"/>
    <cellStyle name="표준 29 21" xfId="2331" xr:uid="{00000000-0005-0000-0000-0000750E0000}"/>
    <cellStyle name="표준 29 22" xfId="2332" xr:uid="{00000000-0005-0000-0000-0000760E0000}"/>
    <cellStyle name="표준 29 23" xfId="2333" xr:uid="{00000000-0005-0000-0000-0000770E0000}"/>
    <cellStyle name="표준 29 24" xfId="2334" xr:uid="{00000000-0005-0000-0000-0000780E0000}"/>
    <cellStyle name="표준 29 25" xfId="2335" xr:uid="{00000000-0005-0000-0000-0000790E0000}"/>
    <cellStyle name="표준 29 26" xfId="2336" xr:uid="{00000000-0005-0000-0000-00007A0E0000}"/>
    <cellStyle name="표준 29 27" xfId="2337" xr:uid="{00000000-0005-0000-0000-00007B0E0000}"/>
    <cellStyle name="표준 29 28" xfId="2338" xr:uid="{00000000-0005-0000-0000-00007C0E0000}"/>
    <cellStyle name="표준 29 29" xfId="2339" xr:uid="{00000000-0005-0000-0000-00007D0E0000}"/>
    <cellStyle name="표준 29 3" xfId="2340" xr:uid="{00000000-0005-0000-0000-00007E0E0000}"/>
    <cellStyle name="표준 29 30" xfId="2341" xr:uid="{00000000-0005-0000-0000-00007F0E0000}"/>
    <cellStyle name="표준 29 31" xfId="2342" xr:uid="{00000000-0005-0000-0000-0000800E0000}"/>
    <cellStyle name="표준 29 32" xfId="2343" xr:uid="{00000000-0005-0000-0000-0000810E0000}"/>
    <cellStyle name="표준 29 33" xfId="2344" xr:uid="{00000000-0005-0000-0000-0000820E0000}"/>
    <cellStyle name="표준 29 34" xfId="2345" xr:uid="{00000000-0005-0000-0000-0000830E0000}"/>
    <cellStyle name="표준 29 35" xfId="2346" xr:uid="{00000000-0005-0000-0000-0000840E0000}"/>
    <cellStyle name="표준 29 36" xfId="2347" xr:uid="{00000000-0005-0000-0000-0000850E0000}"/>
    <cellStyle name="표준 29 37" xfId="2348" xr:uid="{00000000-0005-0000-0000-0000860E0000}"/>
    <cellStyle name="표준 29 38" xfId="2349" xr:uid="{00000000-0005-0000-0000-0000870E0000}"/>
    <cellStyle name="표준 29 39" xfId="2350" xr:uid="{00000000-0005-0000-0000-0000880E0000}"/>
    <cellStyle name="표준 29 4" xfId="2351" xr:uid="{00000000-0005-0000-0000-0000890E0000}"/>
    <cellStyle name="표준 29 40" xfId="2352" xr:uid="{00000000-0005-0000-0000-00008A0E0000}"/>
    <cellStyle name="표준 29 41" xfId="2353" xr:uid="{00000000-0005-0000-0000-00008B0E0000}"/>
    <cellStyle name="표준 29 42" xfId="4049" xr:uid="{00000000-0005-0000-0000-00008C0E0000}"/>
    <cellStyle name="표준 29 42 2" xfId="7199" xr:uid="{00000000-0005-0000-0000-00008D0E0000}"/>
    <cellStyle name="표준 29 43" xfId="6152" xr:uid="{00000000-0005-0000-0000-00008E0E0000}"/>
    <cellStyle name="표준 29 5" xfId="2354" xr:uid="{00000000-0005-0000-0000-00008F0E0000}"/>
    <cellStyle name="표준 29 6" xfId="2355" xr:uid="{00000000-0005-0000-0000-0000900E0000}"/>
    <cellStyle name="표준 29 7" xfId="2356" xr:uid="{00000000-0005-0000-0000-0000910E0000}"/>
    <cellStyle name="표준 29 8" xfId="2357" xr:uid="{00000000-0005-0000-0000-0000920E0000}"/>
    <cellStyle name="표준 29 9" xfId="2358" xr:uid="{00000000-0005-0000-0000-0000930E0000}"/>
    <cellStyle name="표준 3" xfId="191" xr:uid="{00000000-0005-0000-0000-0000940E0000}"/>
    <cellStyle name="표준 3 10" xfId="192" xr:uid="{00000000-0005-0000-0000-0000950E0000}"/>
    <cellStyle name="표준 3 10 2" xfId="193" xr:uid="{00000000-0005-0000-0000-0000960E0000}"/>
    <cellStyle name="표준 3 10 2 2" xfId="2360" xr:uid="{00000000-0005-0000-0000-0000970E0000}"/>
    <cellStyle name="표준 3 10 3" xfId="1742" xr:uid="{00000000-0005-0000-0000-0000980E0000}"/>
    <cellStyle name="표준 3 11" xfId="194" xr:uid="{00000000-0005-0000-0000-0000990E0000}"/>
    <cellStyle name="표준 3 11 2" xfId="2361" xr:uid="{00000000-0005-0000-0000-00009A0E0000}"/>
    <cellStyle name="표준 3 11 3" xfId="1743" xr:uid="{00000000-0005-0000-0000-00009B0E0000}"/>
    <cellStyle name="표준 3 12" xfId="195" xr:uid="{00000000-0005-0000-0000-00009C0E0000}"/>
    <cellStyle name="표준 3 12 2" xfId="2362" xr:uid="{00000000-0005-0000-0000-00009D0E0000}"/>
    <cellStyle name="표준 3 12 3" xfId="1744" xr:uid="{00000000-0005-0000-0000-00009E0E0000}"/>
    <cellStyle name="표준 3 13" xfId="196" xr:uid="{00000000-0005-0000-0000-00009F0E0000}"/>
    <cellStyle name="표준 3 13 2" xfId="197" xr:uid="{00000000-0005-0000-0000-0000A00E0000}"/>
    <cellStyle name="표준 3 13 2 2" xfId="2363" xr:uid="{00000000-0005-0000-0000-0000A10E0000}"/>
    <cellStyle name="표준 3 13 3" xfId="198" xr:uid="{00000000-0005-0000-0000-0000A20E0000}"/>
    <cellStyle name="표준 3 14" xfId="199" xr:uid="{00000000-0005-0000-0000-0000A30E0000}"/>
    <cellStyle name="표준 3 14 2" xfId="2364" xr:uid="{00000000-0005-0000-0000-0000A40E0000}"/>
    <cellStyle name="표준 3 15" xfId="1745" xr:uid="{00000000-0005-0000-0000-0000A50E0000}"/>
    <cellStyle name="표준 3 15 2" xfId="2365" xr:uid="{00000000-0005-0000-0000-0000A60E0000}"/>
    <cellStyle name="표준 3 16" xfId="1746" xr:uid="{00000000-0005-0000-0000-0000A70E0000}"/>
    <cellStyle name="표준 3 16 2" xfId="2366" xr:uid="{00000000-0005-0000-0000-0000A80E0000}"/>
    <cellStyle name="표준 3 17" xfId="1747" xr:uid="{00000000-0005-0000-0000-0000A90E0000}"/>
    <cellStyle name="표준 3 17 2" xfId="2367" xr:uid="{00000000-0005-0000-0000-0000AA0E0000}"/>
    <cellStyle name="표준 3 18" xfId="1748" xr:uid="{00000000-0005-0000-0000-0000AB0E0000}"/>
    <cellStyle name="표준 3 18 2" xfId="2368" xr:uid="{00000000-0005-0000-0000-0000AC0E0000}"/>
    <cellStyle name="표준 3 19" xfId="2369" xr:uid="{00000000-0005-0000-0000-0000AD0E0000}"/>
    <cellStyle name="표준 3 2" xfId="200" xr:uid="{00000000-0005-0000-0000-0000AE0E0000}"/>
    <cellStyle name="표준 3 2 10" xfId="201" xr:uid="{00000000-0005-0000-0000-0000AF0E0000}"/>
    <cellStyle name="표준 3 2 11" xfId="1749" xr:uid="{00000000-0005-0000-0000-0000B00E0000}"/>
    <cellStyle name="표준 3 2 2" xfId="202" xr:uid="{00000000-0005-0000-0000-0000B10E0000}"/>
    <cellStyle name="표준 3 2 2 2" xfId="203" xr:uid="{00000000-0005-0000-0000-0000B20E0000}"/>
    <cellStyle name="표준 3 2 2 2 2" xfId="204" xr:uid="{00000000-0005-0000-0000-0000B30E0000}"/>
    <cellStyle name="표준 3 2 2 2 2 2" xfId="205" xr:uid="{00000000-0005-0000-0000-0000B40E0000}"/>
    <cellStyle name="표준 3 2 2 2 2 2 2" xfId="206" xr:uid="{00000000-0005-0000-0000-0000B50E0000}"/>
    <cellStyle name="표준 3 2 2 2 2 2 3" xfId="207" xr:uid="{00000000-0005-0000-0000-0000B60E0000}"/>
    <cellStyle name="표준 3 2 2 2 2 3" xfId="208" xr:uid="{00000000-0005-0000-0000-0000B70E0000}"/>
    <cellStyle name="표준 3 2 2 2 2 4" xfId="209" xr:uid="{00000000-0005-0000-0000-0000B80E0000}"/>
    <cellStyle name="표준 3 2 2 2 2 5" xfId="210" xr:uid="{00000000-0005-0000-0000-0000B90E0000}"/>
    <cellStyle name="표준 3 2 2 2 3" xfId="211" xr:uid="{00000000-0005-0000-0000-0000BA0E0000}"/>
    <cellStyle name="표준 3 2 2 2 3 2" xfId="212" xr:uid="{00000000-0005-0000-0000-0000BB0E0000}"/>
    <cellStyle name="표준 3 2 2 2 3 3" xfId="213" xr:uid="{00000000-0005-0000-0000-0000BC0E0000}"/>
    <cellStyle name="표준 3 2 2 2 4" xfId="214" xr:uid="{00000000-0005-0000-0000-0000BD0E0000}"/>
    <cellStyle name="표준 3 2 2 2 5" xfId="215" xr:uid="{00000000-0005-0000-0000-0000BE0E0000}"/>
    <cellStyle name="표준 3 2 2 2 6" xfId="216" xr:uid="{00000000-0005-0000-0000-0000BF0E0000}"/>
    <cellStyle name="표준 3 2 2 3" xfId="217" xr:uid="{00000000-0005-0000-0000-0000C00E0000}"/>
    <cellStyle name="표준 3 2 2 3 2" xfId="218" xr:uid="{00000000-0005-0000-0000-0000C10E0000}"/>
    <cellStyle name="표준 3 2 2 3 2 2" xfId="219" xr:uid="{00000000-0005-0000-0000-0000C20E0000}"/>
    <cellStyle name="표준 3 2 2 3 2 3" xfId="220" xr:uid="{00000000-0005-0000-0000-0000C30E0000}"/>
    <cellStyle name="표준 3 2 2 3 3" xfId="221" xr:uid="{00000000-0005-0000-0000-0000C40E0000}"/>
    <cellStyle name="표준 3 2 2 3 4" xfId="222" xr:uid="{00000000-0005-0000-0000-0000C50E0000}"/>
    <cellStyle name="표준 3 2 2 3 5" xfId="223" xr:uid="{00000000-0005-0000-0000-0000C60E0000}"/>
    <cellStyle name="표준 3 2 2 4" xfId="224" xr:uid="{00000000-0005-0000-0000-0000C70E0000}"/>
    <cellStyle name="표준 3 2 2 4 2" xfId="225" xr:uid="{00000000-0005-0000-0000-0000C80E0000}"/>
    <cellStyle name="표준 3 2 2 4 3" xfId="226" xr:uid="{00000000-0005-0000-0000-0000C90E0000}"/>
    <cellStyle name="표준 3 2 2 4 4" xfId="227" xr:uid="{00000000-0005-0000-0000-0000CA0E0000}"/>
    <cellStyle name="표준 3 2 2 5" xfId="228" xr:uid="{00000000-0005-0000-0000-0000CB0E0000}"/>
    <cellStyle name="표준 3 2 2 6" xfId="229" xr:uid="{00000000-0005-0000-0000-0000CC0E0000}"/>
    <cellStyle name="표준 3 2 2 7" xfId="230" xr:uid="{00000000-0005-0000-0000-0000CD0E0000}"/>
    <cellStyle name="표준 3 2 2 8" xfId="2370" xr:uid="{00000000-0005-0000-0000-0000CE0E0000}"/>
    <cellStyle name="표준 3 2 3" xfId="231" xr:uid="{00000000-0005-0000-0000-0000CF0E0000}"/>
    <cellStyle name="표준 3 2 3 2" xfId="232" xr:uid="{00000000-0005-0000-0000-0000D00E0000}"/>
    <cellStyle name="표준 3 2 3 2 2" xfId="233" xr:uid="{00000000-0005-0000-0000-0000D10E0000}"/>
    <cellStyle name="표준 3 2 3 2 2 2" xfId="234" xr:uid="{00000000-0005-0000-0000-0000D20E0000}"/>
    <cellStyle name="표준 3 2 3 2 2 3" xfId="235" xr:uid="{00000000-0005-0000-0000-0000D30E0000}"/>
    <cellStyle name="표준 3 2 3 2 3" xfId="236" xr:uid="{00000000-0005-0000-0000-0000D40E0000}"/>
    <cellStyle name="표준 3 2 3 2 4" xfId="237" xr:uid="{00000000-0005-0000-0000-0000D50E0000}"/>
    <cellStyle name="표준 3 2 3 2 5" xfId="238" xr:uid="{00000000-0005-0000-0000-0000D60E0000}"/>
    <cellStyle name="표준 3 2 3 3" xfId="239" xr:uid="{00000000-0005-0000-0000-0000D70E0000}"/>
    <cellStyle name="표준 3 2 3 3 2" xfId="240" xr:uid="{00000000-0005-0000-0000-0000D80E0000}"/>
    <cellStyle name="표준 3 2 3 3 3" xfId="241" xr:uid="{00000000-0005-0000-0000-0000D90E0000}"/>
    <cellStyle name="표준 3 2 3 4" xfId="242" xr:uid="{00000000-0005-0000-0000-0000DA0E0000}"/>
    <cellStyle name="표준 3 2 3 5" xfId="243" xr:uid="{00000000-0005-0000-0000-0000DB0E0000}"/>
    <cellStyle name="표준 3 2 3 6" xfId="244" xr:uid="{00000000-0005-0000-0000-0000DC0E0000}"/>
    <cellStyle name="표준 3 2 4" xfId="245" xr:uid="{00000000-0005-0000-0000-0000DD0E0000}"/>
    <cellStyle name="표준 3 2 4 2" xfId="246" xr:uid="{00000000-0005-0000-0000-0000DE0E0000}"/>
    <cellStyle name="표준 3 2 4 2 2" xfId="247" xr:uid="{00000000-0005-0000-0000-0000DF0E0000}"/>
    <cellStyle name="표준 3 2 4 2 3" xfId="248" xr:uid="{00000000-0005-0000-0000-0000E00E0000}"/>
    <cellStyle name="표준 3 2 4 3" xfId="249" xr:uid="{00000000-0005-0000-0000-0000E10E0000}"/>
    <cellStyle name="표준 3 2 4 4" xfId="250" xr:uid="{00000000-0005-0000-0000-0000E20E0000}"/>
    <cellStyle name="표준 3 2 4 5" xfId="251" xr:uid="{00000000-0005-0000-0000-0000E30E0000}"/>
    <cellStyle name="표준 3 2 5" xfId="252" xr:uid="{00000000-0005-0000-0000-0000E40E0000}"/>
    <cellStyle name="표준 3 2 5 2" xfId="253" xr:uid="{00000000-0005-0000-0000-0000E50E0000}"/>
    <cellStyle name="표준 3 2 5 3" xfId="254" xr:uid="{00000000-0005-0000-0000-0000E60E0000}"/>
    <cellStyle name="표준 3 2 5 4" xfId="255" xr:uid="{00000000-0005-0000-0000-0000E70E0000}"/>
    <cellStyle name="표준 3 2 6" xfId="256" xr:uid="{00000000-0005-0000-0000-0000E80E0000}"/>
    <cellStyle name="표준 3 2 7" xfId="257" xr:uid="{00000000-0005-0000-0000-0000E90E0000}"/>
    <cellStyle name="표준 3 2 8" xfId="258" xr:uid="{00000000-0005-0000-0000-0000EA0E0000}"/>
    <cellStyle name="표준 3 2 9" xfId="259" xr:uid="{00000000-0005-0000-0000-0000EB0E0000}"/>
    <cellStyle name="표준 3 2 9 2" xfId="260" xr:uid="{00000000-0005-0000-0000-0000EC0E0000}"/>
    <cellStyle name="표준 3 2 9 3" xfId="261" xr:uid="{00000000-0005-0000-0000-0000ED0E0000}"/>
    <cellStyle name="표준 3 20" xfId="2371" xr:uid="{00000000-0005-0000-0000-0000EE0E0000}"/>
    <cellStyle name="표준 3 21" xfId="2372" xr:uid="{00000000-0005-0000-0000-0000EF0E0000}"/>
    <cellStyle name="표준 3 22" xfId="2373" xr:uid="{00000000-0005-0000-0000-0000F00E0000}"/>
    <cellStyle name="표준 3 23" xfId="2374" xr:uid="{00000000-0005-0000-0000-0000F10E0000}"/>
    <cellStyle name="표준 3 24" xfId="2375" xr:uid="{00000000-0005-0000-0000-0000F20E0000}"/>
    <cellStyle name="표준 3 25" xfId="2376" xr:uid="{00000000-0005-0000-0000-0000F30E0000}"/>
    <cellStyle name="표준 3 26" xfId="2377" xr:uid="{00000000-0005-0000-0000-0000F40E0000}"/>
    <cellStyle name="표준 3 27" xfId="2378" xr:uid="{00000000-0005-0000-0000-0000F50E0000}"/>
    <cellStyle name="표준 3 28" xfId="2379" xr:uid="{00000000-0005-0000-0000-0000F60E0000}"/>
    <cellStyle name="표준 3 29" xfId="2380" xr:uid="{00000000-0005-0000-0000-0000F70E0000}"/>
    <cellStyle name="표준 3 3" xfId="262" xr:uid="{00000000-0005-0000-0000-0000F80E0000}"/>
    <cellStyle name="표준 3 3 2" xfId="263" xr:uid="{00000000-0005-0000-0000-0000F90E0000}"/>
    <cellStyle name="표준 3 3 2 2" xfId="264" xr:uid="{00000000-0005-0000-0000-0000FA0E0000}"/>
    <cellStyle name="표준 3 3 2 2 2" xfId="265" xr:uid="{00000000-0005-0000-0000-0000FB0E0000}"/>
    <cellStyle name="표준 3 3 2 2 2 2" xfId="266" xr:uid="{00000000-0005-0000-0000-0000FC0E0000}"/>
    <cellStyle name="표준 3 3 2 2 2 3" xfId="267" xr:uid="{00000000-0005-0000-0000-0000FD0E0000}"/>
    <cellStyle name="표준 3 3 2 2 3" xfId="268" xr:uid="{00000000-0005-0000-0000-0000FE0E0000}"/>
    <cellStyle name="표준 3 3 2 2 4" xfId="269" xr:uid="{00000000-0005-0000-0000-0000FF0E0000}"/>
    <cellStyle name="표준 3 3 2 2 5" xfId="270" xr:uid="{00000000-0005-0000-0000-0000000F0000}"/>
    <cellStyle name="표준 3 3 2 3" xfId="271" xr:uid="{00000000-0005-0000-0000-0000010F0000}"/>
    <cellStyle name="표준 3 3 2 3 2" xfId="272" xr:uid="{00000000-0005-0000-0000-0000020F0000}"/>
    <cellStyle name="표준 3 3 2 3 3" xfId="273" xr:uid="{00000000-0005-0000-0000-0000030F0000}"/>
    <cellStyle name="표준 3 3 2 4" xfId="274" xr:uid="{00000000-0005-0000-0000-0000040F0000}"/>
    <cellStyle name="표준 3 3 2 5" xfId="275" xr:uid="{00000000-0005-0000-0000-0000050F0000}"/>
    <cellStyle name="표준 3 3 2 6" xfId="276" xr:uid="{00000000-0005-0000-0000-0000060F0000}"/>
    <cellStyle name="표준 3 3 2 7" xfId="2381" xr:uid="{00000000-0005-0000-0000-0000070F0000}"/>
    <cellStyle name="표준 3 3 3" xfId="277" xr:uid="{00000000-0005-0000-0000-0000080F0000}"/>
    <cellStyle name="표준 3 3 3 2" xfId="278" xr:uid="{00000000-0005-0000-0000-0000090F0000}"/>
    <cellStyle name="표준 3 3 3 2 2" xfId="279" xr:uid="{00000000-0005-0000-0000-00000A0F0000}"/>
    <cellStyle name="표준 3 3 3 2 3" xfId="280" xr:uid="{00000000-0005-0000-0000-00000B0F0000}"/>
    <cellStyle name="표준 3 3 3 3" xfId="281" xr:uid="{00000000-0005-0000-0000-00000C0F0000}"/>
    <cellStyle name="표준 3 3 3 4" xfId="282" xr:uid="{00000000-0005-0000-0000-00000D0F0000}"/>
    <cellStyle name="표준 3 3 3 5" xfId="283" xr:uid="{00000000-0005-0000-0000-00000E0F0000}"/>
    <cellStyle name="표준 3 3 4" xfId="284" xr:uid="{00000000-0005-0000-0000-00000F0F0000}"/>
    <cellStyle name="표준 3 3 4 2" xfId="285" xr:uid="{00000000-0005-0000-0000-0000100F0000}"/>
    <cellStyle name="표준 3 3 4 3" xfId="286" xr:uid="{00000000-0005-0000-0000-0000110F0000}"/>
    <cellStyle name="표준 3 3 4 4" xfId="287" xr:uid="{00000000-0005-0000-0000-0000120F0000}"/>
    <cellStyle name="표준 3 3 5" xfId="288" xr:uid="{00000000-0005-0000-0000-0000130F0000}"/>
    <cellStyle name="표준 3 3 6" xfId="289" xr:uid="{00000000-0005-0000-0000-0000140F0000}"/>
    <cellStyle name="표준 3 3 7" xfId="290" xr:uid="{00000000-0005-0000-0000-0000150F0000}"/>
    <cellStyle name="표준 3 3 8" xfId="1750" xr:uid="{00000000-0005-0000-0000-0000160F0000}"/>
    <cellStyle name="표준 3 30" xfId="2359" xr:uid="{00000000-0005-0000-0000-0000170F0000}"/>
    <cellStyle name="표준 3 31" xfId="2990" xr:uid="{00000000-0005-0000-0000-0000180F0000}"/>
    <cellStyle name="표준 3 4" xfId="291" xr:uid="{00000000-0005-0000-0000-0000190F0000}"/>
    <cellStyle name="표준 3 4 2" xfId="292" xr:uid="{00000000-0005-0000-0000-00001A0F0000}"/>
    <cellStyle name="표준 3 4 2 2" xfId="293" xr:uid="{00000000-0005-0000-0000-00001B0F0000}"/>
    <cellStyle name="표준 3 4 2 2 2" xfId="294" xr:uid="{00000000-0005-0000-0000-00001C0F0000}"/>
    <cellStyle name="표준 3 4 2 2 3" xfId="295" xr:uid="{00000000-0005-0000-0000-00001D0F0000}"/>
    <cellStyle name="표준 3 4 2 3" xfId="296" xr:uid="{00000000-0005-0000-0000-00001E0F0000}"/>
    <cellStyle name="표준 3 4 2 4" xfId="297" xr:uid="{00000000-0005-0000-0000-00001F0F0000}"/>
    <cellStyle name="표준 3 4 2 5" xfId="298" xr:uid="{00000000-0005-0000-0000-0000200F0000}"/>
    <cellStyle name="표준 3 4 2 6" xfId="2382" xr:uid="{00000000-0005-0000-0000-0000210F0000}"/>
    <cellStyle name="표준 3 4 3" xfId="299" xr:uid="{00000000-0005-0000-0000-0000220F0000}"/>
    <cellStyle name="표준 3 4 3 2" xfId="300" xr:uid="{00000000-0005-0000-0000-0000230F0000}"/>
    <cellStyle name="표준 3 4 3 3" xfId="301" xr:uid="{00000000-0005-0000-0000-0000240F0000}"/>
    <cellStyle name="표준 3 4 4" xfId="302" xr:uid="{00000000-0005-0000-0000-0000250F0000}"/>
    <cellStyle name="표준 3 4 5" xfId="303" xr:uid="{00000000-0005-0000-0000-0000260F0000}"/>
    <cellStyle name="표준 3 4 6" xfId="304" xr:uid="{00000000-0005-0000-0000-0000270F0000}"/>
    <cellStyle name="표준 3 4 7" xfId="1751" xr:uid="{00000000-0005-0000-0000-0000280F0000}"/>
    <cellStyle name="표준 3 5" xfId="305" xr:uid="{00000000-0005-0000-0000-0000290F0000}"/>
    <cellStyle name="표준 3 5 2" xfId="306" xr:uid="{00000000-0005-0000-0000-00002A0F0000}"/>
    <cellStyle name="표준 3 5 2 2" xfId="307" xr:uid="{00000000-0005-0000-0000-00002B0F0000}"/>
    <cellStyle name="표준 3 5 2 2 2" xfId="308" xr:uid="{00000000-0005-0000-0000-00002C0F0000}"/>
    <cellStyle name="표준 3 5 2 2 3" xfId="309" xr:uid="{00000000-0005-0000-0000-00002D0F0000}"/>
    <cellStyle name="표준 3 5 2 3" xfId="310" xr:uid="{00000000-0005-0000-0000-00002E0F0000}"/>
    <cellStyle name="표준 3 5 2 4" xfId="311" xr:uid="{00000000-0005-0000-0000-00002F0F0000}"/>
    <cellStyle name="표준 3 5 2 5" xfId="312" xr:uid="{00000000-0005-0000-0000-0000300F0000}"/>
    <cellStyle name="표준 3 5 2 6" xfId="2383" xr:uid="{00000000-0005-0000-0000-0000310F0000}"/>
    <cellStyle name="표준 3 5 3" xfId="313" xr:uid="{00000000-0005-0000-0000-0000320F0000}"/>
    <cellStyle name="표준 3 5 3 2" xfId="314" xr:uid="{00000000-0005-0000-0000-0000330F0000}"/>
    <cellStyle name="표준 3 5 3 3" xfId="315" xr:uid="{00000000-0005-0000-0000-0000340F0000}"/>
    <cellStyle name="표준 3 5 4" xfId="316" xr:uid="{00000000-0005-0000-0000-0000350F0000}"/>
    <cellStyle name="표준 3 5 5" xfId="317" xr:uid="{00000000-0005-0000-0000-0000360F0000}"/>
    <cellStyle name="표준 3 5 6" xfId="318" xr:uid="{00000000-0005-0000-0000-0000370F0000}"/>
    <cellStyle name="표준 3 5 7" xfId="1752" xr:uid="{00000000-0005-0000-0000-0000380F0000}"/>
    <cellStyle name="표준 3 6" xfId="319" xr:uid="{00000000-0005-0000-0000-0000390F0000}"/>
    <cellStyle name="표준 3 6 2" xfId="320" xr:uid="{00000000-0005-0000-0000-00003A0F0000}"/>
    <cellStyle name="표준 3 6 2 2" xfId="321" xr:uid="{00000000-0005-0000-0000-00003B0F0000}"/>
    <cellStyle name="표준 3 6 2 2 2" xfId="322" xr:uid="{00000000-0005-0000-0000-00003C0F0000}"/>
    <cellStyle name="표준 3 6 2 2 3" xfId="323" xr:uid="{00000000-0005-0000-0000-00003D0F0000}"/>
    <cellStyle name="표준 3 6 2 3" xfId="324" xr:uid="{00000000-0005-0000-0000-00003E0F0000}"/>
    <cellStyle name="표준 3 6 2 4" xfId="325" xr:uid="{00000000-0005-0000-0000-00003F0F0000}"/>
    <cellStyle name="표준 3 6 2 5" xfId="2384" xr:uid="{00000000-0005-0000-0000-0000400F0000}"/>
    <cellStyle name="표준 3 6 3" xfId="326" xr:uid="{00000000-0005-0000-0000-0000410F0000}"/>
    <cellStyle name="표준 3 6 3 2" xfId="327" xr:uid="{00000000-0005-0000-0000-0000420F0000}"/>
    <cellStyle name="표준 3 6 3 3" xfId="328" xr:uid="{00000000-0005-0000-0000-0000430F0000}"/>
    <cellStyle name="표준 3 6 4" xfId="329" xr:uid="{00000000-0005-0000-0000-0000440F0000}"/>
    <cellStyle name="표준 3 6 5" xfId="330" xr:uid="{00000000-0005-0000-0000-0000450F0000}"/>
    <cellStyle name="표준 3 6 6" xfId="331" xr:uid="{00000000-0005-0000-0000-0000460F0000}"/>
    <cellStyle name="표준 3 6 7" xfId="1753" xr:uid="{00000000-0005-0000-0000-0000470F0000}"/>
    <cellStyle name="표준 3 7" xfId="332" xr:uid="{00000000-0005-0000-0000-0000480F0000}"/>
    <cellStyle name="표준 3 7 2" xfId="333" xr:uid="{00000000-0005-0000-0000-0000490F0000}"/>
    <cellStyle name="표준 3 7 2 2" xfId="334" xr:uid="{00000000-0005-0000-0000-00004A0F0000}"/>
    <cellStyle name="표준 3 7 2 2 2" xfId="335" xr:uid="{00000000-0005-0000-0000-00004B0F0000}"/>
    <cellStyle name="표준 3 7 2 2 3" xfId="336" xr:uid="{00000000-0005-0000-0000-00004C0F0000}"/>
    <cellStyle name="표준 3 7 2 3" xfId="337" xr:uid="{00000000-0005-0000-0000-00004D0F0000}"/>
    <cellStyle name="표준 3 7 2 4" xfId="338" xr:uid="{00000000-0005-0000-0000-00004E0F0000}"/>
    <cellStyle name="표준 3 7 2 5" xfId="2385" xr:uid="{00000000-0005-0000-0000-00004F0F0000}"/>
    <cellStyle name="표준 3 7 3" xfId="339" xr:uid="{00000000-0005-0000-0000-0000500F0000}"/>
    <cellStyle name="표준 3 7 3 2" xfId="340" xr:uid="{00000000-0005-0000-0000-0000510F0000}"/>
    <cellStyle name="표준 3 7 3 3" xfId="341" xr:uid="{00000000-0005-0000-0000-0000520F0000}"/>
    <cellStyle name="표준 3 7 4" xfId="342" xr:uid="{00000000-0005-0000-0000-0000530F0000}"/>
    <cellStyle name="표준 3 7 5" xfId="343" xr:uid="{00000000-0005-0000-0000-0000540F0000}"/>
    <cellStyle name="표준 3 7 6" xfId="344" xr:uid="{00000000-0005-0000-0000-0000550F0000}"/>
    <cellStyle name="표준 3 7 7" xfId="1754" xr:uid="{00000000-0005-0000-0000-0000560F0000}"/>
    <cellStyle name="표준 3 8" xfId="345" xr:uid="{00000000-0005-0000-0000-0000570F0000}"/>
    <cellStyle name="표준 3 8 2" xfId="346" xr:uid="{00000000-0005-0000-0000-0000580F0000}"/>
    <cellStyle name="표준 3 8 2 2" xfId="347" xr:uid="{00000000-0005-0000-0000-0000590F0000}"/>
    <cellStyle name="표준 3 8 2 3" xfId="348" xr:uid="{00000000-0005-0000-0000-00005A0F0000}"/>
    <cellStyle name="표준 3 8 2 4" xfId="2386" xr:uid="{00000000-0005-0000-0000-00005B0F0000}"/>
    <cellStyle name="표준 3 8 3" xfId="349" xr:uid="{00000000-0005-0000-0000-00005C0F0000}"/>
    <cellStyle name="표준 3 8 4" xfId="350" xr:uid="{00000000-0005-0000-0000-00005D0F0000}"/>
    <cellStyle name="표준 3 8 5" xfId="351" xr:uid="{00000000-0005-0000-0000-00005E0F0000}"/>
    <cellStyle name="표준 3 8 6" xfId="1755" xr:uid="{00000000-0005-0000-0000-00005F0F0000}"/>
    <cellStyle name="표준 3 9" xfId="352" xr:uid="{00000000-0005-0000-0000-0000600F0000}"/>
    <cellStyle name="표준 3 9 2" xfId="353" xr:uid="{00000000-0005-0000-0000-0000610F0000}"/>
    <cellStyle name="표준 3 9 2 2" xfId="2387" xr:uid="{00000000-0005-0000-0000-0000620F0000}"/>
    <cellStyle name="표준 3 9 3" xfId="354" xr:uid="{00000000-0005-0000-0000-0000630F0000}"/>
    <cellStyle name="표준 3 9 4" xfId="1756" xr:uid="{00000000-0005-0000-0000-0000640F0000}"/>
    <cellStyle name="표준 30" xfId="3003" xr:uid="{00000000-0005-0000-0000-0000650F0000}"/>
    <cellStyle name="표준 30 10" xfId="2388" xr:uid="{00000000-0005-0000-0000-0000660F0000}"/>
    <cellStyle name="표준 30 11" xfId="2389" xr:uid="{00000000-0005-0000-0000-0000670F0000}"/>
    <cellStyle name="표준 30 12" xfId="2390" xr:uid="{00000000-0005-0000-0000-0000680F0000}"/>
    <cellStyle name="표준 30 13" xfId="2391" xr:uid="{00000000-0005-0000-0000-0000690F0000}"/>
    <cellStyle name="표준 30 14" xfId="2392" xr:uid="{00000000-0005-0000-0000-00006A0F0000}"/>
    <cellStyle name="표준 30 15" xfId="2393" xr:uid="{00000000-0005-0000-0000-00006B0F0000}"/>
    <cellStyle name="표준 30 16" xfId="2394" xr:uid="{00000000-0005-0000-0000-00006C0F0000}"/>
    <cellStyle name="표준 30 17" xfId="2395" xr:uid="{00000000-0005-0000-0000-00006D0F0000}"/>
    <cellStyle name="표준 30 18" xfId="2396" xr:uid="{00000000-0005-0000-0000-00006E0F0000}"/>
    <cellStyle name="표준 30 19" xfId="2397" xr:uid="{00000000-0005-0000-0000-00006F0F0000}"/>
    <cellStyle name="표준 30 2" xfId="2398" xr:uid="{00000000-0005-0000-0000-0000700F0000}"/>
    <cellStyle name="표준 30 20" xfId="2399" xr:uid="{00000000-0005-0000-0000-0000710F0000}"/>
    <cellStyle name="표준 30 21" xfId="2400" xr:uid="{00000000-0005-0000-0000-0000720F0000}"/>
    <cellStyle name="표준 30 22" xfId="2401" xr:uid="{00000000-0005-0000-0000-0000730F0000}"/>
    <cellStyle name="표준 30 23" xfId="2402" xr:uid="{00000000-0005-0000-0000-0000740F0000}"/>
    <cellStyle name="표준 30 24" xfId="2403" xr:uid="{00000000-0005-0000-0000-0000750F0000}"/>
    <cellStyle name="표준 30 25" xfId="2404" xr:uid="{00000000-0005-0000-0000-0000760F0000}"/>
    <cellStyle name="표준 30 26" xfId="2405" xr:uid="{00000000-0005-0000-0000-0000770F0000}"/>
    <cellStyle name="표준 30 27" xfId="2406" xr:uid="{00000000-0005-0000-0000-0000780F0000}"/>
    <cellStyle name="표준 30 28" xfId="2407" xr:uid="{00000000-0005-0000-0000-0000790F0000}"/>
    <cellStyle name="표준 30 29" xfId="2408" xr:uid="{00000000-0005-0000-0000-00007A0F0000}"/>
    <cellStyle name="표준 30 3" xfId="2409" xr:uid="{00000000-0005-0000-0000-00007B0F0000}"/>
    <cellStyle name="표준 30 30" xfId="2410" xr:uid="{00000000-0005-0000-0000-00007C0F0000}"/>
    <cellStyle name="표준 30 31" xfId="2411" xr:uid="{00000000-0005-0000-0000-00007D0F0000}"/>
    <cellStyle name="표준 30 32" xfId="2412" xr:uid="{00000000-0005-0000-0000-00007E0F0000}"/>
    <cellStyle name="표준 30 33" xfId="2413" xr:uid="{00000000-0005-0000-0000-00007F0F0000}"/>
    <cellStyle name="표준 30 34" xfId="2414" xr:uid="{00000000-0005-0000-0000-0000800F0000}"/>
    <cellStyle name="표준 30 35" xfId="2415" xr:uid="{00000000-0005-0000-0000-0000810F0000}"/>
    <cellStyle name="표준 30 36" xfId="2416" xr:uid="{00000000-0005-0000-0000-0000820F0000}"/>
    <cellStyle name="표준 30 37" xfId="2417" xr:uid="{00000000-0005-0000-0000-0000830F0000}"/>
    <cellStyle name="표준 30 38" xfId="2418" xr:uid="{00000000-0005-0000-0000-0000840F0000}"/>
    <cellStyle name="표준 30 39" xfId="2419" xr:uid="{00000000-0005-0000-0000-0000850F0000}"/>
    <cellStyle name="표준 30 4" xfId="2420" xr:uid="{00000000-0005-0000-0000-0000860F0000}"/>
    <cellStyle name="표준 30 40" xfId="2421" xr:uid="{00000000-0005-0000-0000-0000870F0000}"/>
    <cellStyle name="표준 30 41" xfId="4050" xr:uid="{00000000-0005-0000-0000-0000880F0000}"/>
    <cellStyle name="표준 30 41 2" xfId="7200" xr:uid="{00000000-0005-0000-0000-0000890F0000}"/>
    <cellStyle name="표준 30 42" xfId="6153" xr:uid="{00000000-0005-0000-0000-00008A0F0000}"/>
    <cellStyle name="표준 30 5" xfId="2422" xr:uid="{00000000-0005-0000-0000-00008B0F0000}"/>
    <cellStyle name="표준 30 6" xfId="2423" xr:uid="{00000000-0005-0000-0000-00008C0F0000}"/>
    <cellStyle name="표준 30 7" xfId="2424" xr:uid="{00000000-0005-0000-0000-00008D0F0000}"/>
    <cellStyle name="표준 30 8" xfId="2425" xr:uid="{00000000-0005-0000-0000-00008E0F0000}"/>
    <cellStyle name="표준 30 9" xfId="2426" xr:uid="{00000000-0005-0000-0000-00008F0F0000}"/>
    <cellStyle name="표준 31" xfId="5608" xr:uid="{00000000-0005-0000-0000-0000900F0000}"/>
    <cellStyle name="표준 31 10" xfId="2427" xr:uid="{00000000-0005-0000-0000-0000910F0000}"/>
    <cellStyle name="표준 31 11" xfId="2428" xr:uid="{00000000-0005-0000-0000-0000920F0000}"/>
    <cellStyle name="표준 31 12" xfId="2429" xr:uid="{00000000-0005-0000-0000-0000930F0000}"/>
    <cellStyle name="표준 31 13" xfId="2430" xr:uid="{00000000-0005-0000-0000-0000940F0000}"/>
    <cellStyle name="표준 31 14" xfId="2431" xr:uid="{00000000-0005-0000-0000-0000950F0000}"/>
    <cellStyle name="표준 31 15" xfId="2432" xr:uid="{00000000-0005-0000-0000-0000960F0000}"/>
    <cellStyle name="표준 31 16" xfId="2433" xr:uid="{00000000-0005-0000-0000-0000970F0000}"/>
    <cellStyle name="표준 31 17" xfId="2434" xr:uid="{00000000-0005-0000-0000-0000980F0000}"/>
    <cellStyle name="표준 31 18" xfId="2435" xr:uid="{00000000-0005-0000-0000-0000990F0000}"/>
    <cellStyle name="표준 31 19" xfId="2436" xr:uid="{00000000-0005-0000-0000-00009A0F0000}"/>
    <cellStyle name="표준 31 2" xfId="2437" xr:uid="{00000000-0005-0000-0000-00009B0F0000}"/>
    <cellStyle name="표준 31 20" xfId="2438" xr:uid="{00000000-0005-0000-0000-00009C0F0000}"/>
    <cellStyle name="표준 31 21" xfId="2439" xr:uid="{00000000-0005-0000-0000-00009D0F0000}"/>
    <cellStyle name="표준 31 22" xfId="2440" xr:uid="{00000000-0005-0000-0000-00009E0F0000}"/>
    <cellStyle name="표준 31 23" xfId="2441" xr:uid="{00000000-0005-0000-0000-00009F0F0000}"/>
    <cellStyle name="표준 31 24" xfId="2442" xr:uid="{00000000-0005-0000-0000-0000A00F0000}"/>
    <cellStyle name="표준 31 25" xfId="2443" xr:uid="{00000000-0005-0000-0000-0000A10F0000}"/>
    <cellStyle name="표준 31 26" xfId="2444" xr:uid="{00000000-0005-0000-0000-0000A20F0000}"/>
    <cellStyle name="표준 31 27" xfId="2445" xr:uid="{00000000-0005-0000-0000-0000A30F0000}"/>
    <cellStyle name="표준 31 28" xfId="2446" xr:uid="{00000000-0005-0000-0000-0000A40F0000}"/>
    <cellStyle name="표준 31 29" xfId="2447" xr:uid="{00000000-0005-0000-0000-0000A50F0000}"/>
    <cellStyle name="표준 31 3" xfId="2448" xr:uid="{00000000-0005-0000-0000-0000A60F0000}"/>
    <cellStyle name="표준 31 30" xfId="2449" xr:uid="{00000000-0005-0000-0000-0000A70F0000}"/>
    <cellStyle name="표준 31 31" xfId="2450" xr:uid="{00000000-0005-0000-0000-0000A80F0000}"/>
    <cellStyle name="표준 31 32" xfId="2451" xr:uid="{00000000-0005-0000-0000-0000A90F0000}"/>
    <cellStyle name="표준 31 33" xfId="2452" xr:uid="{00000000-0005-0000-0000-0000AA0F0000}"/>
    <cellStyle name="표준 31 34" xfId="2453" xr:uid="{00000000-0005-0000-0000-0000AB0F0000}"/>
    <cellStyle name="표준 31 35" xfId="2454" xr:uid="{00000000-0005-0000-0000-0000AC0F0000}"/>
    <cellStyle name="표준 31 36" xfId="2455" xr:uid="{00000000-0005-0000-0000-0000AD0F0000}"/>
    <cellStyle name="표준 31 37" xfId="2456" xr:uid="{00000000-0005-0000-0000-0000AE0F0000}"/>
    <cellStyle name="표준 31 38" xfId="2457" xr:uid="{00000000-0005-0000-0000-0000AF0F0000}"/>
    <cellStyle name="표준 31 39" xfId="2458" xr:uid="{00000000-0005-0000-0000-0000B00F0000}"/>
    <cellStyle name="표준 31 4" xfId="2459" xr:uid="{00000000-0005-0000-0000-0000B10F0000}"/>
    <cellStyle name="표준 31 40" xfId="2460" xr:uid="{00000000-0005-0000-0000-0000B20F0000}"/>
    <cellStyle name="표준 31 41" xfId="8758" xr:uid="{00000000-0005-0000-0000-0000B30F0000}"/>
    <cellStyle name="표준 31 42" xfId="8757" xr:uid="{00000000-0005-0000-0000-0000B40F0000}"/>
    <cellStyle name="표준 31 5" xfId="2461" xr:uid="{00000000-0005-0000-0000-0000B50F0000}"/>
    <cellStyle name="표준 31 6" xfId="2462" xr:uid="{00000000-0005-0000-0000-0000B60F0000}"/>
    <cellStyle name="표준 31 7" xfId="2463" xr:uid="{00000000-0005-0000-0000-0000B70F0000}"/>
    <cellStyle name="표준 31 8" xfId="2464" xr:uid="{00000000-0005-0000-0000-0000B80F0000}"/>
    <cellStyle name="표준 31 9" xfId="2465" xr:uid="{00000000-0005-0000-0000-0000B90F0000}"/>
    <cellStyle name="표준 32" xfId="5613" xr:uid="{00000000-0005-0000-0000-0000BA0F0000}"/>
    <cellStyle name="표준 32 10" xfId="2466" xr:uid="{00000000-0005-0000-0000-0000BB0F0000}"/>
    <cellStyle name="표준 32 11" xfId="2467" xr:uid="{00000000-0005-0000-0000-0000BC0F0000}"/>
    <cellStyle name="표준 32 12" xfId="2468" xr:uid="{00000000-0005-0000-0000-0000BD0F0000}"/>
    <cellStyle name="표준 32 13" xfId="2469" xr:uid="{00000000-0005-0000-0000-0000BE0F0000}"/>
    <cellStyle name="표준 32 14" xfId="2470" xr:uid="{00000000-0005-0000-0000-0000BF0F0000}"/>
    <cellStyle name="표준 32 15" xfId="2471" xr:uid="{00000000-0005-0000-0000-0000C00F0000}"/>
    <cellStyle name="표준 32 16" xfId="2472" xr:uid="{00000000-0005-0000-0000-0000C10F0000}"/>
    <cellStyle name="표준 32 17" xfId="2473" xr:uid="{00000000-0005-0000-0000-0000C20F0000}"/>
    <cellStyle name="표준 32 18" xfId="2474" xr:uid="{00000000-0005-0000-0000-0000C30F0000}"/>
    <cellStyle name="표준 32 19" xfId="2475" xr:uid="{00000000-0005-0000-0000-0000C40F0000}"/>
    <cellStyle name="표준 32 2" xfId="2476" xr:uid="{00000000-0005-0000-0000-0000C50F0000}"/>
    <cellStyle name="표준 32 20" xfId="2477" xr:uid="{00000000-0005-0000-0000-0000C60F0000}"/>
    <cellStyle name="표준 32 21" xfId="2478" xr:uid="{00000000-0005-0000-0000-0000C70F0000}"/>
    <cellStyle name="표준 32 22" xfId="2479" xr:uid="{00000000-0005-0000-0000-0000C80F0000}"/>
    <cellStyle name="표준 32 23" xfId="2480" xr:uid="{00000000-0005-0000-0000-0000C90F0000}"/>
    <cellStyle name="표준 32 24" xfId="2481" xr:uid="{00000000-0005-0000-0000-0000CA0F0000}"/>
    <cellStyle name="표준 32 25" xfId="2482" xr:uid="{00000000-0005-0000-0000-0000CB0F0000}"/>
    <cellStyle name="표준 32 26" xfId="2483" xr:uid="{00000000-0005-0000-0000-0000CC0F0000}"/>
    <cellStyle name="표준 32 27" xfId="2484" xr:uid="{00000000-0005-0000-0000-0000CD0F0000}"/>
    <cellStyle name="표준 32 28" xfId="2485" xr:uid="{00000000-0005-0000-0000-0000CE0F0000}"/>
    <cellStyle name="표준 32 29" xfId="2486" xr:uid="{00000000-0005-0000-0000-0000CF0F0000}"/>
    <cellStyle name="표준 32 3" xfId="2487" xr:uid="{00000000-0005-0000-0000-0000D00F0000}"/>
    <cellStyle name="표준 32 30" xfId="2488" xr:uid="{00000000-0005-0000-0000-0000D10F0000}"/>
    <cellStyle name="표준 32 31" xfId="2489" xr:uid="{00000000-0005-0000-0000-0000D20F0000}"/>
    <cellStyle name="표준 32 32" xfId="2490" xr:uid="{00000000-0005-0000-0000-0000D30F0000}"/>
    <cellStyle name="표준 32 33" xfId="2491" xr:uid="{00000000-0005-0000-0000-0000D40F0000}"/>
    <cellStyle name="표준 32 34" xfId="2492" xr:uid="{00000000-0005-0000-0000-0000D50F0000}"/>
    <cellStyle name="표준 32 35" xfId="2493" xr:uid="{00000000-0005-0000-0000-0000D60F0000}"/>
    <cellStyle name="표준 32 36" xfId="2494" xr:uid="{00000000-0005-0000-0000-0000D70F0000}"/>
    <cellStyle name="표준 32 37" xfId="2495" xr:uid="{00000000-0005-0000-0000-0000D80F0000}"/>
    <cellStyle name="표준 32 38" xfId="2496" xr:uid="{00000000-0005-0000-0000-0000D90F0000}"/>
    <cellStyle name="표준 32 39" xfId="2497" xr:uid="{00000000-0005-0000-0000-0000DA0F0000}"/>
    <cellStyle name="표준 32 4" xfId="2498" xr:uid="{00000000-0005-0000-0000-0000DB0F0000}"/>
    <cellStyle name="표준 32 40" xfId="2499" xr:uid="{00000000-0005-0000-0000-0000DC0F0000}"/>
    <cellStyle name="표준 32 5" xfId="2500" xr:uid="{00000000-0005-0000-0000-0000DD0F0000}"/>
    <cellStyle name="표준 32 6" xfId="2501" xr:uid="{00000000-0005-0000-0000-0000DE0F0000}"/>
    <cellStyle name="표준 32 7" xfId="2502" xr:uid="{00000000-0005-0000-0000-0000DF0F0000}"/>
    <cellStyle name="표준 32 8" xfId="2503" xr:uid="{00000000-0005-0000-0000-0000E00F0000}"/>
    <cellStyle name="표준 32 9" xfId="2504" xr:uid="{00000000-0005-0000-0000-0000E10F0000}"/>
    <cellStyle name="표준 33" xfId="5614" xr:uid="{00000000-0005-0000-0000-0000E20F0000}"/>
    <cellStyle name="표준 33 10" xfId="2505" xr:uid="{00000000-0005-0000-0000-0000E30F0000}"/>
    <cellStyle name="표준 33 11" xfId="2506" xr:uid="{00000000-0005-0000-0000-0000E40F0000}"/>
    <cellStyle name="표준 33 12" xfId="2507" xr:uid="{00000000-0005-0000-0000-0000E50F0000}"/>
    <cellStyle name="표준 33 13" xfId="2508" xr:uid="{00000000-0005-0000-0000-0000E60F0000}"/>
    <cellStyle name="표준 33 14" xfId="2509" xr:uid="{00000000-0005-0000-0000-0000E70F0000}"/>
    <cellStyle name="표준 33 15" xfId="2510" xr:uid="{00000000-0005-0000-0000-0000E80F0000}"/>
    <cellStyle name="표준 33 16" xfId="2511" xr:uid="{00000000-0005-0000-0000-0000E90F0000}"/>
    <cellStyle name="표준 33 17" xfId="2512" xr:uid="{00000000-0005-0000-0000-0000EA0F0000}"/>
    <cellStyle name="표준 33 18" xfId="2513" xr:uid="{00000000-0005-0000-0000-0000EB0F0000}"/>
    <cellStyle name="표준 33 19" xfId="2514" xr:uid="{00000000-0005-0000-0000-0000EC0F0000}"/>
    <cellStyle name="표준 33 2" xfId="2515" xr:uid="{00000000-0005-0000-0000-0000ED0F0000}"/>
    <cellStyle name="표준 33 20" xfId="2516" xr:uid="{00000000-0005-0000-0000-0000EE0F0000}"/>
    <cellStyle name="표준 33 21" xfId="2517" xr:uid="{00000000-0005-0000-0000-0000EF0F0000}"/>
    <cellStyle name="표준 33 22" xfId="2518" xr:uid="{00000000-0005-0000-0000-0000F00F0000}"/>
    <cellStyle name="표준 33 23" xfId="2519" xr:uid="{00000000-0005-0000-0000-0000F10F0000}"/>
    <cellStyle name="표준 33 24" xfId="2520" xr:uid="{00000000-0005-0000-0000-0000F20F0000}"/>
    <cellStyle name="표준 33 25" xfId="2521" xr:uid="{00000000-0005-0000-0000-0000F30F0000}"/>
    <cellStyle name="표준 33 26" xfId="2522" xr:uid="{00000000-0005-0000-0000-0000F40F0000}"/>
    <cellStyle name="표준 33 27" xfId="2523" xr:uid="{00000000-0005-0000-0000-0000F50F0000}"/>
    <cellStyle name="표준 33 28" xfId="2524" xr:uid="{00000000-0005-0000-0000-0000F60F0000}"/>
    <cellStyle name="표준 33 29" xfId="2525" xr:uid="{00000000-0005-0000-0000-0000F70F0000}"/>
    <cellStyle name="표준 33 3" xfId="2526" xr:uid="{00000000-0005-0000-0000-0000F80F0000}"/>
    <cellStyle name="표준 33 30" xfId="2527" xr:uid="{00000000-0005-0000-0000-0000F90F0000}"/>
    <cellStyle name="표준 33 31" xfId="2528" xr:uid="{00000000-0005-0000-0000-0000FA0F0000}"/>
    <cellStyle name="표준 33 32" xfId="2529" xr:uid="{00000000-0005-0000-0000-0000FB0F0000}"/>
    <cellStyle name="표준 33 33" xfId="2530" xr:uid="{00000000-0005-0000-0000-0000FC0F0000}"/>
    <cellStyle name="표준 33 34" xfId="2531" xr:uid="{00000000-0005-0000-0000-0000FD0F0000}"/>
    <cellStyle name="표준 33 35" xfId="2532" xr:uid="{00000000-0005-0000-0000-0000FE0F0000}"/>
    <cellStyle name="표준 33 36" xfId="2533" xr:uid="{00000000-0005-0000-0000-0000FF0F0000}"/>
    <cellStyle name="표준 33 37" xfId="2534" xr:uid="{00000000-0005-0000-0000-000000100000}"/>
    <cellStyle name="표준 33 38" xfId="2535" xr:uid="{00000000-0005-0000-0000-000001100000}"/>
    <cellStyle name="표준 33 39" xfId="2536" xr:uid="{00000000-0005-0000-0000-000002100000}"/>
    <cellStyle name="표준 33 4" xfId="2537" xr:uid="{00000000-0005-0000-0000-000003100000}"/>
    <cellStyle name="표준 33 40" xfId="2538" xr:uid="{00000000-0005-0000-0000-000004100000}"/>
    <cellStyle name="표준 33 5" xfId="2539" xr:uid="{00000000-0005-0000-0000-000005100000}"/>
    <cellStyle name="표준 33 6" xfId="2540" xr:uid="{00000000-0005-0000-0000-000006100000}"/>
    <cellStyle name="표준 33 7" xfId="2541" xr:uid="{00000000-0005-0000-0000-000007100000}"/>
    <cellStyle name="표준 33 8" xfId="2542" xr:uid="{00000000-0005-0000-0000-000008100000}"/>
    <cellStyle name="표준 33 9" xfId="2543" xr:uid="{00000000-0005-0000-0000-000009100000}"/>
    <cellStyle name="표준 34" xfId="5617" xr:uid="{00000000-0005-0000-0000-00000A100000}"/>
    <cellStyle name="표준 34 10" xfId="2544" xr:uid="{00000000-0005-0000-0000-00000B100000}"/>
    <cellStyle name="표준 34 11" xfId="2545" xr:uid="{00000000-0005-0000-0000-00000C100000}"/>
    <cellStyle name="표준 34 12" xfId="2546" xr:uid="{00000000-0005-0000-0000-00000D100000}"/>
    <cellStyle name="표준 34 13" xfId="2547" xr:uid="{00000000-0005-0000-0000-00000E100000}"/>
    <cellStyle name="표준 34 14" xfId="2548" xr:uid="{00000000-0005-0000-0000-00000F100000}"/>
    <cellStyle name="표준 34 15" xfId="2549" xr:uid="{00000000-0005-0000-0000-000010100000}"/>
    <cellStyle name="표준 34 16" xfId="2550" xr:uid="{00000000-0005-0000-0000-000011100000}"/>
    <cellStyle name="표준 34 17" xfId="2551" xr:uid="{00000000-0005-0000-0000-000012100000}"/>
    <cellStyle name="표준 34 18" xfId="2552" xr:uid="{00000000-0005-0000-0000-000013100000}"/>
    <cellStyle name="표준 34 19" xfId="2553" xr:uid="{00000000-0005-0000-0000-000014100000}"/>
    <cellStyle name="표준 34 2" xfId="2554" xr:uid="{00000000-0005-0000-0000-000015100000}"/>
    <cellStyle name="표준 34 20" xfId="2555" xr:uid="{00000000-0005-0000-0000-000016100000}"/>
    <cellStyle name="표준 34 21" xfId="2556" xr:uid="{00000000-0005-0000-0000-000017100000}"/>
    <cellStyle name="표준 34 22" xfId="2557" xr:uid="{00000000-0005-0000-0000-000018100000}"/>
    <cellStyle name="표준 34 23" xfId="2558" xr:uid="{00000000-0005-0000-0000-000019100000}"/>
    <cellStyle name="표준 34 3" xfId="2559" xr:uid="{00000000-0005-0000-0000-00001A100000}"/>
    <cellStyle name="표준 34 4" xfId="2560" xr:uid="{00000000-0005-0000-0000-00001B100000}"/>
    <cellStyle name="표준 34 5" xfId="2561" xr:uid="{00000000-0005-0000-0000-00001C100000}"/>
    <cellStyle name="표준 34 6" xfId="2562" xr:uid="{00000000-0005-0000-0000-00001D100000}"/>
    <cellStyle name="표준 34 7" xfId="2563" xr:uid="{00000000-0005-0000-0000-00001E100000}"/>
    <cellStyle name="표준 34 8" xfId="2564" xr:uid="{00000000-0005-0000-0000-00001F100000}"/>
    <cellStyle name="표준 34 9" xfId="2565" xr:uid="{00000000-0005-0000-0000-000020100000}"/>
    <cellStyle name="표준 35" xfId="5619" xr:uid="{00000000-0005-0000-0000-000021100000}"/>
    <cellStyle name="표준 35 10" xfId="2566" xr:uid="{00000000-0005-0000-0000-000022100000}"/>
    <cellStyle name="표준 35 11" xfId="2567" xr:uid="{00000000-0005-0000-0000-000023100000}"/>
    <cellStyle name="표준 35 12" xfId="2568" xr:uid="{00000000-0005-0000-0000-000024100000}"/>
    <cellStyle name="표준 35 13" xfId="2569" xr:uid="{00000000-0005-0000-0000-000025100000}"/>
    <cellStyle name="표준 35 14" xfId="2570" xr:uid="{00000000-0005-0000-0000-000026100000}"/>
    <cellStyle name="표준 35 15" xfId="2571" xr:uid="{00000000-0005-0000-0000-000027100000}"/>
    <cellStyle name="표준 35 16" xfId="2572" xr:uid="{00000000-0005-0000-0000-000028100000}"/>
    <cellStyle name="표준 35 17" xfId="2573" xr:uid="{00000000-0005-0000-0000-000029100000}"/>
    <cellStyle name="표준 35 18" xfId="2574" xr:uid="{00000000-0005-0000-0000-00002A100000}"/>
    <cellStyle name="표준 35 19" xfId="2575" xr:uid="{00000000-0005-0000-0000-00002B100000}"/>
    <cellStyle name="표준 35 2" xfId="2576" xr:uid="{00000000-0005-0000-0000-00002C100000}"/>
    <cellStyle name="표준 35 20" xfId="2577" xr:uid="{00000000-0005-0000-0000-00002D100000}"/>
    <cellStyle name="표준 35 21" xfId="2578" xr:uid="{00000000-0005-0000-0000-00002E100000}"/>
    <cellStyle name="표준 35 22" xfId="2579" xr:uid="{00000000-0005-0000-0000-00002F100000}"/>
    <cellStyle name="표준 35 23" xfId="2580" xr:uid="{00000000-0005-0000-0000-000030100000}"/>
    <cellStyle name="표준 35 3" xfId="2581" xr:uid="{00000000-0005-0000-0000-000031100000}"/>
    <cellStyle name="표준 35 4" xfId="2582" xr:uid="{00000000-0005-0000-0000-000032100000}"/>
    <cellStyle name="표준 35 5" xfId="2583" xr:uid="{00000000-0005-0000-0000-000033100000}"/>
    <cellStyle name="표준 35 6" xfId="2584" xr:uid="{00000000-0005-0000-0000-000034100000}"/>
    <cellStyle name="표준 35 7" xfId="2585" xr:uid="{00000000-0005-0000-0000-000035100000}"/>
    <cellStyle name="표준 35 8" xfId="2586" xr:uid="{00000000-0005-0000-0000-000036100000}"/>
    <cellStyle name="표준 35 9" xfId="2587" xr:uid="{00000000-0005-0000-0000-000037100000}"/>
    <cellStyle name="표준 36" xfId="5622" xr:uid="{00000000-0005-0000-0000-000038100000}"/>
    <cellStyle name="표준 37" xfId="5624" xr:uid="{00000000-0005-0000-0000-000039100000}"/>
    <cellStyle name="표준 38" xfId="5623" xr:uid="{00000000-0005-0000-0000-00003A100000}"/>
    <cellStyle name="표준 39" xfId="416" xr:uid="{00000000-0005-0000-0000-00003B100000}"/>
    <cellStyle name="표준 4" xfId="355" xr:uid="{00000000-0005-0000-0000-00003C100000}"/>
    <cellStyle name="표준 4 10" xfId="1757" xr:uid="{00000000-0005-0000-0000-00003D100000}"/>
    <cellStyle name="표준 4 11" xfId="1758" xr:uid="{00000000-0005-0000-0000-00003E100000}"/>
    <cellStyle name="표준 4 12" xfId="1759" xr:uid="{00000000-0005-0000-0000-00003F100000}"/>
    <cellStyle name="표준 4 13" xfId="1760" xr:uid="{00000000-0005-0000-0000-000040100000}"/>
    <cellStyle name="표준 4 14" xfId="1934" xr:uid="{00000000-0005-0000-0000-000041100000}"/>
    <cellStyle name="표준 4 15" xfId="2588" xr:uid="{00000000-0005-0000-0000-000042100000}"/>
    <cellStyle name="표준 4 16" xfId="2991" xr:uid="{00000000-0005-0000-0000-000043100000}"/>
    <cellStyle name="표준 4 16 2" xfId="4042" xr:uid="{00000000-0005-0000-0000-000044100000}"/>
    <cellStyle name="표준 4 16 2 2" xfId="7192" xr:uid="{00000000-0005-0000-0000-000045100000}"/>
    <cellStyle name="표준 4 16 3" xfId="6145" xr:uid="{00000000-0005-0000-0000-000046100000}"/>
    <cellStyle name="표준 4 17" xfId="5609" xr:uid="{00000000-0005-0000-0000-000047100000}"/>
    <cellStyle name="표준 4 18" xfId="449" xr:uid="{00000000-0005-0000-0000-000048100000}"/>
    <cellStyle name="표준 4 2" xfId="356" xr:uid="{00000000-0005-0000-0000-000049100000}"/>
    <cellStyle name="표준 4 2 2" xfId="357" xr:uid="{00000000-0005-0000-0000-00004A100000}"/>
    <cellStyle name="표준 4 2 2 2" xfId="358" xr:uid="{00000000-0005-0000-0000-00004B100000}"/>
    <cellStyle name="표준 4 2 2 2 2" xfId="359" xr:uid="{00000000-0005-0000-0000-00004C100000}"/>
    <cellStyle name="표준 4 2 2 2 2 2" xfId="7195" xr:uid="{00000000-0005-0000-0000-00004D100000}"/>
    <cellStyle name="표준 4 2 2 2 3" xfId="360" xr:uid="{00000000-0005-0000-0000-00004E100000}"/>
    <cellStyle name="표준 4 2 2 2 4" xfId="4045" xr:uid="{00000000-0005-0000-0000-00004F100000}"/>
    <cellStyle name="표준 4 2 2 3" xfId="361" xr:uid="{00000000-0005-0000-0000-000050100000}"/>
    <cellStyle name="표준 4 2 2 3 2" xfId="6148" xr:uid="{00000000-0005-0000-0000-000051100000}"/>
    <cellStyle name="표준 4 2 2 4" xfId="362" xr:uid="{00000000-0005-0000-0000-000052100000}"/>
    <cellStyle name="표준 4 2 2 5" xfId="363" xr:uid="{00000000-0005-0000-0000-000053100000}"/>
    <cellStyle name="표준 4 2 2 6" xfId="2995" xr:uid="{00000000-0005-0000-0000-000054100000}"/>
    <cellStyle name="표준 4 2 3" xfId="364" xr:uid="{00000000-0005-0000-0000-000055100000}"/>
    <cellStyle name="표준 4 2 3 2" xfId="365" xr:uid="{00000000-0005-0000-0000-000056100000}"/>
    <cellStyle name="표준 4 2 3 3" xfId="366" xr:uid="{00000000-0005-0000-0000-000057100000}"/>
    <cellStyle name="표준 4 2 4" xfId="367" xr:uid="{00000000-0005-0000-0000-000058100000}"/>
    <cellStyle name="표준 4 2 5" xfId="368" xr:uid="{00000000-0005-0000-0000-000059100000}"/>
    <cellStyle name="표준 4 2 6" xfId="369" xr:uid="{00000000-0005-0000-0000-00005A100000}"/>
    <cellStyle name="표준 4 2 7" xfId="1761" xr:uid="{00000000-0005-0000-0000-00005B100000}"/>
    <cellStyle name="표준 4 3" xfId="370" xr:uid="{00000000-0005-0000-0000-00005C100000}"/>
    <cellStyle name="표준 4 3 2" xfId="371" xr:uid="{00000000-0005-0000-0000-00005D100000}"/>
    <cellStyle name="표준 4 3 2 2" xfId="372" xr:uid="{00000000-0005-0000-0000-00005E100000}"/>
    <cellStyle name="표준 4 3 2 3" xfId="373" xr:uid="{00000000-0005-0000-0000-00005F100000}"/>
    <cellStyle name="표준 4 3 3" xfId="374" xr:uid="{00000000-0005-0000-0000-000060100000}"/>
    <cellStyle name="표준 4 3 4" xfId="375" xr:uid="{00000000-0005-0000-0000-000061100000}"/>
    <cellStyle name="표준 4 3 5" xfId="376" xr:uid="{00000000-0005-0000-0000-000062100000}"/>
    <cellStyle name="표준 4 3 6" xfId="1762" xr:uid="{00000000-0005-0000-0000-000063100000}"/>
    <cellStyle name="표준 4 4" xfId="377" xr:uid="{00000000-0005-0000-0000-000064100000}"/>
    <cellStyle name="표준 4 4 2" xfId="378" xr:uid="{00000000-0005-0000-0000-000065100000}"/>
    <cellStyle name="표준 4 4 3" xfId="379" xr:uid="{00000000-0005-0000-0000-000066100000}"/>
    <cellStyle name="표준 4 4 4" xfId="380" xr:uid="{00000000-0005-0000-0000-000067100000}"/>
    <cellStyle name="표준 4 4 5" xfId="1763" xr:uid="{00000000-0005-0000-0000-000068100000}"/>
    <cellStyle name="표준 4 5" xfId="381" xr:uid="{00000000-0005-0000-0000-000069100000}"/>
    <cellStyle name="표준 4 5 2" xfId="382" xr:uid="{00000000-0005-0000-0000-00006A100000}"/>
    <cellStyle name="표준 4 5 3" xfId="1764" xr:uid="{00000000-0005-0000-0000-00006B100000}"/>
    <cellStyle name="표준 4 6" xfId="383" xr:uid="{00000000-0005-0000-0000-00006C100000}"/>
    <cellStyle name="표준 4 6 2" xfId="1765" xr:uid="{00000000-0005-0000-0000-00006D100000}"/>
    <cellStyle name="표준 4 7" xfId="384" xr:uid="{00000000-0005-0000-0000-00006E100000}"/>
    <cellStyle name="표준 4 7 2" xfId="1766" xr:uid="{00000000-0005-0000-0000-00006F100000}"/>
    <cellStyle name="표준 4 8" xfId="1767" xr:uid="{00000000-0005-0000-0000-000070100000}"/>
    <cellStyle name="표준 4 9" xfId="1768" xr:uid="{00000000-0005-0000-0000-000071100000}"/>
    <cellStyle name="표준 40" xfId="385" xr:uid="{00000000-0005-0000-0000-000072100000}"/>
    <cellStyle name="표준 41 5" xfId="8759" xr:uid="{00000000-0005-0000-0000-000073100000}"/>
    <cellStyle name="표준 47 2" xfId="1769" xr:uid="{00000000-0005-0000-0000-000074100000}"/>
    <cellStyle name="표준 47 3" xfId="1770" xr:uid="{00000000-0005-0000-0000-000075100000}"/>
    <cellStyle name="표준 47 4" xfId="1771" xr:uid="{00000000-0005-0000-0000-000076100000}"/>
    <cellStyle name="표준 47 5" xfId="1772" xr:uid="{00000000-0005-0000-0000-000077100000}"/>
    <cellStyle name="표준 47 6" xfId="1773" xr:uid="{00000000-0005-0000-0000-000078100000}"/>
    <cellStyle name="표준 47 7" xfId="1774" xr:uid="{00000000-0005-0000-0000-000079100000}"/>
    <cellStyle name="표준 48 2" xfId="1775" xr:uid="{00000000-0005-0000-0000-00007A100000}"/>
    <cellStyle name="표준 48 3" xfId="1776" xr:uid="{00000000-0005-0000-0000-00007B100000}"/>
    <cellStyle name="표준 48 4" xfId="1777" xr:uid="{00000000-0005-0000-0000-00007C100000}"/>
    <cellStyle name="표준 48 5" xfId="1778" xr:uid="{00000000-0005-0000-0000-00007D100000}"/>
    <cellStyle name="표준 48 6" xfId="1779" xr:uid="{00000000-0005-0000-0000-00007E100000}"/>
    <cellStyle name="표준 48 7" xfId="1780" xr:uid="{00000000-0005-0000-0000-00007F100000}"/>
    <cellStyle name="표준 5" xfId="386" xr:uid="{00000000-0005-0000-0000-000080100000}"/>
    <cellStyle name="표준 5 10" xfId="1781" xr:uid="{00000000-0005-0000-0000-000081100000}"/>
    <cellStyle name="표준 5 11" xfId="1782" xr:uid="{00000000-0005-0000-0000-000082100000}"/>
    <cellStyle name="표준 5 12" xfId="1783" xr:uid="{00000000-0005-0000-0000-000083100000}"/>
    <cellStyle name="표준 5 13" xfId="1784" xr:uid="{00000000-0005-0000-0000-000084100000}"/>
    <cellStyle name="표준 5 14" xfId="2589" xr:uid="{00000000-0005-0000-0000-000085100000}"/>
    <cellStyle name="표준 5 15" xfId="450" xr:uid="{00000000-0005-0000-0000-000086100000}"/>
    <cellStyle name="표준 5 2" xfId="387" xr:uid="{00000000-0005-0000-0000-000087100000}"/>
    <cellStyle name="표준 5 2 10" xfId="388" xr:uid="{00000000-0005-0000-0000-000088100000}"/>
    <cellStyle name="표준 5 2 11" xfId="1785" xr:uid="{00000000-0005-0000-0000-000089100000}"/>
    <cellStyle name="표준 5 2 2" xfId="389" xr:uid="{00000000-0005-0000-0000-00008A100000}"/>
    <cellStyle name="표준 5 2 2 2" xfId="390" xr:uid="{00000000-0005-0000-0000-00008B100000}"/>
    <cellStyle name="표준 5 2 2 3" xfId="391" xr:uid="{00000000-0005-0000-0000-00008C100000}"/>
    <cellStyle name="표준 5 2 2 4" xfId="392" xr:uid="{00000000-0005-0000-0000-00008D100000}"/>
    <cellStyle name="표준 5 2 2 5" xfId="393" xr:uid="{00000000-0005-0000-0000-00008E100000}"/>
    <cellStyle name="표준 5 2 2 6" xfId="394" xr:uid="{00000000-0005-0000-0000-00008F100000}"/>
    <cellStyle name="표준 5 2 2 7" xfId="395" xr:uid="{00000000-0005-0000-0000-000090100000}"/>
    <cellStyle name="표준 5 2 2 8" xfId="396" xr:uid="{00000000-0005-0000-0000-000091100000}"/>
    <cellStyle name="표준 5 2 2 9" xfId="397" xr:uid="{00000000-0005-0000-0000-000092100000}"/>
    <cellStyle name="표준 5 2 3" xfId="398" xr:uid="{00000000-0005-0000-0000-000093100000}"/>
    <cellStyle name="표준 5 2 4" xfId="399" xr:uid="{00000000-0005-0000-0000-000094100000}"/>
    <cellStyle name="표준 5 2 5" xfId="400" xr:uid="{00000000-0005-0000-0000-000095100000}"/>
    <cellStyle name="표준 5 2 6" xfId="401" xr:uid="{00000000-0005-0000-0000-000096100000}"/>
    <cellStyle name="표준 5 2 7" xfId="402" xr:uid="{00000000-0005-0000-0000-000097100000}"/>
    <cellStyle name="표준 5 2 8" xfId="403" xr:uid="{00000000-0005-0000-0000-000098100000}"/>
    <cellStyle name="표준 5 2 9" xfId="404" xr:uid="{00000000-0005-0000-0000-000099100000}"/>
    <cellStyle name="표준 5 3" xfId="1786" xr:uid="{00000000-0005-0000-0000-00009A100000}"/>
    <cellStyle name="표준 5 4" xfId="1787" xr:uid="{00000000-0005-0000-0000-00009B100000}"/>
    <cellStyle name="표준 5 5" xfId="1788" xr:uid="{00000000-0005-0000-0000-00009C100000}"/>
    <cellStyle name="표준 5 6" xfId="1789" xr:uid="{00000000-0005-0000-0000-00009D100000}"/>
    <cellStyle name="표준 5 7" xfId="1790" xr:uid="{00000000-0005-0000-0000-00009E100000}"/>
    <cellStyle name="표준 5 8" xfId="1791" xr:uid="{00000000-0005-0000-0000-00009F100000}"/>
    <cellStyle name="표준 5 9" xfId="1792" xr:uid="{00000000-0005-0000-0000-0000A0100000}"/>
    <cellStyle name="표준 568" xfId="8763" xr:uid="{00000000-0005-0000-0000-0000A1100000}"/>
    <cellStyle name="표준 6" xfId="405" xr:uid="{00000000-0005-0000-0000-0000A2100000}"/>
    <cellStyle name="표준 6 2" xfId="1793" xr:uid="{00000000-0005-0000-0000-0000A3100000}"/>
    <cellStyle name="표준 6 3" xfId="2590" xr:uid="{00000000-0005-0000-0000-0000A4100000}"/>
    <cellStyle name="표준 6 4" xfId="441" xr:uid="{00000000-0005-0000-0000-0000A5100000}"/>
    <cellStyle name="표준 65" xfId="406" xr:uid="{00000000-0005-0000-0000-0000A6100000}"/>
    <cellStyle name="표준 66" xfId="1825" xr:uid="{00000000-0005-0000-0000-0000A7100000}"/>
    <cellStyle name="표준 66 2" xfId="1794" xr:uid="{00000000-0005-0000-0000-0000A8100000}"/>
    <cellStyle name="표준 67" xfId="1795" xr:uid="{00000000-0005-0000-0000-0000A9100000}"/>
    <cellStyle name="표준 68" xfId="1796" xr:uid="{00000000-0005-0000-0000-0000AA100000}"/>
    <cellStyle name="표준 69" xfId="1797" xr:uid="{00000000-0005-0000-0000-0000AB100000}"/>
    <cellStyle name="표준 7" xfId="407" xr:uid="{00000000-0005-0000-0000-0000AC100000}"/>
    <cellStyle name="표준 7 10" xfId="1813" xr:uid="{00000000-0005-0000-0000-0000AD100000}"/>
    <cellStyle name="표준 7 10 10" xfId="5637" xr:uid="{00000000-0005-0000-0000-0000AE100000}"/>
    <cellStyle name="표준 7 10 2" xfId="1879" xr:uid="{00000000-0005-0000-0000-0000AF100000}"/>
    <cellStyle name="표준 7 10 2 2" xfId="2669" xr:uid="{00000000-0005-0000-0000-0000B0100000}"/>
    <cellStyle name="표준 7 10 2 2 2" xfId="2891" xr:uid="{00000000-0005-0000-0000-0000B1100000}"/>
    <cellStyle name="표준 7 10 2 2 2 2" xfId="3429" xr:uid="{00000000-0005-0000-0000-0000B2100000}"/>
    <cellStyle name="표준 7 10 2 2 2 2 2" xfId="4476" xr:uid="{00000000-0005-0000-0000-0000B3100000}"/>
    <cellStyle name="표준 7 10 2 2 2 2 2 2" xfId="7626" xr:uid="{00000000-0005-0000-0000-0000B4100000}"/>
    <cellStyle name="표준 7 10 2 2 2 2 3" xfId="5514" xr:uid="{00000000-0005-0000-0000-0000B5100000}"/>
    <cellStyle name="표준 7 10 2 2 2 2 3 2" xfId="8663" xr:uid="{00000000-0005-0000-0000-0000B6100000}"/>
    <cellStyle name="표준 7 10 2 2 2 2 4" xfId="6579" xr:uid="{00000000-0005-0000-0000-0000B7100000}"/>
    <cellStyle name="표준 7 10 2 2 2 3" xfId="3947" xr:uid="{00000000-0005-0000-0000-0000B8100000}"/>
    <cellStyle name="표준 7 10 2 2 2 3 2" xfId="7097" xr:uid="{00000000-0005-0000-0000-0000B9100000}"/>
    <cellStyle name="표준 7 10 2 2 2 4" xfId="4994" xr:uid="{00000000-0005-0000-0000-0000BA100000}"/>
    <cellStyle name="표준 7 10 2 2 2 4 2" xfId="8144" xr:uid="{00000000-0005-0000-0000-0000BB100000}"/>
    <cellStyle name="표준 7 10 2 2 2 5" xfId="6050" xr:uid="{00000000-0005-0000-0000-0000BC100000}"/>
    <cellStyle name="표준 7 10 2 2 3" xfId="3207" xr:uid="{00000000-0005-0000-0000-0000BD100000}"/>
    <cellStyle name="표준 7 10 2 2 3 2" xfId="4254" xr:uid="{00000000-0005-0000-0000-0000BE100000}"/>
    <cellStyle name="표준 7 10 2 2 3 2 2" xfId="7404" xr:uid="{00000000-0005-0000-0000-0000BF100000}"/>
    <cellStyle name="표준 7 10 2 2 3 3" xfId="5292" xr:uid="{00000000-0005-0000-0000-0000C0100000}"/>
    <cellStyle name="표준 7 10 2 2 3 3 2" xfId="8441" xr:uid="{00000000-0005-0000-0000-0000C1100000}"/>
    <cellStyle name="표준 7 10 2 2 3 4" xfId="6357" xr:uid="{00000000-0005-0000-0000-0000C2100000}"/>
    <cellStyle name="표준 7 10 2 2 4" xfId="3725" xr:uid="{00000000-0005-0000-0000-0000C3100000}"/>
    <cellStyle name="표준 7 10 2 2 4 2" xfId="6875" xr:uid="{00000000-0005-0000-0000-0000C4100000}"/>
    <cellStyle name="표준 7 10 2 2 5" xfId="4772" xr:uid="{00000000-0005-0000-0000-0000C5100000}"/>
    <cellStyle name="표준 7 10 2 2 5 2" xfId="7922" xr:uid="{00000000-0005-0000-0000-0000C6100000}"/>
    <cellStyle name="표준 7 10 2 2 6" xfId="5828" xr:uid="{00000000-0005-0000-0000-0000C7100000}"/>
    <cellStyle name="표준 7 10 2 3" xfId="2798" xr:uid="{00000000-0005-0000-0000-0000C8100000}"/>
    <cellStyle name="표준 7 10 2 3 2" xfId="3336" xr:uid="{00000000-0005-0000-0000-0000C9100000}"/>
    <cellStyle name="표준 7 10 2 3 2 2" xfId="4383" xr:uid="{00000000-0005-0000-0000-0000CA100000}"/>
    <cellStyle name="표준 7 10 2 3 2 2 2" xfId="7533" xr:uid="{00000000-0005-0000-0000-0000CB100000}"/>
    <cellStyle name="표준 7 10 2 3 2 3" xfId="5421" xr:uid="{00000000-0005-0000-0000-0000CC100000}"/>
    <cellStyle name="표준 7 10 2 3 2 3 2" xfId="8570" xr:uid="{00000000-0005-0000-0000-0000CD100000}"/>
    <cellStyle name="표준 7 10 2 3 2 4" xfId="6486" xr:uid="{00000000-0005-0000-0000-0000CE100000}"/>
    <cellStyle name="표준 7 10 2 3 3" xfId="3854" xr:uid="{00000000-0005-0000-0000-0000CF100000}"/>
    <cellStyle name="표준 7 10 2 3 3 2" xfId="7004" xr:uid="{00000000-0005-0000-0000-0000D0100000}"/>
    <cellStyle name="표준 7 10 2 3 4" xfId="4901" xr:uid="{00000000-0005-0000-0000-0000D1100000}"/>
    <cellStyle name="표준 7 10 2 3 4 2" xfId="8051" xr:uid="{00000000-0005-0000-0000-0000D2100000}"/>
    <cellStyle name="표준 7 10 2 3 5" xfId="5957" xr:uid="{00000000-0005-0000-0000-0000D3100000}"/>
    <cellStyle name="표준 7 10 2 4" xfId="3078" xr:uid="{00000000-0005-0000-0000-0000D4100000}"/>
    <cellStyle name="표준 7 10 2 4 2" xfId="4125" xr:uid="{00000000-0005-0000-0000-0000D5100000}"/>
    <cellStyle name="표준 7 10 2 4 2 2" xfId="7275" xr:uid="{00000000-0005-0000-0000-0000D6100000}"/>
    <cellStyle name="표준 7 10 2 4 3" xfId="5163" xr:uid="{00000000-0005-0000-0000-0000D7100000}"/>
    <cellStyle name="표준 7 10 2 4 3 2" xfId="8312" xr:uid="{00000000-0005-0000-0000-0000D8100000}"/>
    <cellStyle name="표준 7 10 2 4 4" xfId="6228" xr:uid="{00000000-0005-0000-0000-0000D9100000}"/>
    <cellStyle name="표준 7 10 2 5" xfId="3596" xr:uid="{00000000-0005-0000-0000-0000DA100000}"/>
    <cellStyle name="표준 7 10 2 5 2" xfId="6746" xr:uid="{00000000-0005-0000-0000-0000DB100000}"/>
    <cellStyle name="표준 7 10 2 6" xfId="4643" xr:uid="{00000000-0005-0000-0000-0000DC100000}"/>
    <cellStyle name="표준 7 10 2 6 2" xfId="7793" xr:uid="{00000000-0005-0000-0000-0000DD100000}"/>
    <cellStyle name="표준 7 10 2 7" xfId="5699" xr:uid="{00000000-0005-0000-0000-0000DE100000}"/>
    <cellStyle name="표준 7 10 3" xfId="1912" xr:uid="{00000000-0005-0000-0000-0000DF100000}"/>
    <cellStyle name="표준 7 10 3 2" xfId="2702" xr:uid="{00000000-0005-0000-0000-0000E0100000}"/>
    <cellStyle name="표준 7 10 3 2 2" xfId="2892" xr:uid="{00000000-0005-0000-0000-0000E1100000}"/>
    <cellStyle name="표준 7 10 3 2 2 2" xfId="3430" xr:uid="{00000000-0005-0000-0000-0000E2100000}"/>
    <cellStyle name="표준 7 10 3 2 2 2 2" xfId="4477" xr:uid="{00000000-0005-0000-0000-0000E3100000}"/>
    <cellStyle name="표준 7 10 3 2 2 2 2 2" xfId="7627" xr:uid="{00000000-0005-0000-0000-0000E4100000}"/>
    <cellStyle name="표준 7 10 3 2 2 2 3" xfId="5515" xr:uid="{00000000-0005-0000-0000-0000E5100000}"/>
    <cellStyle name="표준 7 10 3 2 2 2 3 2" xfId="8664" xr:uid="{00000000-0005-0000-0000-0000E6100000}"/>
    <cellStyle name="표준 7 10 3 2 2 2 4" xfId="6580" xr:uid="{00000000-0005-0000-0000-0000E7100000}"/>
    <cellStyle name="표준 7 10 3 2 2 3" xfId="3948" xr:uid="{00000000-0005-0000-0000-0000E8100000}"/>
    <cellStyle name="표준 7 10 3 2 2 3 2" xfId="7098" xr:uid="{00000000-0005-0000-0000-0000E9100000}"/>
    <cellStyle name="표준 7 10 3 2 2 4" xfId="4995" xr:uid="{00000000-0005-0000-0000-0000EA100000}"/>
    <cellStyle name="표준 7 10 3 2 2 4 2" xfId="8145" xr:uid="{00000000-0005-0000-0000-0000EB100000}"/>
    <cellStyle name="표준 7 10 3 2 2 5" xfId="6051" xr:uid="{00000000-0005-0000-0000-0000EC100000}"/>
    <cellStyle name="표준 7 10 3 2 3" xfId="3240" xr:uid="{00000000-0005-0000-0000-0000ED100000}"/>
    <cellStyle name="표준 7 10 3 2 3 2" xfId="4287" xr:uid="{00000000-0005-0000-0000-0000EE100000}"/>
    <cellStyle name="표준 7 10 3 2 3 2 2" xfId="7437" xr:uid="{00000000-0005-0000-0000-0000EF100000}"/>
    <cellStyle name="표준 7 10 3 2 3 3" xfId="5325" xr:uid="{00000000-0005-0000-0000-0000F0100000}"/>
    <cellStyle name="표준 7 10 3 2 3 3 2" xfId="8474" xr:uid="{00000000-0005-0000-0000-0000F1100000}"/>
    <cellStyle name="표준 7 10 3 2 3 4" xfId="6390" xr:uid="{00000000-0005-0000-0000-0000F2100000}"/>
    <cellStyle name="표준 7 10 3 2 4" xfId="3758" xr:uid="{00000000-0005-0000-0000-0000F3100000}"/>
    <cellStyle name="표준 7 10 3 2 4 2" xfId="6908" xr:uid="{00000000-0005-0000-0000-0000F4100000}"/>
    <cellStyle name="표준 7 10 3 2 5" xfId="4805" xr:uid="{00000000-0005-0000-0000-0000F5100000}"/>
    <cellStyle name="표준 7 10 3 2 5 2" xfId="7955" xr:uid="{00000000-0005-0000-0000-0000F6100000}"/>
    <cellStyle name="표준 7 10 3 2 6" xfId="5861" xr:uid="{00000000-0005-0000-0000-0000F7100000}"/>
    <cellStyle name="표준 7 10 3 3" xfId="2831" xr:uid="{00000000-0005-0000-0000-0000F8100000}"/>
    <cellStyle name="표준 7 10 3 3 2" xfId="3369" xr:uid="{00000000-0005-0000-0000-0000F9100000}"/>
    <cellStyle name="표준 7 10 3 3 2 2" xfId="4416" xr:uid="{00000000-0005-0000-0000-0000FA100000}"/>
    <cellStyle name="표준 7 10 3 3 2 2 2" xfId="7566" xr:uid="{00000000-0005-0000-0000-0000FB100000}"/>
    <cellStyle name="표준 7 10 3 3 2 3" xfId="5454" xr:uid="{00000000-0005-0000-0000-0000FC100000}"/>
    <cellStyle name="표준 7 10 3 3 2 3 2" xfId="8603" xr:uid="{00000000-0005-0000-0000-0000FD100000}"/>
    <cellStyle name="표준 7 10 3 3 2 4" xfId="6519" xr:uid="{00000000-0005-0000-0000-0000FE100000}"/>
    <cellStyle name="표준 7 10 3 3 3" xfId="3887" xr:uid="{00000000-0005-0000-0000-0000FF100000}"/>
    <cellStyle name="표준 7 10 3 3 3 2" xfId="7037" xr:uid="{00000000-0005-0000-0000-000000110000}"/>
    <cellStyle name="표준 7 10 3 3 4" xfId="4934" xr:uid="{00000000-0005-0000-0000-000001110000}"/>
    <cellStyle name="표준 7 10 3 3 4 2" xfId="8084" xr:uid="{00000000-0005-0000-0000-000002110000}"/>
    <cellStyle name="표준 7 10 3 3 5" xfId="5990" xr:uid="{00000000-0005-0000-0000-000003110000}"/>
    <cellStyle name="표준 7 10 3 4" xfId="3111" xr:uid="{00000000-0005-0000-0000-000004110000}"/>
    <cellStyle name="표준 7 10 3 4 2" xfId="4158" xr:uid="{00000000-0005-0000-0000-000005110000}"/>
    <cellStyle name="표준 7 10 3 4 2 2" xfId="7308" xr:uid="{00000000-0005-0000-0000-000006110000}"/>
    <cellStyle name="표준 7 10 3 4 3" xfId="5196" xr:uid="{00000000-0005-0000-0000-000007110000}"/>
    <cellStyle name="표준 7 10 3 4 3 2" xfId="8345" xr:uid="{00000000-0005-0000-0000-000008110000}"/>
    <cellStyle name="표준 7 10 3 4 4" xfId="6261" xr:uid="{00000000-0005-0000-0000-000009110000}"/>
    <cellStyle name="표준 7 10 3 5" xfId="3629" xr:uid="{00000000-0005-0000-0000-00000A110000}"/>
    <cellStyle name="표준 7 10 3 5 2" xfId="6779" xr:uid="{00000000-0005-0000-0000-00000B110000}"/>
    <cellStyle name="표준 7 10 3 6" xfId="4676" xr:uid="{00000000-0005-0000-0000-00000C110000}"/>
    <cellStyle name="표준 7 10 3 6 2" xfId="7826" xr:uid="{00000000-0005-0000-0000-00000D110000}"/>
    <cellStyle name="표준 7 10 3 7" xfId="5732" xr:uid="{00000000-0005-0000-0000-00000E110000}"/>
    <cellStyle name="표준 7 10 4" xfId="1846" xr:uid="{00000000-0005-0000-0000-00000F110000}"/>
    <cellStyle name="표준 7 10 4 2" xfId="2636" xr:uid="{00000000-0005-0000-0000-000010110000}"/>
    <cellStyle name="표준 7 10 4 2 2" xfId="2893" xr:uid="{00000000-0005-0000-0000-000011110000}"/>
    <cellStyle name="표준 7 10 4 2 2 2" xfId="3431" xr:uid="{00000000-0005-0000-0000-000012110000}"/>
    <cellStyle name="표준 7 10 4 2 2 2 2" xfId="4478" xr:uid="{00000000-0005-0000-0000-000013110000}"/>
    <cellStyle name="표준 7 10 4 2 2 2 2 2" xfId="7628" xr:uid="{00000000-0005-0000-0000-000014110000}"/>
    <cellStyle name="표준 7 10 4 2 2 2 3" xfId="5516" xr:uid="{00000000-0005-0000-0000-000015110000}"/>
    <cellStyle name="표준 7 10 4 2 2 2 3 2" xfId="8665" xr:uid="{00000000-0005-0000-0000-000016110000}"/>
    <cellStyle name="표준 7 10 4 2 2 2 4" xfId="6581" xr:uid="{00000000-0005-0000-0000-000017110000}"/>
    <cellStyle name="표준 7 10 4 2 2 3" xfId="3949" xr:uid="{00000000-0005-0000-0000-000018110000}"/>
    <cellStyle name="표준 7 10 4 2 2 3 2" xfId="7099" xr:uid="{00000000-0005-0000-0000-000019110000}"/>
    <cellStyle name="표준 7 10 4 2 2 4" xfId="4996" xr:uid="{00000000-0005-0000-0000-00001A110000}"/>
    <cellStyle name="표준 7 10 4 2 2 4 2" xfId="8146" xr:uid="{00000000-0005-0000-0000-00001B110000}"/>
    <cellStyle name="표준 7 10 4 2 2 5" xfId="6052" xr:uid="{00000000-0005-0000-0000-00001C110000}"/>
    <cellStyle name="표준 7 10 4 2 3" xfId="3174" xr:uid="{00000000-0005-0000-0000-00001D110000}"/>
    <cellStyle name="표준 7 10 4 2 3 2" xfId="4221" xr:uid="{00000000-0005-0000-0000-00001E110000}"/>
    <cellStyle name="표준 7 10 4 2 3 2 2" xfId="7371" xr:uid="{00000000-0005-0000-0000-00001F110000}"/>
    <cellStyle name="표준 7 10 4 2 3 3" xfId="5259" xr:uid="{00000000-0005-0000-0000-000020110000}"/>
    <cellStyle name="표준 7 10 4 2 3 3 2" xfId="8408" xr:uid="{00000000-0005-0000-0000-000021110000}"/>
    <cellStyle name="표준 7 10 4 2 3 4" xfId="6324" xr:uid="{00000000-0005-0000-0000-000022110000}"/>
    <cellStyle name="표준 7 10 4 2 4" xfId="3692" xr:uid="{00000000-0005-0000-0000-000023110000}"/>
    <cellStyle name="표준 7 10 4 2 4 2" xfId="6842" xr:uid="{00000000-0005-0000-0000-000024110000}"/>
    <cellStyle name="표준 7 10 4 2 5" xfId="4739" xr:uid="{00000000-0005-0000-0000-000025110000}"/>
    <cellStyle name="표준 7 10 4 2 5 2" xfId="7889" xr:uid="{00000000-0005-0000-0000-000026110000}"/>
    <cellStyle name="표준 7 10 4 2 6" xfId="5795" xr:uid="{00000000-0005-0000-0000-000027110000}"/>
    <cellStyle name="표준 7 10 4 3" xfId="2765" xr:uid="{00000000-0005-0000-0000-000028110000}"/>
    <cellStyle name="표준 7 10 4 3 2" xfId="3303" xr:uid="{00000000-0005-0000-0000-000029110000}"/>
    <cellStyle name="표준 7 10 4 3 2 2" xfId="4350" xr:uid="{00000000-0005-0000-0000-00002A110000}"/>
    <cellStyle name="표준 7 10 4 3 2 2 2" xfId="7500" xr:uid="{00000000-0005-0000-0000-00002B110000}"/>
    <cellStyle name="표준 7 10 4 3 2 3" xfId="5388" xr:uid="{00000000-0005-0000-0000-00002C110000}"/>
    <cellStyle name="표준 7 10 4 3 2 3 2" xfId="8537" xr:uid="{00000000-0005-0000-0000-00002D110000}"/>
    <cellStyle name="표준 7 10 4 3 2 4" xfId="6453" xr:uid="{00000000-0005-0000-0000-00002E110000}"/>
    <cellStyle name="표준 7 10 4 3 3" xfId="3821" xr:uid="{00000000-0005-0000-0000-00002F110000}"/>
    <cellStyle name="표준 7 10 4 3 3 2" xfId="6971" xr:uid="{00000000-0005-0000-0000-000030110000}"/>
    <cellStyle name="표준 7 10 4 3 4" xfId="4868" xr:uid="{00000000-0005-0000-0000-000031110000}"/>
    <cellStyle name="표준 7 10 4 3 4 2" xfId="8018" xr:uid="{00000000-0005-0000-0000-000032110000}"/>
    <cellStyle name="표준 7 10 4 3 5" xfId="5924" xr:uid="{00000000-0005-0000-0000-000033110000}"/>
    <cellStyle name="표준 7 10 4 4" xfId="3045" xr:uid="{00000000-0005-0000-0000-000034110000}"/>
    <cellStyle name="표준 7 10 4 4 2" xfId="4092" xr:uid="{00000000-0005-0000-0000-000035110000}"/>
    <cellStyle name="표준 7 10 4 4 2 2" xfId="7242" xr:uid="{00000000-0005-0000-0000-000036110000}"/>
    <cellStyle name="표준 7 10 4 4 3" xfId="5130" xr:uid="{00000000-0005-0000-0000-000037110000}"/>
    <cellStyle name="표준 7 10 4 4 3 2" xfId="8279" xr:uid="{00000000-0005-0000-0000-000038110000}"/>
    <cellStyle name="표준 7 10 4 4 4" xfId="6195" xr:uid="{00000000-0005-0000-0000-000039110000}"/>
    <cellStyle name="표준 7 10 4 5" xfId="3563" xr:uid="{00000000-0005-0000-0000-00003A110000}"/>
    <cellStyle name="표준 7 10 4 5 2" xfId="6713" xr:uid="{00000000-0005-0000-0000-00003B110000}"/>
    <cellStyle name="표준 7 10 4 6" xfId="4610" xr:uid="{00000000-0005-0000-0000-00003C110000}"/>
    <cellStyle name="표준 7 10 4 6 2" xfId="7760" xr:uid="{00000000-0005-0000-0000-00003D110000}"/>
    <cellStyle name="표준 7 10 4 7" xfId="5666" xr:uid="{00000000-0005-0000-0000-00003E110000}"/>
    <cellStyle name="표준 7 10 5" xfId="2607" xr:uid="{00000000-0005-0000-0000-00003F110000}"/>
    <cellStyle name="표준 7 10 5 2" xfId="2894" xr:uid="{00000000-0005-0000-0000-000040110000}"/>
    <cellStyle name="표준 7 10 5 2 2" xfId="3432" xr:uid="{00000000-0005-0000-0000-000041110000}"/>
    <cellStyle name="표준 7 10 5 2 2 2" xfId="4479" xr:uid="{00000000-0005-0000-0000-000042110000}"/>
    <cellStyle name="표준 7 10 5 2 2 2 2" xfId="7629" xr:uid="{00000000-0005-0000-0000-000043110000}"/>
    <cellStyle name="표준 7 10 5 2 2 3" xfId="5517" xr:uid="{00000000-0005-0000-0000-000044110000}"/>
    <cellStyle name="표준 7 10 5 2 2 3 2" xfId="8666" xr:uid="{00000000-0005-0000-0000-000045110000}"/>
    <cellStyle name="표준 7 10 5 2 2 4" xfId="6582" xr:uid="{00000000-0005-0000-0000-000046110000}"/>
    <cellStyle name="표준 7 10 5 2 3" xfId="3950" xr:uid="{00000000-0005-0000-0000-000047110000}"/>
    <cellStyle name="표준 7 10 5 2 3 2" xfId="7100" xr:uid="{00000000-0005-0000-0000-000048110000}"/>
    <cellStyle name="표준 7 10 5 2 4" xfId="4997" xr:uid="{00000000-0005-0000-0000-000049110000}"/>
    <cellStyle name="표준 7 10 5 2 4 2" xfId="8147" xr:uid="{00000000-0005-0000-0000-00004A110000}"/>
    <cellStyle name="표준 7 10 5 2 5" xfId="6053" xr:uid="{00000000-0005-0000-0000-00004B110000}"/>
    <cellStyle name="표준 7 10 5 3" xfId="3145" xr:uid="{00000000-0005-0000-0000-00004C110000}"/>
    <cellStyle name="표준 7 10 5 3 2" xfId="4192" xr:uid="{00000000-0005-0000-0000-00004D110000}"/>
    <cellStyle name="표준 7 10 5 3 2 2" xfId="7342" xr:uid="{00000000-0005-0000-0000-00004E110000}"/>
    <cellStyle name="표준 7 10 5 3 3" xfId="5230" xr:uid="{00000000-0005-0000-0000-00004F110000}"/>
    <cellStyle name="표준 7 10 5 3 3 2" xfId="8379" xr:uid="{00000000-0005-0000-0000-000050110000}"/>
    <cellStyle name="표준 7 10 5 3 4" xfId="6295" xr:uid="{00000000-0005-0000-0000-000051110000}"/>
    <cellStyle name="표준 7 10 5 4" xfId="3663" xr:uid="{00000000-0005-0000-0000-000052110000}"/>
    <cellStyle name="표준 7 10 5 4 2" xfId="6813" xr:uid="{00000000-0005-0000-0000-000053110000}"/>
    <cellStyle name="표준 7 10 5 5" xfId="4710" xr:uid="{00000000-0005-0000-0000-000054110000}"/>
    <cellStyle name="표준 7 10 5 5 2" xfId="7860" xr:uid="{00000000-0005-0000-0000-000055110000}"/>
    <cellStyle name="표준 7 10 5 6" xfId="5766" xr:uid="{00000000-0005-0000-0000-000056110000}"/>
    <cellStyle name="표준 7 10 6" xfId="2736" xr:uid="{00000000-0005-0000-0000-000057110000}"/>
    <cellStyle name="표준 7 10 6 2" xfId="3274" xr:uid="{00000000-0005-0000-0000-000058110000}"/>
    <cellStyle name="표준 7 10 6 2 2" xfId="4321" xr:uid="{00000000-0005-0000-0000-000059110000}"/>
    <cellStyle name="표준 7 10 6 2 2 2" xfId="7471" xr:uid="{00000000-0005-0000-0000-00005A110000}"/>
    <cellStyle name="표준 7 10 6 2 3" xfId="5359" xr:uid="{00000000-0005-0000-0000-00005B110000}"/>
    <cellStyle name="표준 7 10 6 2 3 2" xfId="8508" xr:uid="{00000000-0005-0000-0000-00005C110000}"/>
    <cellStyle name="표준 7 10 6 2 4" xfId="6424" xr:uid="{00000000-0005-0000-0000-00005D110000}"/>
    <cellStyle name="표준 7 10 6 3" xfId="3792" xr:uid="{00000000-0005-0000-0000-00005E110000}"/>
    <cellStyle name="표준 7 10 6 3 2" xfId="6942" xr:uid="{00000000-0005-0000-0000-00005F110000}"/>
    <cellStyle name="표준 7 10 6 4" xfId="4839" xr:uid="{00000000-0005-0000-0000-000060110000}"/>
    <cellStyle name="표준 7 10 6 4 2" xfId="7989" xr:uid="{00000000-0005-0000-0000-000061110000}"/>
    <cellStyle name="표준 7 10 6 5" xfId="5895" xr:uid="{00000000-0005-0000-0000-000062110000}"/>
    <cellStyle name="표준 7 10 7" xfId="3016" xr:uid="{00000000-0005-0000-0000-000063110000}"/>
    <cellStyle name="표준 7 10 7 2" xfId="4063" xr:uid="{00000000-0005-0000-0000-000064110000}"/>
    <cellStyle name="표준 7 10 7 2 2" xfId="7213" xr:uid="{00000000-0005-0000-0000-000065110000}"/>
    <cellStyle name="표준 7 10 7 3" xfId="5101" xr:uid="{00000000-0005-0000-0000-000066110000}"/>
    <cellStyle name="표준 7 10 7 3 2" xfId="8250" xr:uid="{00000000-0005-0000-0000-000067110000}"/>
    <cellStyle name="표준 7 10 7 4" xfId="6166" xr:uid="{00000000-0005-0000-0000-000068110000}"/>
    <cellStyle name="표준 7 10 8" xfId="3534" xr:uid="{00000000-0005-0000-0000-000069110000}"/>
    <cellStyle name="표준 7 10 8 2" xfId="6684" xr:uid="{00000000-0005-0000-0000-00006A110000}"/>
    <cellStyle name="표준 7 10 9" xfId="4581" xr:uid="{00000000-0005-0000-0000-00006B110000}"/>
    <cellStyle name="표준 7 10 9 2" xfId="7731" xr:uid="{00000000-0005-0000-0000-00006C110000}"/>
    <cellStyle name="표준 7 11" xfId="1817" xr:uid="{00000000-0005-0000-0000-00006D110000}"/>
    <cellStyle name="표준 7 11 10" xfId="5641" xr:uid="{00000000-0005-0000-0000-00006E110000}"/>
    <cellStyle name="표준 7 11 2" xfId="1883" xr:uid="{00000000-0005-0000-0000-00006F110000}"/>
    <cellStyle name="표준 7 11 2 2" xfId="2673" xr:uid="{00000000-0005-0000-0000-000070110000}"/>
    <cellStyle name="표준 7 11 2 2 2" xfId="2895" xr:uid="{00000000-0005-0000-0000-000071110000}"/>
    <cellStyle name="표준 7 11 2 2 2 2" xfId="3433" xr:uid="{00000000-0005-0000-0000-000072110000}"/>
    <cellStyle name="표준 7 11 2 2 2 2 2" xfId="4480" xr:uid="{00000000-0005-0000-0000-000073110000}"/>
    <cellStyle name="표준 7 11 2 2 2 2 2 2" xfId="7630" xr:uid="{00000000-0005-0000-0000-000074110000}"/>
    <cellStyle name="표준 7 11 2 2 2 2 3" xfId="5518" xr:uid="{00000000-0005-0000-0000-000075110000}"/>
    <cellStyle name="표준 7 11 2 2 2 2 3 2" xfId="8667" xr:uid="{00000000-0005-0000-0000-000076110000}"/>
    <cellStyle name="표준 7 11 2 2 2 2 4" xfId="6583" xr:uid="{00000000-0005-0000-0000-000077110000}"/>
    <cellStyle name="표준 7 11 2 2 2 3" xfId="3951" xr:uid="{00000000-0005-0000-0000-000078110000}"/>
    <cellStyle name="표준 7 11 2 2 2 3 2" xfId="7101" xr:uid="{00000000-0005-0000-0000-000079110000}"/>
    <cellStyle name="표준 7 11 2 2 2 4" xfId="4998" xr:uid="{00000000-0005-0000-0000-00007A110000}"/>
    <cellStyle name="표준 7 11 2 2 2 4 2" xfId="8148" xr:uid="{00000000-0005-0000-0000-00007B110000}"/>
    <cellStyle name="표준 7 11 2 2 2 5" xfId="6054" xr:uid="{00000000-0005-0000-0000-00007C110000}"/>
    <cellStyle name="표준 7 11 2 2 3" xfId="3211" xr:uid="{00000000-0005-0000-0000-00007D110000}"/>
    <cellStyle name="표준 7 11 2 2 3 2" xfId="4258" xr:uid="{00000000-0005-0000-0000-00007E110000}"/>
    <cellStyle name="표준 7 11 2 2 3 2 2" xfId="7408" xr:uid="{00000000-0005-0000-0000-00007F110000}"/>
    <cellStyle name="표준 7 11 2 2 3 3" xfId="5296" xr:uid="{00000000-0005-0000-0000-000080110000}"/>
    <cellStyle name="표준 7 11 2 2 3 3 2" xfId="8445" xr:uid="{00000000-0005-0000-0000-000081110000}"/>
    <cellStyle name="표준 7 11 2 2 3 4" xfId="6361" xr:uid="{00000000-0005-0000-0000-000082110000}"/>
    <cellStyle name="표준 7 11 2 2 4" xfId="3729" xr:uid="{00000000-0005-0000-0000-000083110000}"/>
    <cellStyle name="표준 7 11 2 2 4 2" xfId="6879" xr:uid="{00000000-0005-0000-0000-000084110000}"/>
    <cellStyle name="표준 7 11 2 2 5" xfId="4776" xr:uid="{00000000-0005-0000-0000-000085110000}"/>
    <cellStyle name="표준 7 11 2 2 5 2" xfId="7926" xr:uid="{00000000-0005-0000-0000-000086110000}"/>
    <cellStyle name="표준 7 11 2 2 6" xfId="5832" xr:uid="{00000000-0005-0000-0000-000087110000}"/>
    <cellStyle name="표준 7 11 2 3" xfId="2802" xr:uid="{00000000-0005-0000-0000-000088110000}"/>
    <cellStyle name="표준 7 11 2 3 2" xfId="3340" xr:uid="{00000000-0005-0000-0000-000089110000}"/>
    <cellStyle name="표준 7 11 2 3 2 2" xfId="4387" xr:uid="{00000000-0005-0000-0000-00008A110000}"/>
    <cellStyle name="표준 7 11 2 3 2 2 2" xfId="7537" xr:uid="{00000000-0005-0000-0000-00008B110000}"/>
    <cellStyle name="표준 7 11 2 3 2 3" xfId="5425" xr:uid="{00000000-0005-0000-0000-00008C110000}"/>
    <cellStyle name="표준 7 11 2 3 2 3 2" xfId="8574" xr:uid="{00000000-0005-0000-0000-00008D110000}"/>
    <cellStyle name="표준 7 11 2 3 2 4" xfId="6490" xr:uid="{00000000-0005-0000-0000-00008E110000}"/>
    <cellStyle name="표준 7 11 2 3 3" xfId="3858" xr:uid="{00000000-0005-0000-0000-00008F110000}"/>
    <cellStyle name="표준 7 11 2 3 3 2" xfId="7008" xr:uid="{00000000-0005-0000-0000-000090110000}"/>
    <cellStyle name="표준 7 11 2 3 4" xfId="4905" xr:uid="{00000000-0005-0000-0000-000091110000}"/>
    <cellStyle name="표준 7 11 2 3 4 2" xfId="8055" xr:uid="{00000000-0005-0000-0000-000092110000}"/>
    <cellStyle name="표준 7 11 2 3 5" xfId="5961" xr:uid="{00000000-0005-0000-0000-000093110000}"/>
    <cellStyle name="표준 7 11 2 4" xfId="3082" xr:uid="{00000000-0005-0000-0000-000094110000}"/>
    <cellStyle name="표준 7 11 2 4 2" xfId="4129" xr:uid="{00000000-0005-0000-0000-000095110000}"/>
    <cellStyle name="표준 7 11 2 4 2 2" xfId="7279" xr:uid="{00000000-0005-0000-0000-000096110000}"/>
    <cellStyle name="표준 7 11 2 4 3" xfId="5167" xr:uid="{00000000-0005-0000-0000-000097110000}"/>
    <cellStyle name="표준 7 11 2 4 3 2" xfId="8316" xr:uid="{00000000-0005-0000-0000-000098110000}"/>
    <cellStyle name="표준 7 11 2 4 4" xfId="6232" xr:uid="{00000000-0005-0000-0000-000099110000}"/>
    <cellStyle name="표준 7 11 2 5" xfId="3600" xr:uid="{00000000-0005-0000-0000-00009A110000}"/>
    <cellStyle name="표준 7 11 2 5 2" xfId="6750" xr:uid="{00000000-0005-0000-0000-00009B110000}"/>
    <cellStyle name="표준 7 11 2 6" xfId="4647" xr:uid="{00000000-0005-0000-0000-00009C110000}"/>
    <cellStyle name="표준 7 11 2 6 2" xfId="7797" xr:uid="{00000000-0005-0000-0000-00009D110000}"/>
    <cellStyle name="표준 7 11 2 7" xfId="5703" xr:uid="{00000000-0005-0000-0000-00009E110000}"/>
    <cellStyle name="표준 7 11 3" xfId="1916" xr:uid="{00000000-0005-0000-0000-00009F110000}"/>
    <cellStyle name="표준 7 11 3 2" xfId="2706" xr:uid="{00000000-0005-0000-0000-0000A0110000}"/>
    <cellStyle name="표준 7 11 3 2 2" xfId="2896" xr:uid="{00000000-0005-0000-0000-0000A1110000}"/>
    <cellStyle name="표준 7 11 3 2 2 2" xfId="3434" xr:uid="{00000000-0005-0000-0000-0000A2110000}"/>
    <cellStyle name="표준 7 11 3 2 2 2 2" xfId="4481" xr:uid="{00000000-0005-0000-0000-0000A3110000}"/>
    <cellStyle name="표준 7 11 3 2 2 2 2 2" xfId="7631" xr:uid="{00000000-0005-0000-0000-0000A4110000}"/>
    <cellStyle name="표준 7 11 3 2 2 2 3" xfId="5519" xr:uid="{00000000-0005-0000-0000-0000A5110000}"/>
    <cellStyle name="표준 7 11 3 2 2 2 3 2" xfId="8668" xr:uid="{00000000-0005-0000-0000-0000A6110000}"/>
    <cellStyle name="표준 7 11 3 2 2 2 4" xfId="6584" xr:uid="{00000000-0005-0000-0000-0000A7110000}"/>
    <cellStyle name="표준 7 11 3 2 2 3" xfId="3952" xr:uid="{00000000-0005-0000-0000-0000A8110000}"/>
    <cellStyle name="표준 7 11 3 2 2 3 2" xfId="7102" xr:uid="{00000000-0005-0000-0000-0000A9110000}"/>
    <cellStyle name="표준 7 11 3 2 2 4" xfId="4999" xr:uid="{00000000-0005-0000-0000-0000AA110000}"/>
    <cellStyle name="표준 7 11 3 2 2 4 2" xfId="8149" xr:uid="{00000000-0005-0000-0000-0000AB110000}"/>
    <cellStyle name="표준 7 11 3 2 2 5" xfId="6055" xr:uid="{00000000-0005-0000-0000-0000AC110000}"/>
    <cellStyle name="표준 7 11 3 2 3" xfId="3244" xr:uid="{00000000-0005-0000-0000-0000AD110000}"/>
    <cellStyle name="표준 7 11 3 2 3 2" xfId="4291" xr:uid="{00000000-0005-0000-0000-0000AE110000}"/>
    <cellStyle name="표준 7 11 3 2 3 2 2" xfId="7441" xr:uid="{00000000-0005-0000-0000-0000AF110000}"/>
    <cellStyle name="표준 7 11 3 2 3 3" xfId="5329" xr:uid="{00000000-0005-0000-0000-0000B0110000}"/>
    <cellStyle name="표준 7 11 3 2 3 3 2" xfId="8478" xr:uid="{00000000-0005-0000-0000-0000B1110000}"/>
    <cellStyle name="표준 7 11 3 2 3 4" xfId="6394" xr:uid="{00000000-0005-0000-0000-0000B2110000}"/>
    <cellStyle name="표준 7 11 3 2 4" xfId="3762" xr:uid="{00000000-0005-0000-0000-0000B3110000}"/>
    <cellStyle name="표준 7 11 3 2 4 2" xfId="6912" xr:uid="{00000000-0005-0000-0000-0000B4110000}"/>
    <cellStyle name="표준 7 11 3 2 5" xfId="4809" xr:uid="{00000000-0005-0000-0000-0000B5110000}"/>
    <cellStyle name="표준 7 11 3 2 5 2" xfId="7959" xr:uid="{00000000-0005-0000-0000-0000B6110000}"/>
    <cellStyle name="표준 7 11 3 2 6" xfId="5865" xr:uid="{00000000-0005-0000-0000-0000B7110000}"/>
    <cellStyle name="표준 7 11 3 3" xfId="2835" xr:uid="{00000000-0005-0000-0000-0000B8110000}"/>
    <cellStyle name="표준 7 11 3 3 2" xfId="3373" xr:uid="{00000000-0005-0000-0000-0000B9110000}"/>
    <cellStyle name="표준 7 11 3 3 2 2" xfId="4420" xr:uid="{00000000-0005-0000-0000-0000BA110000}"/>
    <cellStyle name="표준 7 11 3 3 2 2 2" xfId="7570" xr:uid="{00000000-0005-0000-0000-0000BB110000}"/>
    <cellStyle name="표준 7 11 3 3 2 3" xfId="5458" xr:uid="{00000000-0005-0000-0000-0000BC110000}"/>
    <cellStyle name="표준 7 11 3 3 2 3 2" xfId="8607" xr:uid="{00000000-0005-0000-0000-0000BD110000}"/>
    <cellStyle name="표준 7 11 3 3 2 4" xfId="6523" xr:uid="{00000000-0005-0000-0000-0000BE110000}"/>
    <cellStyle name="표준 7 11 3 3 3" xfId="3891" xr:uid="{00000000-0005-0000-0000-0000BF110000}"/>
    <cellStyle name="표준 7 11 3 3 3 2" xfId="7041" xr:uid="{00000000-0005-0000-0000-0000C0110000}"/>
    <cellStyle name="표준 7 11 3 3 4" xfId="4938" xr:uid="{00000000-0005-0000-0000-0000C1110000}"/>
    <cellStyle name="표준 7 11 3 3 4 2" xfId="8088" xr:uid="{00000000-0005-0000-0000-0000C2110000}"/>
    <cellStyle name="표준 7 11 3 3 5" xfId="5994" xr:uid="{00000000-0005-0000-0000-0000C3110000}"/>
    <cellStyle name="표준 7 11 3 4" xfId="3115" xr:uid="{00000000-0005-0000-0000-0000C4110000}"/>
    <cellStyle name="표준 7 11 3 4 2" xfId="4162" xr:uid="{00000000-0005-0000-0000-0000C5110000}"/>
    <cellStyle name="표준 7 11 3 4 2 2" xfId="7312" xr:uid="{00000000-0005-0000-0000-0000C6110000}"/>
    <cellStyle name="표준 7 11 3 4 3" xfId="5200" xr:uid="{00000000-0005-0000-0000-0000C7110000}"/>
    <cellStyle name="표준 7 11 3 4 3 2" xfId="8349" xr:uid="{00000000-0005-0000-0000-0000C8110000}"/>
    <cellStyle name="표준 7 11 3 4 4" xfId="6265" xr:uid="{00000000-0005-0000-0000-0000C9110000}"/>
    <cellStyle name="표준 7 11 3 5" xfId="3633" xr:uid="{00000000-0005-0000-0000-0000CA110000}"/>
    <cellStyle name="표준 7 11 3 5 2" xfId="6783" xr:uid="{00000000-0005-0000-0000-0000CB110000}"/>
    <cellStyle name="표준 7 11 3 6" xfId="4680" xr:uid="{00000000-0005-0000-0000-0000CC110000}"/>
    <cellStyle name="표준 7 11 3 6 2" xfId="7830" xr:uid="{00000000-0005-0000-0000-0000CD110000}"/>
    <cellStyle name="표준 7 11 3 7" xfId="5736" xr:uid="{00000000-0005-0000-0000-0000CE110000}"/>
    <cellStyle name="표준 7 11 4" xfId="1850" xr:uid="{00000000-0005-0000-0000-0000CF110000}"/>
    <cellStyle name="표준 7 11 4 2" xfId="2640" xr:uid="{00000000-0005-0000-0000-0000D0110000}"/>
    <cellStyle name="표준 7 11 4 2 2" xfId="2897" xr:uid="{00000000-0005-0000-0000-0000D1110000}"/>
    <cellStyle name="표준 7 11 4 2 2 2" xfId="3435" xr:uid="{00000000-0005-0000-0000-0000D2110000}"/>
    <cellStyle name="표준 7 11 4 2 2 2 2" xfId="4482" xr:uid="{00000000-0005-0000-0000-0000D3110000}"/>
    <cellStyle name="표준 7 11 4 2 2 2 2 2" xfId="7632" xr:uid="{00000000-0005-0000-0000-0000D4110000}"/>
    <cellStyle name="표준 7 11 4 2 2 2 3" xfId="5520" xr:uid="{00000000-0005-0000-0000-0000D5110000}"/>
    <cellStyle name="표준 7 11 4 2 2 2 3 2" xfId="8669" xr:uid="{00000000-0005-0000-0000-0000D6110000}"/>
    <cellStyle name="표준 7 11 4 2 2 2 4" xfId="6585" xr:uid="{00000000-0005-0000-0000-0000D7110000}"/>
    <cellStyle name="표준 7 11 4 2 2 3" xfId="3953" xr:uid="{00000000-0005-0000-0000-0000D8110000}"/>
    <cellStyle name="표준 7 11 4 2 2 3 2" xfId="7103" xr:uid="{00000000-0005-0000-0000-0000D9110000}"/>
    <cellStyle name="표준 7 11 4 2 2 4" xfId="5000" xr:uid="{00000000-0005-0000-0000-0000DA110000}"/>
    <cellStyle name="표준 7 11 4 2 2 4 2" xfId="8150" xr:uid="{00000000-0005-0000-0000-0000DB110000}"/>
    <cellStyle name="표준 7 11 4 2 2 5" xfId="6056" xr:uid="{00000000-0005-0000-0000-0000DC110000}"/>
    <cellStyle name="표준 7 11 4 2 3" xfId="3178" xr:uid="{00000000-0005-0000-0000-0000DD110000}"/>
    <cellStyle name="표준 7 11 4 2 3 2" xfId="4225" xr:uid="{00000000-0005-0000-0000-0000DE110000}"/>
    <cellStyle name="표준 7 11 4 2 3 2 2" xfId="7375" xr:uid="{00000000-0005-0000-0000-0000DF110000}"/>
    <cellStyle name="표준 7 11 4 2 3 3" xfId="5263" xr:uid="{00000000-0005-0000-0000-0000E0110000}"/>
    <cellStyle name="표준 7 11 4 2 3 3 2" xfId="8412" xr:uid="{00000000-0005-0000-0000-0000E1110000}"/>
    <cellStyle name="표준 7 11 4 2 3 4" xfId="6328" xr:uid="{00000000-0005-0000-0000-0000E2110000}"/>
    <cellStyle name="표준 7 11 4 2 4" xfId="3696" xr:uid="{00000000-0005-0000-0000-0000E3110000}"/>
    <cellStyle name="표준 7 11 4 2 4 2" xfId="6846" xr:uid="{00000000-0005-0000-0000-0000E4110000}"/>
    <cellStyle name="표준 7 11 4 2 5" xfId="4743" xr:uid="{00000000-0005-0000-0000-0000E5110000}"/>
    <cellStyle name="표준 7 11 4 2 5 2" xfId="7893" xr:uid="{00000000-0005-0000-0000-0000E6110000}"/>
    <cellStyle name="표준 7 11 4 2 6" xfId="5799" xr:uid="{00000000-0005-0000-0000-0000E7110000}"/>
    <cellStyle name="표준 7 11 4 3" xfId="2769" xr:uid="{00000000-0005-0000-0000-0000E8110000}"/>
    <cellStyle name="표준 7 11 4 3 2" xfId="3307" xr:uid="{00000000-0005-0000-0000-0000E9110000}"/>
    <cellStyle name="표준 7 11 4 3 2 2" xfId="4354" xr:uid="{00000000-0005-0000-0000-0000EA110000}"/>
    <cellStyle name="표준 7 11 4 3 2 2 2" xfId="7504" xr:uid="{00000000-0005-0000-0000-0000EB110000}"/>
    <cellStyle name="표준 7 11 4 3 2 3" xfId="5392" xr:uid="{00000000-0005-0000-0000-0000EC110000}"/>
    <cellStyle name="표준 7 11 4 3 2 3 2" xfId="8541" xr:uid="{00000000-0005-0000-0000-0000ED110000}"/>
    <cellStyle name="표준 7 11 4 3 2 4" xfId="6457" xr:uid="{00000000-0005-0000-0000-0000EE110000}"/>
    <cellStyle name="표준 7 11 4 3 3" xfId="3825" xr:uid="{00000000-0005-0000-0000-0000EF110000}"/>
    <cellStyle name="표준 7 11 4 3 3 2" xfId="6975" xr:uid="{00000000-0005-0000-0000-0000F0110000}"/>
    <cellStyle name="표준 7 11 4 3 4" xfId="4872" xr:uid="{00000000-0005-0000-0000-0000F1110000}"/>
    <cellStyle name="표준 7 11 4 3 4 2" xfId="8022" xr:uid="{00000000-0005-0000-0000-0000F2110000}"/>
    <cellStyle name="표준 7 11 4 3 5" xfId="5928" xr:uid="{00000000-0005-0000-0000-0000F3110000}"/>
    <cellStyle name="표준 7 11 4 4" xfId="3049" xr:uid="{00000000-0005-0000-0000-0000F4110000}"/>
    <cellStyle name="표준 7 11 4 4 2" xfId="4096" xr:uid="{00000000-0005-0000-0000-0000F5110000}"/>
    <cellStyle name="표준 7 11 4 4 2 2" xfId="7246" xr:uid="{00000000-0005-0000-0000-0000F6110000}"/>
    <cellStyle name="표준 7 11 4 4 3" xfId="5134" xr:uid="{00000000-0005-0000-0000-0000F7110000}"/>
    <cellStyle name="표준 7 11 4 4 3 2" xfId="8283" xr:uid="{00000000-0005-0000-0000-0000F8110000}"/>
    <cellStyle name="표준 7 11 4 4 4" xfId="6199" xr:uid="{00000000-0005-0000-0000-0000F9110000}"/>
    <cellStyle name="표준 7 11 4 5" xfId="3567" xr:uid="{00000000-0005-0000-0000-0000FA110000}"/>
    <cellStyle name="표준 7 11 4 5 2" xfId="6717" xr:uid="{00000000-0005-0000-0000-0000FB110000}"/>
    <cellStyle name="표준 7 11 4 6" xfId="4614" xr:uid="{00000000-0005-0000-0000-0000FC110000}"/>
    <cellStyle name="표준 7 11 4 6 2" xfId="7764" xr:uid="{00000000-0005-0000-0000-0000FD110000}"/>
    <cellStyle name="표준 7 11 4 7" xfId="5670" xr:uid="{00000000-0005-0000-0000-0000FE110000}"/>
    <cellStyle name="표준 7 11 5" xfId="2611" xr:uid="{00000000-0005-0000-0000-0000FF110000}"/>
    <cellStyle name="표준 7 11 5 2" xfId="2898" xr:uid="{00000000-0005-0000-0000-000000120000}"/>
    <cellStyle name="표준 7 11 5 2 2" xfId="3436" xr:uid="{00000000-0005-0000-0000-000001120000}"/>
    <cellStyle name="표준 7 11 5 2 2 2" xfId="4483" xr:uid="{00000000-0005-0000-0000-000002120000}"/>
    <cellStyle name="표준 7 11 5 2 2 2 2" xfId="7633" xr:uid="{00000000-0005-0000-0000-000003120000}"/>
    <cellStyle name="표준 7 11 5 2 2 3" xfId="5521" xr:uid="{00000000-0005-0000-0000-000004120000}"/>
    <cellStyle name="표준 7 11 5 2 2 3 2" xfId="8670" xr:uid="{00000000-0005-0000-0000-000005120000}"/>
    <cellStyle name="표준 7 11 5 2 2 4" xfId="6586" xr:uid="{00000000-0005-0000-0000-000006120000}"/>
    <cellStyle name="표준 7 11 5 2 3" xfId="3954" xr:uid="{00000000-0005-0000-0000-000007120000}"/>
    <cellStyle name="표준 7 11 5 2 3 2" xfId="7104" xr:uid="{00000000-0005-0000-0000-000008120000}"/>
    <cellStyle name="표준 7 11 5 2 4" xfId="5001" xr:uid="{00000000-0005-0000-0000-000009120000}"/>
    <cellStyle name="표준 7 11 5 2 4 2" xfId="8151" xr:uid="{00000000-0005-0000-0000-00000A120000}"/>
    <cellStyle name="표준 7 11 5 2 5" xfId="6057" xr:uid="{00000000-0005-0000-0000-00000B120000}"/>
    <cellStyle name="표준 7 11 5 3" xfId="3149" xr:uid="{00000000-0005-0000-0000-00000C120000}"/>
    <cellStyle name="표준 7 11 5 3 2" xfId="4196" xr:uid="{00000000-0005-0000-0000-00000D120000}"/>
    <cellStyle name="표준 7 11 5 3 2 2" xfId="7346" xr:uid="{00000000-0005-0000-0000-00000E120000}"/>
    <cellStyle name="표준 7 11 5 3 3" xfId="5234" xr:uid="{00000000-0005-0000-0000-00000F120000}"/>
    <cellStyle name="표준 7 11 5 3 3 2" xfId="8383" xr:uid="{00000000-0005-0000-0000-000010120000}"/>
    <cellStyle name="표준 7 11 5 3 4" xfId="6299" xr:uid="{00000000-0005-0000-0000-000011120000}"/>
    <cellStyle name="표준 7 11 5 4" xfId="3667" xr:uid="{00000000-0005-0000-0000-000012120000}"/>
    <cellStyle name="표준 7 11 5 4 2" xfId="6817" xr:uid="{00000000-0005-0000-0000-000013120000}"/>
    <cellStyle name="표준 7 11 5 5" xfId="4714" xr:uid="{00000000-0005-0000-0000-000014120000}"/>
    <cellStyle name="표준 7 11 5 5 2" xfId="7864" xr:uid="{00000000-0005-0000-0000-000015120000}"/>
    <cellStyle name="표준 7 11 5 6" xfId="5770" xr:uid="{00000000-0005-0000-0000-000016120000}"/>
    <cellStyle name="표준 7 11 6" xfId="2740" xr:uid="{00000000-0005-0000-0000-000017120000}"/>
    <cellStyle name="표준 7 11 6 2" xfId="3278" xr:uid="{00000000-0005-0000-0000-000018120000}"/>
    <cellStyle name="표준 7 11 6 2 2" xfId="4325" xr:uid="{00000000-0005-0000-0000-000019120000}"/>
    <cellStyle name="표준 7 11 6 2 2 2" xfId="7475" xr:uid="{00000000-0005-0000-0000-00001A120000}"/>
    <cellStyle name="표준 7 11 6 2 3" xfId="5363" xr:uid="{00000000-0005-0000-0000-00001B120000}"/>
    <cellStyle name="표준 7 11 6 2 3 2" xfId="8512" xr:uid="{00000000-0005-0000-0000-00001C120000}"/>
    <cellStyle name="표준 7 11 6 2 4" xfId="6428" xr:uid="{00000000-0005-0000-0000-00001D120000}"/>
    <cellStyle name="표준 7 11 6 3" xfId="3796" xr:uid="{00000000-0005-0000-0000-00001E120000}"/>
    <cellStyle name="표준 7 11 6 3 2" xfId="6946" xr:uid="{00000000-0005-0000-0000-00001F120000}"/>
    <cellStyle name="표준 7 11 6 4" xfId="4843" xr:uid="{00000000-0005-0000-0000-000020120000}"/>
    <cellStyle name="표준 7 11 6 4 2" xfId="7993" xr:uid="{00000000-0005-0000-0000-000021120000}"/>
    <cellStyle name="표준 7 11 6 5" xfId="5899" xr:uid="{00000000-0005-0000-0000-000022120000}"/>
    <cellStyle name="표준 7 11 7" xfId="3020" xr:uid="{00000000-0005-0000-0000-000023120000}"/>
    <cellStyle name="표준 7 11 7 2" xfId="4067" xr:uid="{00000000-0005-0000-0000-000024120000}"/>
    <cellStyle name="표준 7 11 7 2 2" xfId="7217" xr:uid="{00000000-0005-0000-0000-000025120000}"/>
    <cellStyle name="표준 7 11 7 3" xfId="5105" xr:uid="{00000000-0005-0000-0000-000026120000}"/>
    <cellStyle name="표준 7 11 7 3 2" xfId="8254" xr:uid="{00000000-0005-0000-0000-000027120000}"/>
    <cellStyle name="표준 7 11 7 4" xfId="6170" xr:uid="{00000000-0005-0000-0000-000028120000}"/>
    <cellStyle name="표준 7 11 8" xfId="3538" xr:uid="{00000000-0005-0000-0000-000029120000}"/>
    <cellStyle name="표준 7 11 8 2" xfId="6688" xr:uid="{00000000-0005-0000-0000-00002A120000}"/>
    <cellStyle name="표준 7 11 9" xfId="4585" xr:uid="{00000000-0005-0000-0000-00002B120000}"/>
    <cellStyle name="표준 7 11 9 2" xfId="7735" xr:uid="{00000000-0005-0000-0000-00002C120000}"/>
    <cellStyle name="표준 7 12" xfId="1826" xr:uid="{00000000-0005-0000-0000-00002D120000}"/>
    <cellStyle name="표준 7 12 10" xfId="5646" xr:uid="{00000000-0005-0000-0000-00002E120000}"/>
    <cellStyle name="표준 7 12 2" xfId="1888" xr:uid="{00000000-0005-0000-0000-00002F120000}"/>
    <cellStyle name="표준 7 12 2 2" xfId="2678" xr:uid="{00000000-0005-0000-0000-000030120000}"/>
    <cellStyle name="표준 7 12 2 2 2" xfId="2899" xr:uid="{00000000-0005-0000-0000-000031120000}"/>
    <cellStyle name="표준 7 12 2 2 2 2" xfId="3437" xr:uid="{00000000-0005-0000-0000-000032120000}"/>
    <cellStyle name="표준 7 12 2 2 2 2 2" xfId="4484" xr:uid="{00000000-0005-0000-0000-000033120000}"/>
    <cellStyle name="표준 7 12 2 2 2 2 2 2" xfId="7634" xr:uid="{00000000-0005-0000-0000-000034120000}"/>
    <cellStyle name="표준 7 12 2 2 2 2 3" xfId="5522" xr:uid="{00000000-0005-0000-0000-000035120000}"/>
    <cellStyle name="표준 7 12 2 2 2 2 3 2" xfId="8671" xr:uid="{00000000-0005-0000-0000-000036120000}"/>
    <cellStyle name="표준 7 12 2 2 2 2 4" xfId="6587" xr:uid="{00000000-0005-0000-0000-000037120000}"/>
    <cellStyle name="표준 7 12 2 2 2 3" xfId="3955" xr:uid="{00000000-0005-0000-0000-000038120000}"/>
    <cellStyle name="표준 7 12 2 2 2 3 2" xfId="7105" xr:uid="{00000000-0005-0000-0000-000039120000}"/>
    <cellStyle name="표준 7 12 2 2 2 4" xfId="5002" xr:uid="{00000000-0005-0000-0000-00003A120000}"/>
    <cellStyle name="표준 7 12 2 2 2 4 2" xfId="8152" xr:uid="{00000000-0005-0000-0000-00003B120000}"/>
    <cellStyle name="표준 7 12 2 2 2 5" xfId="6058" xr:uid="{00000000-0005-0000-0000-00003C120000}"/>
    <cellStyle name="표준 7 12 2 2 3" xfId="3216" xr:uid="{00000000-0005-0000-0000-00003D120000}"/>
    <cellStyle name="표준 7 12 2 2 3 2" xfId="4263" xr:uid="{00000000-0005-0000-0000-00003E120000}"/>
    <cellStyle name="표준 7 12 2 2 3 2 2" xfId="7413" xr:uid="{00000000-0005-0000-0000-00003F120000}"/>
    <cellStyle name="표준 7 12 2 2 3 3" xfId="5301" xr:uid="{00000000-0005-0000-0000-000040120000}"/>
    <cellStyle name="표준 7 12 2 2 3 3 2" xfId="8450" xr:uid="{00000000-0005-0000-0000-000041120000}"/>
    <cellStyle name="표준 7 12 2 2 3 4" xfId="6366" xr:uid="{00000000-0005-0000-0000-000042120000}"/>
    <cellStyle name="표준 7 12 2 2 4" xfId="3734" xr:uid="{00000000-0005-0000-0000-000043120000}"/>
    <cellStyle name="표준 7 12 2 2 4 2" xfId="6884" xr:uid="{00000000-0005-0000-0000-000044120000}"/>
    <cellStyle name="표준 7 12 2 2 5" xfId="4781" xr:uid="{00000000-0005-0000-0000-000045120000}"/>
    <cellStyle name="표준 7 12 2 2 5 2" xfId="7931" xr:uid="{00000000-0005-0000-0000-000046120000}"/>
    <cellStyle name="표준 7 12 2 2 6" xfId="5837" xr:uid="{00000000-0005-0000-0000-000047120000}"/>
    <cellStyle name="표준 7 12 2 3" xfId="2807" xr:uid="{00000000-0005-0000-0000-000048120000}"/>
    <cellStyle name="표준 7 12 2 3 2" xfId="3345" xr:uid="{00000000-0005-0000-0000-000049120000}"/>
    <cellStyle name="표준 7 12 2 3 2 2" xfId="4392" xr:uid="{00000000-0005-0000-0000-00004A120000}"/>
    <cellStyle name="표준 7 12 2 3 2 2 2" xfId="7542" xr:uid="{00000000-0005-0000-0000-00004B120000}"/>
    <cellStyle name="표준 7 12 2 3 2 3" xfId="5430" xr:uid="{00000000-0005-0000-0000-00004C120000}"/>
    <cellStyle name="표준 7 12 2 3 2 3 2" xfId="8579" xr:uid="{00000000-0005-0000-0000-00004D120000}"/>
    <cellStyle name="표준 7 12 2 3 2 4" xfId="6495" xr:uid="{00000000-0005-0000-0000-00004E120000}"/>
    <cellStyle name="표준 7 12 2 3 3" xfId="3863" xr:uid="{00000000-0005-0000-0000-00004F120000}"/>
    <cellStyle name="표준 7 12 2 3 3 2" xfId="7013" xr:uid="{00000000-0005-0000-0000-000050120000}"/>
    <cellStyle name="표준 7 12 2 3 4" xfId="4910" xr:uid="{00000000-0005-0000-0000-000051120000}"/>
    <cellStyle name="표준 7 12 2 3 4 2" xfId="8060" xr:uid="{00000000-0005-0000-0000-000052120000}"/>
    <cellStyle name="표준 7 12 2 3 5" xfId="5966" xr:uid="{00000000-0005-0000-0000-000053120000}"/>
    <cellStyle name="표준 7 12 2 4" xfId="3087" xr:uid="{00000000-0005-0000-0000-000054120000}"/>
    <cellStyle name="표준 7 12 2 4 2" xfId="4134" xr:uid="{00000000-0005-0000-0000-000055120000}"/>
    <cellStyle name="표준 7 12 2 4 2 2" xfId="7284" xr:uid="{00000000-0005-0000-0000-000056120000}"/>
    <cellStyle name="표준 7 12 2 4 3" xfId="5172" xr:uid="{00000000-0005-0000-0000-000057120000}"/>
    <cellStyle name="표준 7 12 2 4 3 2" xfId="8321" xr:uid="{00000000-0005-0000-0000-000058120000}"/>
    <cellStyle name="표준 7 12 2 4 4" xfId="6237" xr:uid="{00000000-0005-0000-0000-000059120000}"/>
    <cellStyle name="표준 7 12 2 5" xfId="3605" xr:uid="{00000000-0005-0000-0000-00005A120000}"/>
    <cellStyle name="표준 7 12 2 5 2" xfId="6755" xr:uid="{00000000-0005-0000-0000-00005B120000}"/>
    <cellStyle name="표준 7 12 2 6" xfId="4652" xr:uid="{00000000-0005-0000-0000-00005C120000}"/>
    <cellStyle name="표준 7 12 2 6 2" xfId="7802" xr:uid="{00000000-0005-0000-0000-00005D120000}"/>
    <cellStyle name="표준 7 12 2 7" xfId="5708" xr:uid="{00000000-0005-0000-0000-00005E120000}"/>
    <cellStyle name="표준 7 12 3" xfId="1921" xr:uid="{00000000-0005-0000-0000-00005F120000}"/>
    <cellStyle name="표준 7 12 3 2" xfId="2711" xr:uid="{00000000-0005-0000-0000-000060120000}"/>
    <cellStyle name="표준 7 12 3 2 2" xfId="2900" xr:uid="{00000000-0005-0000-0000-000061120000}"/>
    <cellStyle name="표준 7 12 3 2 2 2" xfId="3438" xr:uid="{00000000-0005-0000-0000-000062120000}"/>
    <cellStyle name="표준 7 12 3 2 2 2 2" xfId="4485" xr:uid="{00000000-0005-0000-0000-000063120000}"/>
    <cellStyle name="표준 7 12 3 2 2 2 2 2" xfId="7635" xr:uid="{00000000-0005-0000-0000-000064120000}"/>
    <cellStyle name="표준 7 12 3 2 2 2 3" xfId="5523" xr:uid="{00000000-0005-0000-0000-000065120000}"/>
    <cellStyle name="표준 7 12 3 2 2 2 3 2" xfId="8672" xr:uid="{00000000-0005-0000-0000-000066120000}"/>
    <cellStyle name="표준 7 12 3 2 2 2 4" xfId="6588" xr:uid="{00000000-0005-0000-0000-000067120000}"/>
    <cellStyle name="표준 7 12 3 2 2 3" xfId="3956" xr:uid="{00000000-0005-0000-0000-000068120000}"/>
    <cellStyle name="표준 7 12 3 2 2 3 2" xfId="7106" xr:uid="{00000000-0005-0000-0000-000069120000}"/>
    <cellStyle name="표준 7 12 3 2 2 4" xfId="5003" xr:uid="{00000000-0005-0000-0000-00006A120000}"/>
    <cellStyle name="표준 7 12 3 2 2 4 2" xfId="8153" xr:uid="{00000000-0005-0000-0000-00006B120000}"/>
    <cellStyle name="표준 7 12 3 2 2 5" xfId="6059" xr:uid="{00000000-0005-0000-0000-00006C120000}"/>
    <cellStyle name="표준 7 12 3 2 3" xfId="3249" xr:uid="{00000000-0005-0000-0000-00006D120000}"/>
    <cellStyle name="표준 7 12 3 2 3 2" xfId="4296" xr:uid="{00000000-0005-0000-0000-00006E120000}"/>
    <cellStyle name="표준 7 12 3 2 3 2 2" xfId="7446" xr:uid="{00000000-0005-0000-0000-00006F120000}"/>
    <cellStyle name="표준 7 12 3 2 3 3" xfId="5334" xr:uid="{00000000-0005-0000-0000-000070120000}"/>
    <cellStyle name="표준 7 12 3 2 3 3 2" xfId="8483" xr:uid="{00000000-0005-0000-0000-000071120000}"/>
    <cellStyle name="표준 7 12 3 2 3 4" xfId="6399" xr:uid="{00000000-0005-0000-0000-000072120000}"/>
    <cellStyle name="표준 7 12 3 2 4" xfId="3767" xr:uid="{00000000-0005-0000-0000-000073120000}"/>
    <cellStyle name="표준 7 12 3 2 4 2" xfId="6917" xr:uid="{00000000-0005-0000-0000-000074120000}"/>
    <cellStyle name="표준 7 12 3 2 5" xfId="4814" xr:uid="{00000000-0005-0000-0000-000075120000}"/>
    <cellStyle name="표준 7 12 3 2 5 2" xfId="7964" xr:uid="{00000000-0005-0000-0000-000076120000}"/>
    <cellStyle name="표준 7 12 3 2 6" xfId="5870" xr:uid="{00000000-0005-0000-0000-000077120000}"/>
    <cellStyle name="표준 7 12 3 3" xfId="2840" xr:uid="{00000000-0005-0000-0000-000078120000}"/>
    <cellStyle name="표준 7 12 3 3 2" xfId="3378" xr:uid="{00000000-0005-0000-0000-000079120000}"/>
    <cellStyle name="표준 7 12 3 3 2 2" xfId="4425" xr:uid="{00000000-0005-0000-0000-00007A120000}"/>
    <cellStyle name="표준 7 12 3 3 2 2 2" xfId="7575" xr:uid="{00000000-0005-0000-0000-00007B120000}"/>
    <cellStyle name="표준 7 12 3 3 2 3" xfId="5463" xr:uid="{00000000-0005-0000-0000-00007C120000}"/>
    <cellStyle name="표준 7 12 3 3 2 3 2" xfId="8612" xr:uid="{00000000-0005-0000-0000-00007D120000}"/>
    <cellStyle name="표준 7 12 3 3 2 4" xfId="6528" xr:uid="{00000000-0005-0000-0000-00007E120000}"/>
    <cellStyle name="표준 7 12 3 3 3" xfId="3896" xr:uid="{00000000-0005-0000-0000-00007F120000}"/>
    <cellStyle name="표준 7 12 3 3 3 2" xfId="7046" xr:uid="{00000000-0005-0000-0000-000080120000}"/>
    <cellStyle name="표준 7 12 3 3 4" xfId="4943" xr:uid="{00000000-0005-0000-0000-000081120000}"/>
    <cellStyle name="표준 7 12 3 3 4 2" xfId="8093" xr:uid="{00000000-0005-0000-0000-000082120000}"/>
    <cellStyle name="표준 7 12 3 3 5" xfId="5999" xr:uid="{00000000-0005-0000-0000-000083120000}"/>
    <cellStyle name="표준 7 12 3 4" xfId="3120" xr:uid="{00000000-0005-0000-0000-000084120000}"/>
    <cellStyle name="표준 7 12 3 4 2" xfId="4167" xr:uid="{00000000-0005-0000-0000-000085120000}"/>
    <cellStyle name="표준 7 12 3 4 2 2" xfId="7317" xr:uid="{00000000-0005-0000-0000-000086120000}"/>
    <cellStyle name="표준 7 12 3 4 3" xfId="5205" xr:uid="{00000000-0005-0000-0000-000087120000}"/>
    <cellStyle name="표준 7 12 3 4 3 2" xfId="8354" xr:uid="{00000000-0005-0000-0000-000088120000}"/>
    <cellStyle name="표준 7 12 3 4 4" xfId="6270" xr:uid="{00000000-0005-0000-0000-000089120000}"/>
    <cellStyle name="표준 7 12 3 5" xfId="3638" xr:uid="{00000000-0005-0000-0000-00008A120000}"/>
    <cellStyle name="표준 7 12 3 5 2" xfId="6788" xr:uid="{00000000-0005-0000-0000-00008B120000}"/>
    <cellStyle name="표준 7 12 3 6" xfId="4685" xr:uid="{00000000-0005-0000-0000-00008C120000}"/>
    <cellStyle name="표준 7 12 3 6 2" xfId="7835" xr:uid="{00000000-0005-0000-0000-00008D120000}"/>
    <cellStyle name="표준 7 12 3 7" xfId="5741" xr:uid="{00000000-0005-0000-0000-00008E120000}"/>
    <cellStyle name="표준 7 12 4" xfId="1855" xr:uid="{00000000-0005-0000-0000-00008F120000}"/>
    <cellStyle name="표준 7 12 4 2" xfId="2645" xr:uid="{00000000-0005-0000-0000-000090120000}"/>
    <cellStyle name="표준 7 12 4 2 2" xfId="2901" xr:uid="{00000000-0005-0000-0000-000091120000}"/>
    <cellStyle name="표준 7 12 4 2 2 2" xfId="3439" xr:uid="{00000000-0005-0000-0000-000092120000}"/>
    <cellStyle name="표준 7 12 4 2 2 2 2" xfId="4486" xr:uid="{00000000-0005-0000-0000-000093120000}"/>
    <cellStyle name="표준 7 12 4 2 2 2 2 2" xfId="7636" xr:uid="{00000000-0005-0000-0000-000094120000}"/>
    <cellStyle name="표준 7 12 4 2 2 2 3" xfId="5524" xr:uid="{00000000-0005-0000-0000-000095120000}"/>
    <cellStyle name="표준 7 12 4 2 2 2 3 2" xfId="8673" xr:uid="{00000000-0005-0000-0000-000096120000}"/>
    <cellStyle name="표준 7 12 4 2 2 2 4" xfId="6589" xr:uid="{00000000-0005-0000-0000-000097120000}"/>
    <cellStyle name="표준 7 12 4 2 2 3" xfId="3957" xr:uid="{00000000-0005-0000-0000-000098120000}"/>
    <cellStyle name="표준 7 12 4 2 2 3 2" xfId="7107" xr:uid="{00000000-0005-0000-0000-000099120000}"/>
    <cellStyle name="표준 7 12 4 2 2 4" xfId="5004" xr:uid="{00000000-0005-0000-0000-00009A120000}"/>
    <cellStyle name="표준 7 12 4 2 2 4 2" xfId="8154" xr:uid="{00000000-0005-0000-0000-00009B120000}"/>
    <cellStyle name="표준 7 12 4 2 2 5" xfId="6060" xr:uid="{00000000-0005-0000-0000-00009C120000}"/>
    <cellStyle name="표준 7 12 4 2 3" xfId="3183" xr:uid="{00000000-0005-0000-0000-00009D120000}"/>
    <cellStyle name="표준 7 12 4 2 3 2" xfId="4230" xr:uid="{00000000-0005-0000-0000-00009E120000}"/>
    <cellStyle name="표준 7 12 4 2 3 2 2" xfId="7380" xr:uid="{00000000-0005-0000-0000-00009F120000}"/>
    <cellStyle name="표준 7 12 4 2 3 3" xfId="5268" xr:uid="{00000000-0005-0000-0000-0000A0120000}"/>
    <cellStyle name="표준 7 12 4 2 3 3 2" xfId="8417" xr:uid="{00000000-0005-0000-0000-0000A1120000}"/>
    <cellStyle name="표준 7 12 4 2 3 4" xfId="6333" xr:uid="{00000000-0005-0000-0000-0000A2120000}"/>
    <cellStyle name="표준 7 12 4 2 4" xfId="3701" xr:uid="{00000000-0005-0000-0000-0000A3120000}"/>
    <cellStyle name="표준 7 12 4 2 4 2" xfId="6851" xr:uid="{00000000-0005-0000-0000-0000A4120000}"/>
    <cellStyle name="표준 7 12 4 2 5" xfId="4748" xr:uid="{00000000-0005-0000-0000-0000A5120000}"/>
    <cellStyle name="표준 7 12 4 2 5 2" xfId="7898" xr:uid="{00000000-0005-0000-0000-0000A6120000}"/>
    <cellStyle name="표준 7 12 4 2 6" xfId="5804" xr:uid="{00000000-0005-0000-0000-0000A7120000}"/>
    <cellStyle name="표준 7 12 4 3" xfId="2774" xr:uid="{00000000-0005-0000-0000-0000A8120000}"/>
    <cellStyle name="표준 7 12 4 3 2" xfId="3312" xr:uid="{00000000-0005-0000-0000-0000A9120000}"/>
    <cellStyle name="표준 7 12 4 3 2 2" xfId="4359" xr:uid="{00000000-0005-0000-0000-0000AA120000}"/>
    <cellStyle name="표준 7 12 4 3 2 2 2" xfId="7509" xr:uid="{00000000-0005-0000-0000-0000AB120000}"/>
    <cellStyle name="표준 7 12 4 3 2 3" xfId="5397" xr:uid="{00000000-0005-0000-0000-0000AC120000}"/>
    <cellStyle name="표준 7 12 4 3 2 3 2" xfId="8546" xr:uid="{00000000-0005-0000-0000-0000AD120000}"/>
    <cellStyle name="표준 7 12 4 3 2 4" xfId="6462" xr:uid="{00000000-0005-0000-0000-0000AE120000}"/>
    <cellStyle name="표준 7 12 4 3 3" xfId="3830" xr:uid="{00000000-0005-0000-0000-0000AF120000}"/>
    <cellStyle name="표준 7 12 4 3 3 2" xfId="6980" xr:uid="{00000000-0005-0000-0000-0000B0120000}"/>
    <cellStyle name="표준 7 12 4 3 4" xfId="4877" xr:uid="{00000000-0005-0000-0000-0000B1120000}"/>
    <cellStyle name="표준 7 12 4 3 4 2" xfId="8027" xr:uid="{00000000-0005-0000-0000-0000B2120000}"/>
    <cellStyle name="표준 7 12 4 3 5" xfId="5933" xr:uid="{00000000-0005-0000-0000-0000B3120000}"/>
    <cellStyle name="표준 7 12 4 4" xfId="3054" xr:uid="{00000000-0005-0000-0000-0000B4120000}"/>
    <cellStyle name="표준 7 12 4 4 2" xfId="4101" xr:uid="{00000000-0005-0000-0000-0000B5120000}"/>
    <cellStyle name="표준 7 12 4 4 2 2" xfId="7251" xr:uid="{00000000-0005-0000-0000-0000B6120000}"/>
    <cellStyle name="표준 7 12 4 4 3" xfId="5139" xr:uid="{00000000-0005-0000-0000-0000B7120000}"/>
    <cellStyle name="표준 7 12 4 4 3 2" xfId="8288" xr:uid="{00000000-0005-0000-0000-0000B8120000}"/>
    <cellStyle name="표준 7 12 4 4 4" xfId="6204" xr:uid="{00000000-0005-0000-0000-0000B9120000}"/>
    <cellStyle name="표준 7 12 4 5" xfId="3572" xr:uid="{00000000-0005-0000-0000-0000BA120000}"/>
    <cellStyle name="표준 7 12 4 5 2" xfId="6722" xr:uid="{00000000-0005-0000-0000-0000BB120000}"/>
    <cellStyle name="표준 7 12 4 6" xfId="4619" xr:uid="{00000000-0005-0000-0000-0000BC120000}"/>
    <cellStyle name="표준 7 12 4 6 2" xfId="7769" xr:uid="{00000000-0005-0000-0000-0000BD120000}"/>
    <cellStyle name="표준 7 12 4 7" xfId="5675" xr:uid="{00000000-0005-0000-0000-0000BE120000}"/>
    <cellStyle name="표준 7 12 5" xfId="2616" xr:uid="{00000000-0005-0000-0000-0000BF120000}"/>
    <cellStyle name="표준 7 12 5 2" xfId="2902" xr:uid="{00000000-0005-0000-0000-0000C0120000}"/>
    <cellStyle name="표준 7 12 5 2 2" xfId="3440" xr:uid="{00000000-0005-0000-0000-0000C1120000}"/>
    <cellStyle name="표준 7 12 5 2 2 2" xfId="4487" xr:uid="{00000000-0005-0000-0000-0000C2120000}"/>
    <cellStyle name="표준 7 12 5 2 2 2 2" xfId="7637" xr:uid="{00000000-0005-0000-0000-0000C3120000}"/>
    <cellStyle name="표준 7 12 5 2 2 3" xfId="5525" xr:uid="{00000000-0005-0000-0000-0000C4120000}"/>
    <cellStyle name="표준 7 12 5 2 2 3 2" xfId="8674" xr:uid="{00000000-0005-0000-0000-0000C5120000}"/>
    <cellStyle name="표준 7 12 5 2 2 4" xfId="6590" xr:uid="{00000000-0005-0000-0000-0000C6120000}"/>
    <cellStyle name="표준 7 12 5 2 3" xfId="3958" xr:uid="{00000000-0005-0000-0000-0000C7120000}"/>
    <cellStyle name="표준 7 12 5 2 3 2" xfId="7108" xr:uid="{00000000-0005-0000-0000-0000C8120000}"/>
    <cellStyle name="표준 7 12 5 2 4" xfId="5005" xr:uid="{00000000-0005-0000-0000-0000C9120000}"/>
    <cellStyle name="표준 7 12 5 2 4 2" xfId="8155" xr:uid="{00000000-0005-0000-0000-0000CA120000}"/>
    <cellStyle name="표준 7 12 5 2 5" xfId="6061" xr:uid="{00000000-0005-0000-0000-0000CB120000}"/>
    <cellStyle name="표준 7 12 5 3" xfId="3154" xr:uid="{00000000-0005-0000-0000-0000CC120000}"/>
    <cellStyle name="표준 7 12 5 3 2" xfId="4201" xr:uid="{00000000-0005-0000-0000-0000CD120000}"/>
    <cellStyle name="표준 7 12 5 3 2 2" xfId="7351" xr:uid="{00000000-0005-0000-0000-0000CE120000}"/>
    <cellStyle name="표준 7 12 5 3 3" xfId="5239" xr:uid="{00000000-0005-0000-0000-0000CF120000}"/>
    <cellStyle name="표준 7 12 5 3 3 2" xfId="8388" xr:uid="{00000000-0005-0000-0000-0000D0120000}"/>
    <cellStyle name="표준 7 12 5 3 4" xfId="6304" xr:uid="{00000000-0005-0000-0000-0000D1120000}"/>
    <cellStyle name="표준 7 12 5 4" xfId="3672" xr:uid="{00000000-0005-0000-0000-0000D2120000}"/>
    <cellStyle name="표준 7 12 5 4 2" xfId="6822" xr:uid="{00000000-0005-0000-0000-0000D3120000}"/>
    <cellStyle name="표준 7 12 5 5" xfId="4719" xr:uid="{00000000-0005-0000-0000-0000D4120000}"/>
    <cellStyle name="표준 7 12 5 5 2" xfId="7869" xr:uid="{00000000-0005-0000-0000-0000D5120000}"/>
    <cellStyle name="표준 7 12 5 6" xfId="5775" xr:uid="{00000000-0005-0000-0000-0000D6120000}"/>
    <cellStyle name="표준 7 12 6" xfId="2745" xr:uid="{00000000-0005-0000-0000-0000D7120000}"/>
    <cellStyle name="표준 7 12 6 2" xfId="3283" xr:uid="{00000000-0005-0000-0000-0000D8120000}"/>
    <cellStyle name="표준 7 12 6 2 2" xfId="4330" xr:uid="{00000000-0005-0000-0000-0000D9120000}"/>
    <cellStyle name="표준 7 12 6 2 2 2" xfId="7480" xr:uid="{00000000-0005-0000-0000-0000DA120000}"/>
    <cellStyle name="표준 7 12 6 2 3" xfId="5368" xr:uid="{00000000-0005-0000-0000-0000DB120000}"/>
    <cellStyle name="표준 7 12 6 2 3 2" xfId="8517" xr:uid="{00000000-0005-0000-0000-0000DC120000}"/>
    <cellStyle name="표준 7 12 6 2 4" xfId="6433" xr:uid="{00000000-0005-0000-0000-0000DD120000}"/>
    <cellStyle name="표준 7 12 6 3" xfId="3801" xr:uid="{00000000-0005-0000-0000-0000DE120000}"/>
    <cellStyle name="표준 7 12 6 3 2" xfId="6951" xr:uid="{00000000-0005-0000-0000-0000DF120000}"/>
    <cellStyle name="표준 7 12 6 4" xfId="4848" xr:uid="{00000000-0005-0000-0000-0000E0120000}"/>
    <cellStyle name="표준 7 12 6 4 2" xfId="7998" xr:uid="{00000000-0005-0000-0000-0000E1120000}"/>
    <cellStyle name="표준 7 12 6 5" xfId="5904" xr:uid="{00000000-0005-0000-0000-0000E2120000}"/>
    <cellStyle name="표준 7 12 7" xfId="3025" xr:uid="{00000000-0005-0000-0000-0000E3120000}"/>
    <cellStyle name="표준 7 12 7 2" xfId="4072" xr:uid="{00000000-0005-0000-0000-0000E4120000}"/>
    <cellStyle name="표준 7 12 7 2 2" xfId="7222" xr:uid="{00000000-0005-0000-0000-0000E5120000}"/>
    <cellStyle name="표준 7 12 7 3" xfId="5110" xr:uid="{00000000-0005-0000-0000-0000E6120000}"/>
    <cellStyle name="표준 7 12 7 3 2" xfId="8259" xr:uid="{00000000-0005-0000-0000-0000E7120000}"/>
    <cellStyle name="표준 7 12 7 4" xfId="6175" xr:uid="{00000000-0005-0000-0000-0000E8120000}"/>
    <cellStyle name="표준 7 12 8" xfId="3543" xr:uid="{00000000-0005-0000-0000-0000E9120000}"/>
    <cellStyle name="표준 7 12 8 2" xfId="6693" xr:uid="{00000000-0005-0000-0000-0000EA120000}"/>
    <cellStyle name="표준 7 12 9" xfId="4590" xr:uid="{00000000-0005-0000-0000-0000EB120000}"/>
    <cellStyle name="표준 7 12 9 2" xfId="7740" xr:uid="{00000000-0005-0000-0000-0000EC120000}"/>
    <cellStyle name="표준 7 13" xfId="1830" xr:uid="{00000000-0005-0000-0000-0000ED120000}"/>
    <cellStyle name="표준 7 13 10" xfId="5650" xr:uid="{00000000-0005-0000-0000-0000EE120000}"/>
    <cellStyle name="표준 7 13 2" xfId="1892" xr:uid="{00000000-0005-0000-0000-0000EF120000}"/>
    <cellStyle name="표준 7 13 2 2" xfId="2682" xr:uid="{00000000-0005-0000-0000-0000F0120000}"/>
    <cellStyle name="표준 7 13 2 2 2" xfId="2903" xr:uid="{00000000-0005-0000-0000-0000F1120000}"/>
    <cellStyle name="표준 7 13 2 2 2 2" xfId="3441" xr:uid="{00000000-0005-0000-0000-0000F2120000}"/>
    <cellStyle name="표준 7 13 2 2 2 2 2" xfId="4488" xr:uid="{00000000-0005-0000-0000-0000F3120000}"/>
    <cellStyle name="표준 7 13 2 2 2 2 2 2" xfId="7638" xr:uid="{00000000-0005-0000-0000-0000F4120000}"/>
    <cellStyle name="표준 7 13 2 2 2 2 3" xfId="5526" xr:uid="{00000000-0005-0000-0000-0000F5120000}"/>
    <cellStyle name="표준 7 13 2 2 2 2 3 2" xfId="8675" xr:uid="{00000000-0005-0000-0000-0000F6120000}"/>
    <cellStyle name="표준 7 13 2 2 2 2 4" xfId="6591" xr:uid="{00000000-0005-0000-0000-0000F7120000}"/>
    <cellStyle name="표준 7 13 2 2 2 3" xfId="3959" xr:uid="{00000000-0005-0000-0000-0000F8120000}"/>
    <cellStyle name="표준 7 13 2 2 2 3 2" xfId="7109" xr:uid="{00000000-0005-0000-0000-0000F9120000}"/>
    <cellStyle name="표준 7 13 2 2 2 4" xfId="5006" xr:uid="{00000000-0005-0000-0000-0000FA120000}"/>
    <cellStyle name="표준 7 13 2 2 2 4 2" xfId="8156" xr:uid="{00000000-0005-0000-0000-0000FB120000}"/>
    <cellStyle name="표준 7 13 2 2 2 5" xfId="6062" xr:uid="{00000000-0005-0000-0000-0000FC120000}"/>
    <cellStyle name="표준 7 13 2 2 3" xfId="3220" xr:uid="{00000000-0005-0000-0000-0000FD120000}"/>
    <cellStyle name="표준 7 13 2 2 3 2" xfId="4267" xr:uid="{00000000-0005-0000-0000-0000FE120000}"/>
    <cellStyle name="표준 7 13 2 2 3 2 2" xfId="7417" xr:uid="{00000000-0005-0000-0000-0000FF120000}"/>
    <cellStyle name="표준 7 13 2 2 3 3" xfId="5305" xr:uid="{00000000-0005-0000-0000-000000130000}"/>
    <cellStyle name="표준 7 13 2 2 3 3 2" xfId="8454" xr:uid="{00000000-0005-0000-0000-000001130000}"/>
    <cellStyle name="표준 7 13 2 2 3 4" xfId="6370" xr:uid="{00000000-0005-0000-0000-000002130000}"/>
    <cellStyle name="표준 7 13 2 2 4" xfId="3738" xr:uid="{00000000-0005-0000-0000-000003130000}"/>
    <cellStyle name="표준 7 13 2 2 4 2" xfId="6888" xr:uid="{00000000-0005-0000-0000-000004130000}"/>
    <cellStyle name="표준 7 13 2 2 5" xfId="4785" xr:uid="{00000000-0005-0000-0000-000005130000}"/>
    <cellStyle name="표준 7 13 2 2 5 2" xfId="7935" xr:uid="{00000000-0005-0000-0000-000006130000}"/>
    <cellStyle name="표준 7 13 2 2 6" xfId="5841" xr:uid="{00000000-0005-0000-0000-000007130000}"/>
    <cellStyle name="표준 7 13 2 3" xfId="2811" xr:uid="{00000000-0005-0000-0000-000008130000}"/>
    <cellStyle name="표준 7 13 2 3 2" xfId="3349" xr:uid="{00000000-0005-0000-0000-000009130000}"/>
    <cellStyle name="표준 7 13 2 3 2 2" xfId="4396" xr:uid="{00000000-0005-0000-0000-00000A130000}"/>
    <cellStyle name="표준 7 13 2 3 2 2 2" xfId="7546" xr:uid="{00000000-0005-0000-0000-00000B130000}"/>
    <cellStyle name="표준 7 13 2 3 2 3" xfId="5434" xr:uid="{00000000-0005-0000-0000-00000C130000}"/>
    <cellStyle name="표준 7 13 2 3 2 3 2" xfId="8583" xr:uid="{00000000-0005-0000-0000-00000D130000}"/>
    <cellStyle name="표준 7 13 2 3 2 4" xfId="6499" xr:uid="{00000000-0005-0000-0000-00000E130000}"/>
    <cellStyle name="표준 7 13 2 3 3" xfId="3867" xr:uid="{00000000-0005-0000-0000-00000F130000}"/>
    <cellStyle name="표준 7 13 2 3 3 2" xfId="7017" xr:uid="{00000000-0005-0000-0000-000010130000}"/>
    <cellStyle name="표준 7 13 2 3 4" xfId="4914" xr:uid="{00000000-0005-0000-0000-000011130000}"/>
    <cellStyle name="표준 7 13 2 3 4 2" xfId="8064" xr:uid="{00000000-0005-0000-0000-000012130000}"/>
    <cellStyle name="표준 7 13 2 3 5" xfId="5970" xr:uid="{00000000-0005-0000-0000-000013130000}"/>
    <cellStyle name="표준 7 13 2 4" xfId="3091" xr:uid="{00000000-0005-0000-0000-000014130000}"/>
    <cellStyle name="표준 7 13 2 4 2" xfId="4138" xr:uid="{00000000-0005-0000-0000-000015130000}"/>
    <cellStyle name="표준 7 13 2 4 2 2" xfId="7288" xr:uid="{00000000-0005-0000-0000-000016130000}"/>
    <cellStyle name="표준 7 13 2 4 3" xfId="5176" xr:uid="{00000000-0005-0000-0000-000017130000}"/>
    <cellStyle name="표준 7 13 2 4 3 2" xfId="8325" xr:uid="{00000000-0005-0000-0000-000018130000}"/>
    <cellStyle name="표준 7 13 2 4 4" xfId="6241" xr:uid="{00000000-0005-0000-0000-000019130000}"/>
    <cellStyle name="표준 7 13 2 5" xfId="3609" xr:uid="{00000000-0005-0000-0000-00001A130000}"/>
    <cellStyle name="표준 7 13 2 5 2" xfId="6759" xr:uid="{00000000-0005-0000-0000-00001B130000}"/>
    <cellStyle name="표준 7 13 2 6" xfId="4656" xr:uid="{00000000-0005-0000-0000-00001C130000}"/>
    <cellStyle name="표준 7 13 2 6 2" xfId="7806" xr:uid="{00000000-0005-0000-0000-00001D130000}"/>
    <cellStyle name="표준 7 13 2 7" xfId="5712" xr:uid="{00000000-0005-0000-0000-00001E130000}"/>
    <cellStyle name="표준 7 13 3" xfId="1925" xr:uid="{00000000-0005-0000-0000-00001F130000}"/>
    <cellStyle name="표준 7 13 3 2" xfId="2715" xr:uid="{00000000-0005-0000-0000-000020130000}"/>
    <cellStyle name="표준 7 13 3 2 2" xfId="2904" xr:uid="{00000000-0005-0000-0000-000021130000}"/>
    <cellStyle name="표준 7 13 3 2 2 2" xfId="3442" xr:uid="{00000000-0005-0000-0000-000022130000}"/>
    <cellStyle name="표준 7 13 3 2 2 2 2" xfId="4489" xr:uid="{00000000-0005-0000-0000-000023130000}"/>
    <cellStyle name="표준 7 13 3 2 2 2 2 2" xfId="7639" xr:uid="{00000000-0005-0000-0000-000024130000}"/>
    <cellStyle name="표준 7 13 3 2 2 2 3" xfId="5527" xr:uid="{00000000-0005-0000-0000-000025130000}"/>
    <cellStyle name="표준 7 13 3 2 2 2 3 2" xfId="8676" xr:uid="{00000000-0005-0000-0000-000026130000}"/>
    <cellStyle name="표준 7 13 3 2 2 2 4" xfId="6592" xr:uid="{00000000-0005-0000-0000-000027130000}"/>
    <cellStyle name="표준 7 13 3 2 2 3" xfId="3960" xr:uid="{00000000-0005-0000-0000-000028130000}"/>
    <cellStyle name="표준 7 13 3 2 2 3 2" xfId="7110" xr:uid="{00000000-0005-0000-0000-000029130000}"/>
    <cellStyle name="표준 7 13 3 2 2 4" xfId="5007" xr:uid="{00000000-0005-0000-0000-00002A130000}"/>
    <cellStyle name="표준 7 13 3 2 2 4 2" xfId="8157" xr:uid="{00000000-0005-0000-0000-00002B130000}"/>
    <cellStyle name="표준 7 13 3 2 2 5" xfId="6063" xr:uid="{00000000-0005-0000-0000-00002C130000}"/>
    <cellStyle name="표준 7 13 3 2 3" xfId="3253" xr:uid="{00000000-0005-0000-0000-00002D130000}"/>
    <cellStyle name="표준 7 13 3 2 3 2" xfId="4300" xr:uid="{00000000-0005-0000-0000-00002E130000}"/>
    <cellStyle name="표준 7 13 3 2 3 2 2" xfId="7450" xr:uid="{00000000-0005-0000-0000-00002F130000}"/>
    <cellStyle name="표준 7 13 3 2 3 3" xfId="5338" xr:uid="{00000000-0005-0000-0000-000030130000}"/>
    <cellStyle name="표준 7 13 3 2 3 3 2" xfId="8487" xr:uid="{00000000-0005-0000-0000-000031130000}"/>
    <cellStyle name="표준 7 13 3 2 3 4" xfId="6403" xr:uid="{00000000-0005-0000-0000-000032130000}"/>
    <cellStyle name="표준 7 13 3 2 4" xfId="3771" xr:uid="{00000000-0005-0000-0000-000033130000}"/>
    <cellStyle name="표준 7 13 3 2 4 2" xfId="6921" xr:uid="{00000000-0005-0000-0000-000034130000}"/>
    <cellStyle name="표준 7 13 3 2 5" xfId="4818" xr:uid="{00000000-0005-0000-0000-000035130000}"/>
    <cellStyle name="표준 7 13 3 2 5 2" xfId="7968" xr:uid="{00000000-0005-0000-0000-000036130000}"/>
    <cellStyle name="표준 7 13 3 2 6" xfId="5874" xr:uid="{00000000-0005-0000-0000-000037130000}"/>
    <cellStyle name="표준 7 13 3 3" xfId="2844" xr:uid="{00000000-0005-0000-0000-000038130000}"/>
    <cellStyle name="표준 7 13 3 3 2" xfId="3382" xr:uid="{00000000-0005-0000-0000-000039130000}"/>
    <cellStyle name="표준 7 13 3 3 2 2" xfId="4429" xr:uid="{00000000-0005-0000-0000-00003A130000}"/>
    <cellStyle name="표준 7 13 3 3 2 2 2" xfId="7579" xr:uid="{00000000-0005-0000-0000-00003B130000}"/>
    <cellStyle name="표준 7 13 3 3 2 3" xfId="5467" xr:uid="{00000000-0005-0000-0000-00003C130000}"/>
    <cellStyle name="표준 7 13 3 3 2 3 2" xfId="8616" xr:uid="{00000000-0005-0000-0000-00003D130000}"/>
    <cellStyle name="표준 7 13 3 3 2 4" xfId="6532" xr:uid="{00000000-0005-0000-0000-00003E130000}"/>
    <cellStyle name="표준 7 13 3 3 3" xfId="3900" xr:uid="{00000000-0005-0000-0000-00003F130000}"/>
    <cellStyle name="표준 7 13 3 3 3 2" xfId="7050" xr:uid="{00000000-0005-0000-0000-000040130000}"/>
    <cellStyle name="표준 7 13 3 3 4" xfId="4947" xr:uid="{00000000-0005-0000-0000-000041130000}"/>
    <cellStyle name="표준 7 13 3 3 4 2" xfId="8097" xr:uid="{00000000-0005-0000-0000-000042130000}"/>
    <cellStyle name="표준 7 13 3 3 5" xfId="6003" xr:uid="{00000000-0005-0000-0000-000043130000}"/>
    <cellStyle name="표준 7 13 3 4" xfId="3124" xr:uid="{00000000-0005-0000-0000-000044130000}"/>
    <cellStyle name="표준 7 13 3 4 2" xfId="4171" xr:uid="{00000000-0005-0000-0000-000045130000}"/>
    <cellStyle name="표준 7 13 3 4 2 2" xfId="7321" xr:uid="{00000000-0005-0000-0000-000046130000}"/>
    <cellStyle name="표준 7 13 3 4 3" xfId="5209" xr:uid="{00000000-0005-0000-0000-000047130000}"/>
    <cellStyle name="표준 7 13 3 4 3 2" xfId="8358" xr:uid="{00000000-0005-0000-0000-000048130000}"/>
    <cellStyle name="표준 7 13 3 4 4" xfId="6274" xr:uid="{00000000-0005-0000-0000-000049130000}"/>
    <cellStyle name="표준 7 13 3 5" xfId="3642" xr:uid="{00000000-0005-0000-0000-00004A130000}"/>
    <cellStyle name="표준 7 13 3 5 2" xfId="6792" xr:uid="{00000000-0005-0000-0000-00004B130000}"/>
    <cellStyle name="표준 7 13 3 6" xfId="4689" xr:uid="{00000000-0005-0000-0000-00004C130000}"/>
    <cellStyle name="표준 7 13 3 6 2" xfId="7839" xr:uid="{00000000-0005-0000-0000-00004D130000}"/>
    <cellStyle name="표준 7 13 3 7" xfId="5745" xr:uid="{00000000-0005-0000-0000-00004E130000}"/>
    <cellStyle name="표준 7 13 4" xfId="1859" xr:uid="{00000000-0005-0000-0000-00004F130000}"/>
    <cellStyle name="표준 7 13 4 2" xfId="2649" xr:uid="{00000000-0005-0000-0000-000050130000}"/>
    <cellStyle name="표준 7 13 4 2 2" xfId="2905" xr:uid="{00000000-0005-0000-0000-000051130000}"/>
    <cellStyle name="표준 7 13 4 2 2 2" xfId="3443" xr:uid="{00000000-0005-0000-0000-000052130000}"/>
    <cellStyle name="표준 7 13 4 2 2 2 2" xfId="4490" xr:uid="{00000000-0005-0000-0000-000053130000}"/>
    <cellStyle name="표준 7 13 4 2 2 2 2 2" xfId="7640" xr:uid="{00000000-0005-0000-0000-000054130000}"/>
    <cellStyle name="표준 7 13 4 2 2 2 3" xfId="5528" xr:uid="{00000000-0005-0000-0000-000055130000}"/>
    <cellStyle name="표준 7 13 4 2 2 2 3 2" xfId="8677" xr:uid="{00000000-0005-0000-0000-000056130000}"/>
    <cellStyle name="표준 7 13 4 2 2 2 4" xfId="6593" xr:uid="{00000000-0005-0000-0000-000057130000}"/>
    <cellStyle name="표준 7 13 4 2 2 3" xfId="3961" xr:uid="{00000000-0005-0000-0000-000058130000}"/>
    <cellStyle name="표준 7 13 4 2 2 3 2" xfId="7111" xr:uid="{00000000-0005-0000-0000-000059130000}"/>
    <cellStyle name="표준 7 13 4 2 2 4" xfId="5008" xr:uid="{00000000-0005-0000-0000-00005A130000}"/>
    <cellStyle name="표준 7 13 4 2 2 4 2" xfId="8158" xr:uid="{00000000-0005-0000-0000-00005B130000}"/>
    <cellStyle name="표준 7 13 4 2 2 5" xfId="6064" xr:uid="{00000000-0005-0000-0000-00005C130000}"/>
    <cellStyle name="표준 7 13 4 2 3" xfId="3187" xr:uid="{00000000-0005-0000-0000-00005D130000}"/>
    <cellStyle name="표준 7 13 4 2 3 2" xfId="4234" xr:uid="{00000000-0005-0000-0000-00005E130000}"/>
    <cellStyle name="표준 7 13 4 2 3 2 2" xfId="7384" xr:uid="{00000000-0005-0000-0000-00005F130000}"/>
    <cellStyle name="표준 7 13 4 2 3 3" xfId="5272" xr:uid="{00000000-0005-0000-0000-000060130000}"/>
    <cellStyle name="표준 7 13 4 2 3 3 2" xfId="8421" xr:uid="{00000000-0005-0000-0000-000061130000}"/>
    <cellStyle name="표준 7 13 4 2 3 4" xfId="6337" xr:uid="{00000000-0005-0000-0000-000062130000}"/>
    <cellStyle name="표준 7 13 4 2 4" xfId="3705" xr:uid="{00000000-0005-0000-0000-000063130000}"/>
    <cellStyle name="표준 7 13 4 2 4 2" xfId="6855" xr:uid="{00000000-0005-0000-0000-000064130000}"/>
    <cellStyle name="표준 7 13 4 2 5" xfId="4752" xr:uid="{00000000-0005-0000-0000-000065130000}"/>
    <cellStyle name="표준 7 13 4 2 5 2" xfId="7902" xr:uid="{00000000-0005-0000-0000-000066130000}"/>
    <cellStyle name="표준 7 13 4 2 6" xfId="5808" xr:uid="{00000000-0005-0000-0000-000067130000}"/>
    <cellStyle name="표준 7 13 4 3" xfId="2778" xr:uid="{00000000-0005-0000-0000-000068130000}"/>
    <cellStyle name="표준 7 13 4 3 2" xfId="3316" xr:uid="{00000000-0005-0000-0000-000069130000}"/>
    <cellStyle name="표준 7 13 4 3 2 2" xfId="4363" xr:uid="{00000000-0005-0000-0000-00006A130000}"/>
    <cellStyle name="표준 7 13 4 3 2 2 2" xfId="7513" xr:uid="{00000000-0005-0000-0000-00006B130000}"/>
    <cellStyle name="표준 7 13 4 3 2 3" xfId="5401" xr:uid="{00000000-0005-0000-0000-00006C130000}"/>
    <cellStyle name="표준 7 13 4 3 2 3 2" xfId="8550" xr:uid="{00000000-0005-0000-0000-00006D130000}"/>
    <cellStyle name="표준 7 13 4 3 2 4" xfId="6466" xr:uid="{00000000-0005-0000-0000-00006E130000}"/>
    <cellStyle name="표준 7 13 4 3 3" xfId="3834" xr:uid="{00000000-0005-0000-0000-00006F130000}"/>
    <cellStyle name="표준 7 13 4 3 3 2" xfId="6984" xr:uid="{00000000-0005-0000-0000-000070130000}"/>
    <cellStyle name="표준 7 13 4 3 4" xfId="4881" xr:uid="{00000000-0005-0000-0000-000071130000}"/>
    <cellStyle name="표준 7 13 4 3 4 2" xfId="8031" xr:uid="{00000000-0005-0000-0000-000072130000}"/>
    <cellStyle name="표준 7 13 4 3 5" xfId="5937" xr:uid="{00000000-0005-0000-0000-000073130000}"/>
    <cellStyle name="표준 7 13 4 4" xfId="3058" xr:uid="{00000000-0005-0000-0000-000074130000}"/>
    <cellStyle name="표준 7 13 4 4 2" xfId="4105" xr:uid="{00000000-0005-0000-0000-000075130000}"/>
    <cellStyle name="표준 7 13 4 4 2 2" xfId="7255" xr:uid="{00000000-0005-0000-0000-000076130000}"/>
    <cellStyle name="표준 7 13 4 4 3" xfId="5143" xr:uid="{00000000-0005-0000-0000-000077130000}"/>
    <cellStyle name="표준 7 13 4 4 3 2" xfId="8292" xr:uid="{00000000-0005-0000-0000-000078130000}"/>
    <cellStyle name="표준 7 13 4 4 4" xfId="6208" xr:uid="{00000000-0005-0000-0000-000079130000}"/>
    <cellStyle name="표준 7 13 4 5" xfId="3576" xr:uid="{00000000-0005-0000-0000-00007A130000}"/>
    <cellStyle name="표준 7 13 4 5 2" xfId="6726" xr:uid="{00000000-0005-0000-0000-00007B130000}"/>
    <cellStyle name="표준 7 13 4 6" xfId="4623" xr:uid="{00000000-0005-0000-0000-00007C130000}"/>
    <cellStyle name="표준 7 13 4 6 2" xfId="7773" xr:uid="{00000000-0005-0000-0000-00007D130000}"/>
    <cellStyle name="표준 7 13 4 7" xfId="5679" xr:uid="{00000000-0005-0000-0000-00007E130000}"/>
    <cellStyle name="표준 7 13 5" xfId="2620" xr:uid="{00000000-0005-0000-0000-00007F130000}"/>
    <cellStyle name="표준 7 13 5 2" xfId="2906" xr:uid="{00000000-0005-0000-0000-000080130000}"/>
    <cellStyle name="표준 7 13 5 2 2" xfId="3444" xr:uid="{00000000-0005-0000-0000-000081130000}"/>
    <cellStyle name="표준 7 13 5 2 2 2" xfId="4491" xr:uid="{00000000-0005-0000-0000-000082130000}"/>
    <cellStyle name="표준 7 13 5 2 2 2 2" xfId="7641" xr:uid="{00000000-0005-0000-0000-000083130000}"/>
    <cellStyle name="표준 7 13 5 2 2 3" xfId="5529" xr:uid="{00000000-0005-0000-0000-000084130000}"/>
    <cellStyle name="표준 7 13 5 2 2 3 2" xfId="8678" xr:uid="{00000000-0005-0000-0000-000085130000}"/>
    <cellStyle name="표준 7 13 5 2 2 4" xfId="6594" xr:uid="{00000000-0005-0000-0000-000086130000}"/>
    <cellStyle name="표준 7 13 5 2 3" xfId="3962" xr:uid="{00000000-0005-0000-0000-000087130000}"/>
    <cellStyle name="표준 7 13 5 2 3 2" xfId="7112" xr:uid="{00000000-0005-0000-0000-000088130000}"/>
    <cellStyle name="표준 7 13 5 2 4" xfId="5009" xr:uid="{00000000-0005-0000-0000-000089130000}"/>
    <cellStyle name="표준 7 13 5 2 4 2" xfId="8159" xr:uid="{00000000-0005-0000-0000-00008A130000}"/>
    <cellStyle name="표준 7 13 5 2 5" xfId="6065" xr:uid="{00000000-0005-0000-0000-00008B130000}"/>
    <cellStyle name="표준 7 13 5 3" xfId="3158" xr:uid="{00000000-0005-0000-0000-00008C130000}"/>
    <cellStyle name="표준 7 13 5 3 2" xfId="4205" xr:uid="{00000000-0005-0000-0000-00008D130000}"/>
    <cellStyle name="표준 7 13 5 3 2 2" xfId="7355" xr:uid="{00000000-0005-0000-0000-00008E130000}"/>
    <cellStyle name="표준 7 13 5 3 3" xfId="5243" xr:uid="{00000000-0005-0000-0000-00008F130000}"/>
    <cellStyle name="표준 7 13 5 3 3 2" xfId="8392" xr:uid="{00000000-0005-0000-0000-000090130000}"/>
    <cellStyle name="표준 7 13 5 3 4" xfId="6308" xr:uid="{00000000-0005-0000-0000-000091130000}"/>
    <cellStyle name="표준 7 13 5 4" xfId="3676" xr:uid="{00000000-0005-0000-0000-000092130000}"/>
    <cellStyle name="표준 7 13 5 4 2" xfId="6826" xr:uid="{00000000-0005-0000-0000-000093130000}"/>
    <cellStyle name="표준 7 13 5 5" xfId="4723" xr:uid="{00000000-0005-0000-0000-000094130000}"/>
    <cellStyle name="표준 7 13 5 5 2" xfId="7873" xr:uid="{00000000-0005-0000-0000-000095130000}"/>
    <cellStyle name="표준 7 13 5 6" xfId="5779" xr:uid="{00000000-0005-0000-0000-000096130000}"/>
    <cellStyle name="표준 7 13 6" xfId="2749" xr:uid="{00000000-0005-0000-0000-000097130000}"/>
    <cellStyle name="표준 7 13 6 2" xfId="3287" xr:uid="{00000000-0005-0000-0000-000098130000}"/>
    <cellStyle name="표준 7 13 6 2 2" xfId="4334" xr:uid="{00000000-0005-0000-0000-000099130000}"/>
    <cellStyle name="표준 7 13 6 2 2 2" xfId="7484" xr:uid="{00000000-0005-0000-0000-00009A130000}"/>
    <cellStyle name="표준 7 13 6 2 3" xfId="5372" xr:uid="{00000000-0005-0000-0000-00009B130000}"/>
    <cellStyle name="표준 7 13 6 2 3 2" xfId="8521" xr:uid="{00000000-0005-0000-0000-00009C130000}"/>
    <cellStyle name="표준 7 13 6 2 4" xfId="6437" xr:uid="{00000000-0005-0000-0000-00009D130000}"/>
    <cellStyle name="표준 7 13 6 3" xfId="3805" xr:uid="{00000000-0005-0000-0000-00009E130000}"/>
    <cellStyle name="표준 7 13 6 3 2" xfId="6955" xr:uid="{00000000-0005-0000-0000-00009F130000}"/>
    <cellStyle name="표준 7 13 6 4" xfId="4852" xr:uid="{00000000-0005-0000-0000-0000A0130000}"/>
    <cellStyle name="표준 7 13 6 4 2" xfId="8002" xr:uid="{00000000-0005-0000-0000-0000A1130000}"/>
    <cellStyle name="표준 7 13 6 5" xfId="5908" xr:uid="{00000000-0005-0000-0000-0000A2130000}"/>
    <cellStyle name="표준 7 13 7" xfId="3029" xr:uid="{00000000-0005-0000-0000-0000A3130000}"/>
    <cellStyle name="표준 7 13 7 2" xfId="4076" xr:uid="{00000000-0005-0000-0000-0000A4130000}"/>
    <cellStyle name="표준 7 13 7 2 2" xfId="7226" xr:uid="{00000000-0005-0000-0000-0000A5130000}"/>
    <cellStyle name="표준 7 13 7 3" xfId="5114" xr:uid="{00000000-0005-0000-0000-0000A6130000}"/>
    <cellStyle name="표준 7 13 7 3 2" xfId="8263" xr:uid="{00000000-0005-0000-0000-0000A7130000}"/>
    <cellStyle name="표준 7 13 7 4" xfId="6179" xr:uid="{00000000-0005-0000-0000-0000A8130000}"/>
    <cellStyle name="표준 7 13 8" xfId="3547" xr:uid="{00000000-0005-0000-0000-0000A9130000}"/>
    <cellStyle name="표준 7 13 8 2" xfId="6697" xr:uid="{00000000-0005-0000-0000-0000AA130000}"/>
    <cellStyle name="표준 7 13 9" xfId="4594" xr:uid="{00000000-0005-0000-0000-0000AB130000}"/>
    <cellStyle name="표준 7 13 9 2" xfId="7744" xr:uid="{00000000-0005-0000-0000-0000AC130000}"/>
    <cellStyle name="표준 7 14" xfId="1834" xr:uid="{00000000-0005-0000-0000-0000AD130000}"/>
    <cellStyle name="표준 7 14 10" xfId="5654" xr:uid="{00000000-0005-0000-0000-0000AE130000}"/>
    <cellStyle name="표준 7 14 2" xfId="1896" xr:uid="{00000000-0005-0000-0000-0000AF130000}"/>
    <cellStyle name="표준 7 14 2 2" xfId="2686" xr:uid="{00000000-0005-0000-0000-0000B0130000}"/>
    <cellStyle name="표준 7 14 2 2 2" xfId="2907" xr:uid="{00000000-0005-0000-0000-0000B1130000}"/>
    <cellStyle name="표준 7 14 2 2 2 2" xfId="3445" xr:uid="{00000000-0005-0000-0000-0000B2130000}"/>
    <cellStyle name="표준 7 14 2 2 2 2 2" xfId="4492" xr:uid="{00000000-0005-0000-0000-0000B3130000}"/>
    <cellStyle name="표준 7 14 2 2 2 2 2 2" xfId="7642" xr:uid="{00000000-0005-0000-0000-0000B4130000}"/>
    <cellStyle name="표준 7 14 2 2 2 2 3" xfId="5530" xr:uid="{00000000-0005-0000-0000-0000B5130000}"/>
    <cellStyle name="표준 7 14 2 2 2 2 3 2" xfId="8679" xr:uid="{00000000-0005-0000-0000-0000B6130000}"/>
    <cellStyle name="표준 7 14 2 2 2 2 4" xfId="6595" xr:uid="{00000000-0005-0000-0000-0000B7130000}"/>
    <cellStyle name="표준 7 14 2 2 2 3" xfId="3963" xr:uid="{00000000-0005-0000-0000-0000B8130000}"/>
    <cellStyle name="표준 7 14 2 2 2 3 2" xfId="7113" xr:uid="{00000000-0005-0000-0000-0000B9130000}"/>
    <cellStyle name="표준 7 14 2 2 2 4" xfId="5010" xr:uid="{00000000-0005-0000-0000-0000BA130000}"/>
    <cellStyle name="표준 7 14 2 2 2 4 2" xfId="8160" xr:uid="{00000000-0005-0000-0000-0000BB130000}"/>
    <cellStyle name="표준 7 14 2 2 2 5" xfId="6066" xr:uid="{00000000-0005-0000-0000-0000BC130000}"/>
    <cellStyle name="표준 7 14 2 2 3" xfId="3224" xr:uid="{00000000-0005-0000-0000-0000BD130000}"/>
    <cellStyle name="표준 7 14 2 2 3 2" xfId="4271" xr:uid="{00000000-0005-0000-0000-0000BE130000}"/>
    <cellStyle name="표준 7 14 2 2 3 2 2" xfId="7421" xr:uid="{00000000-0005-0000-0000-0000BF130000}"/>
    <cellStyle name="표준 7 14 2 2 3 3" xfId="5309" xr:uid="{00000000-0005-0000-0000-0000C0130000}"/>
    <cellStyle name="표준 7 14 2 2 3 3 2" xfId="8458" xr:uid="{00000000-0005-0000-0000-0000C1130000}"/>
    <cellStyle name="표준 7 14 2 2 3 4" xfId="6374" xr:uid="{00000000-0005-0000-0000-0000C2130000}"/>
    <cellStyle name="표준 7 14 2 2 4" xfId="3742" xr:uid="{00000000-0005-0000-0000-0000C3130000}"/>
    <cellStyle name="표준 7 14 2 2 4 2" xfId="6892" xr:uid="{00000000-0005-0000-0000-0000C4130000}"/>
    <cellStyle name="표준 7 14 2 2 5" xfId="4789" xr:uid="{00000000-0005-0000-0000-0000C5130000}"/>
    <cellStyle name="표준 7 14 2 2 5 2" xfId="7939" xr:uid="{00000000-0005-0000-0000-0000C6130000}"/>
    <cellStyle name="표준 7 14 2 2 6" xfId="5845" xr:uid="{00000000-0005-0000-0000-0000C7130000}"/>
    <cellStyle name="표준 7 14 2 3" xfId="2815" xr:uid="{00000000-0005-0000-0000-0000C8130000}"/>
    <cellStyle name="표준 7 14 2 3 2" xfId="3353" xr:uid="{00000000-0005-0000-0000-0000C9130000}"/>
    <cellStyle name="표준 7 14 2 3 2 2" xfId="4400" xr:uid="{00000000-0005-0000-0000-0000CA130000}"/>
    <cellStyle name="표준 7 14 2 3 2 2 2" xfId="7550" xr:uid="{00000000-0005-0000-0000-0000CB130000}"/>
    <cellStyle name="표준 7 14 2 3 2 3" xfId="5438" xr:uid="{00000000-0005-0000-0000-0000CC130000}"/>
    <cellStyle name="표준 7 14 2 3 2 3 2" xfId="8587" xr:uid="{00000000-0005-0000-0000-0000CD130000}"/>
    <cellStyle name="표준 7 14 2 3 2 4" xfId="6503" xr:uid="{00000000-0005-0000-0000-0000CE130000}"/>
    <cellStyle name="표준 7 14 2 3 3" xfId="3871" xr:uid="{00000000-0005-0000-0000-0000CF130000}"/>
    <cellStyle name="표준 7 14 2 3 3 2" xfId="7021" xr:uid="{00000000-0005-0000-0000-0000D0130000}"/>
    <cellStyle name="표준 7 14 2 3 4" xfId="4918" xr:uid="{00000000-0005-0000-0000-0000D1130000}"/>
    <cellStyle name="표준 7 14 2 3 4 2" xfId="8068" xr:uid="{00000000-0005-0000-0000-0000D2130000}"/>
    <cellStyle name="표준 7 14 2 3 5" xfId="5974" xr:uid="{00000000-0005-0000-0000-0000D3130000}"/>
    <cellStyle name="표준 7 14 2 4" xfId="3095" xr:uid="{00000000-0005-0000-0000-0000D4130000}"/>
    <cellStyle name="표준 7 14 2 4 2" xfId="4142" xr:uid="{00000000-0005-0000-0000-0000D5130000}"/>
    <cellStyle name="표준 7 14 2 4 2 2" xfId="7292" xr:uid="{00000000-0005-0000-0000-0000D6130000}"/>
    <cellStyle name="표준 7 14 2 4 3" xfId="5180" xr:uid="{00000000-0005-0000-0000-0000D7130000}"/>
    <cellStyle name="표준 7 14 2 4 3 2" xfId="8329" xr:uid="{00000000-0005-0000-0000-0000D8130000}"/>
    <cellStyle name="표준 7 14 2 4 4" xfId="6245" xr:uid="{00000000-0005-0000-0000-0000D9130000}"/>
    <cellStyle name="표준 7 14 2 5" xfId="3613" xr:uid="{00000000-0005-0000-0000-0000DA130000}"/>
    <cellStyle name="표준 7 14 2 5 2" xfId="6763" xr:uid="{00000000-0005-0000-0000-0000DB130000}"/>
    <cellStyle name="표준 7 14 2 6" xfId="4660" xr:uid="{00000000-0005-0000-0000-0000DC130000}"/>
    <cellStyle name="표준 7 14 2 6 2" xfId="7810" xr:uid="{00000000-0005-0000-0000-0000DD130000}"/>
    <cellStyle name="표준 7 14 2 7" xfId="5716" xr:uid="{00000000-0005-0000-0000-0000DE130000}"/>
    <cellStyle name="표준 7 14 3" xfId="1929" xr:uid="{00000000-0005-0000-0000-0000DF130000}"/>
    <cellStyle name="표준 7 14 3 2" xfId="2719" xr:uid="{00000000-0005-0000-0000-0000E0130000}"/>
    <cellStyle name="표준 7 14 3 2 2" xfId="2908" xr:uid="{00000000-0005-0000-0000-0000E1130000}"/>
    <cellStyle name="표준 7 14 3 2 2 2" xfId="3446" xr:uid="{00000000-0005-0000-0000-0000E2130000}"/>
    <cellStyle name="표준 7 14 3 2 2 2 2" xfId="4493" xr:uid="{00000000-0005-0000-0000-0000E3130000}"/>
    <cellStyle name="표준 7 14 3 2 2 2 2 2" xfId="7643" xr:uid="{00000000-0005-0000-0000-0000E4130000}"/>
    <cellStyle name="표준 7 14 3 2 2 2 3" xfId="5531" xr:uid="{00000000-0005-0000-0000-0000E5130000}"/>
    <cellStyle name="표준 7 14 3 2 2 2 3 2" xfId="8680" xr:uid="{00000000-0005-0000-0000-0000E6130000}"/>
    <cellStyle name="표준 7 14 3 2 2 2 4" xfId="6596" xr:uid="{00000000-0005-0000-0000-0000E7130000}"/>
    <cellStyle name="표준 7 14 3 2 2 3" xfId="3964" xr:uid="{00000000-0005-0000-0000-0000E8130000}"/>
    <cellStyle name="표준 7 14 3 2 2 3 2" xfId="7114" xr:uid="{00000000-0005-0000-0000-0000E9130000}"/>
    <cellStyle name="표준 7 14 3 2 2 4" xfId="5011" xr:uid="{00000000-0005-0000-0000-0000EA130000}"/>
    <cellStyle name="표준 7 14 3 2 2 4 2" xfId="8161" xr:uid="{00000000-0005-0000-0000-0000EB130000}"/>
    <cellStyle name="표준 7 14 3 2 2 5" xfId="6067" xr:uid="{00000000-0005-0000-0000-0000EC130000}"/>
    <cellStyle name="표준 7 14 3 2 3" xfId="3257" xr:uid="{00000000-0005-0000-0000-0000ED130000}"/>
    <cellStyle name="표준 7 14 3 2 3 2" xfId="4304" xr:uid="{00000000-0005-0000-0000-0000EE130000}"/>
    <cellStyle name="표준 7 14 3 2 3 2 2" xfId="7454" xr:uid="{00000000-0005-0000-0000-0000EF130000}"/>
    <cellStyle name="표준 7 14 3 2 3 3" xfId="5342" xr:uid="{00000000-0005-0000-0000-0000F0130000}"/>
    <cellStyle name="표준 7 14 3 2 3 3 2" xfId="8491" xr:uid="{00000000-0005-0000-0000-0000F1130000}"/>
    <cellStyle name="표준 7 14 3 2 3 4" xfId="6407" xr:uid="{00000000-0005-0000-0000-0000F2130000}"/>
    <cellStyle name="표준 7 14 3 2 4" xfId="3775" xr:uid="{00000000-0005-0000-0000-0000F3130000}"/>
    <cellStyle name="표준 7 14 3 2 4 2" xfId="6925" xr:uid="{00000000-0005-0000-0000-0000F4130000}"/>
    <cellStyle name="표준 7 14 3 2 5" xfId="4822" xr:uid="{00000000-0005-0000-0000-0000F5130000}"/>
    <cellStyle name="표준 7 14 3 2 5 2" xfId="7972" xr:uid="{00000000-0005-0000-0000-0000F6130000}"/>
    <cellStyle name="표준 7 14 3 2 6" xfId="5878" xr:uid="{00000000-0005-0000-0000-0000F7130000}"/>
    <cellStyle name="표준 7 14 3 3" xfId="2848" xr:uid="{00000000-0005-0000-0000-0000F8130000}"/>
    <cellStyle name="표준 7 14 3 3 2" xfId="3386" xr:uid="{00000000-0005-0000-0000-0000F9130000}"/>
    <cellStyle name="표준 7 14 3 3 2 2" xfId="4433" xr:uid="{00000000-0005-0000-0000-0000FA130000}"/>
    <cellStyle name="표준 7 14 3 3 2 2 2" xfId="7583" xr:uid="{00000000-0005-0000-0000-0000FB130000}"/>
    <cellStyle name="표준 7 14 3 3 2 3" xfId="5471" xr:uid="{00000000-0005-0000-0000-0000FC130000}"/>
    <cellStyle name="표준 7 14 3 3 2 3 2" xfId="8620" xr:uid="{00000000-0005-0000-0000-0000FD130000}"/>
    <cellStyle name="표준 7 14 3 3 2 4" xfId="6536" xr:uid="{00000000-0005-0000-0000-0000FE130000}"/>
    <cellStyle name="표준 7 14 3 3 3" xfId="3904" xr:uid="{00000000-0005-0000-0000-0000FF130000}"/>
    <cellStyle name="표준 7 14 3 3 3 2" xfId="7054" xr:uid="{00000000-0005-0000-0000-000000140000}"/>
    <cellStyle name="표준 7 14 3 3 4" xfId="4951" xr:uid="{00000000-0005-0000-0000-000001140000}"/>
    <cellStyle name="표준 7 14 3 3 4 2" xfId="8101" xr:uid="{00000000-0005-0000-0000-000002140000}"/>
    <cellStyle name="표준 7 14 3 3 5" xfId="6007" xr:uid="{00000000-0005-0000-0000-000003140000}"/>
    <cellStyle name="표준 7 14 3 4" xfId="3128" xr:uid="{00000000-0005-0000-0000-000004140000}"/>
    <cellStyle name="표준 7 14 3 4 2" xfId="4175" xr:uid="{00000000-0005-0000-0000-000005140000}"/>
    <cellStyle name="표준 7 14 3 4 2 2" xfId="7325" xr:uid="{00000000-0005-0000-0000-000006140000}"/>
    <cellStyle name="표준 7 14 3 4 3" xfId="5213" xr:uid="{00000000-0005-0000-0000-000007140000}"/>
    <cellStyle name="표준 7 14 3 4 3 2" xfId="8362" xr:uid="{00000000-0005-0000-0000-000008140000}"/>
    <cellStyle name="표준 7 14 3 4 4" xfId="6278" xr:uid="{00000000-0005-0000-0000-000009140000}"/>
    <cellStyle name="표준 7 14 3 5" xfId="3646" xr:uid="{00000000-0005-0000-0000-00000A140000}"/>
    <cellStyle name="표준 7 14 3 5 2" xfId="6796" xr:uid="{00000000-0005-0000-0000-00000B140000}"/>
    <cellStyle name="표준 7 14 3 6" xfId="4693" xr:uid="{00000000-0005-0000-0000-00000C140000}"/>
    <cellStyle name="표준 7 14 3 6 2" xfId="7843" xr:uid="{00000000-0005-0000-0000-00000D140000}"/>
    <cellStyle name="표준 7 14 3 7" xfId="5749" xr:uid="{00000000-0005-0000-0000-00000E140000}"/>
    <cellStyle name="표준 7 14 4" xfId="1863" xr:uid="{00000000-0005-0000-0000-00000F140000}"/>
    <cellStyle name="표준 7 14 4 2" xfId="2653" xr:uid="{00000000-0005-0000-0000-000010140000}"/>
    <cellStyle name="표준 7 14 4 2 2" xfId="2909" xr:uid="{00000000-0005-0000-0000-000011140000}"/>
    <cellStyle name="표준 7 14 4 2 2 2" xfId="3447" xr:uid="{00000000-0005-0000-0000-000012140000}"/>
    <cellStyle name="표준 7 14 4 2 2 2 2" xfId="4494" xr:uid="{00000000-0005-0000-0000-000013140000}"/>
    <cellStyle name="표준 7 14 4 2 2 2 2 2" xfId="7644" xr:uid="{00000000-0005-0000-0000-000014140000}"/>
    <cellStyle name="표준 7 14 4 2 2 2 3" xfId="5532" xr:uid="{00000000-0005-0000-0000-000015140000}"/>
    <cellStyle name="표준 7 14 4 2 2 2 3 2" xfId="8681" xr:uid="{00000000-0005-0000-0000-000016140000}"/>
    <cellStyle name="표준 7 14 4 2 2 2 4" xfId="6597" xr:uid="{00000000-0005-0000-0000-000017140000}"/>
    <cellStyle name="표준 7 14 4 2 2 3" xfId="3965" xr:uid="{00000000-0005-0000-0000-000018140000}"/>
    <cellStyle name="표준 7 14 4 2 2 3 2" xfId="7115" xr:uid="{00000000-0005-0000-0000-000019140000}"/>
    <cellStyle name="표준 7 14 4 2 2 4" xfId="5012" xr:uid="{00000000-0005-0000-0000-00001A140000}"/>
    <cellStyle name="표준 7 14 4 2 2 4 2" xfId="8162" xr:uid="{00000000-0005-0000-0000-00001B140000}"/>
    <cellStyle name="표준 7 14 4 2 2 5" xfId="6068" xr:uid="{00000000-0005-0000-0000-00001C140000}"/>
    <cellStyle name="표준 7 14 4 2 3" xfId="3191" xr:uid="{00000000-0005-0000-0000-00001D140000}"/>
    <cellStyle name="표준 7 14 4 2 3 2" xfId="4238" xr:uid="{00000000-0005-0000-0000-00001E140000}"/>
    <cellStyle name="표준 7 14 4 2 3 2 2" xfId="7388" xr:uid="{00000000-0005-0000-0000-00001F140000}"/>
    <cellStyle name="표준 7 14 4 2 3 3" xfId="5276" xr:uid="{00000000-0005-0000-0000-000020140000}"/>
    <cellStyle name="표준 7 14 4 2 3 3 2" xfId="8425" xr:uid="{00000000-0005-0000-0000-000021140000}"/>
    <cellStyle name="표준 7 14 4 2 3 4" xfId="6341" xr:uid="{00000000-0005-0000-0000-000022140000}"/>
    <cellStyle name="표준 7 14 4 2 4" xfId="3709" xr:uid="{00000000-0005-0000-0000-000023140000}"/>
    <cellStyle name="표준 7 14 4 2 4 2" xfId="6859" xr:uid="{00000000-0005-0000-0000-000024140000}"/>
    <cellStyle name="표준 7 14 4 2 5" xfId="4756" xr:uid="{00000000-0005-0000-0000-000025140000}"/>
    <cellStyle name="표준 7 14 4 2 5 2" xfId="7906" xr:uid="{00000000-0005-0000-0000-000026140000}"/>
    <cellStyle name="표준 7 14 4 2 6" xfId="5812" xr:uid="{00000000-0005-0000-0000-000027140000}"/>
    <cellStyle name="표준 7 14 4 3" xfId="2782" xr:uid="{00000000-0005-0000-0000-000028140000}"/>
    <cellStyle name="표준 7 14 4 3 2" xfId="3320" xr:uid="{00000000-0005-0000-0000-000029140000}"/>
    <cellStyle name="표준 7 14 4 3 2 2" xfId="4367" xr:uid="{00000000-0005-0000-0000-00002A140000}"/>
    <cellStyle name="표준 7 14 4 3 2 2 2" xfId="7517" xr:uid="{00000000-0005-0000-0000-00002B140000}"/>
    <cellStyle name="표준 7 14 4 3 2 3" xfId="5405" xr:uid="{00000000-0005-0000-0000-00002C140000}"/>
    <cellStyle name="표준 7 14 4 3 2 3 2" xfId="8554" xr:uid="{00000000-0005-0000-0000-00002D140000}"/>
    <cellStyle name="표준 7 14 4 3 2 4" xfId="6470" xr:uid="{00000000-0005-0000-0000-00002E140000}"/>
    <cellStyle name="표준 7 14 4 3 3" xfId="3838" xr:uid="{00000000-0005-0000-0000-00002F140000}"/>
    <cellStyle name="표준 7 14 4 3 3 2" xfId="6988" xr:uid="{00000000-0005-0000-0000-000030140000}"/>
    <cellStyle name="표준 7 14 4 3 4" xfId="4885" xr:uid="{00000000-0005-0000-0000-000031140000}"/>
    <cellStyle name="표준 7 14 4 3 4 2" xfId="8035" xr:uid="{00000000-0005-0000-0000-000032140000}"/>
    <cellStyle name="표준 7 14 4 3 5" xfId="5941" xr:uid="{00000000-0005-0000-0000-000033140000}"/>
    <cellStyle name="표준 7 14 4 4" xfId="3062" xr:uid="{00000000-0005-0000-0000-000034140000}"/>
    <cellStyle name="표준 7 14 4 4 2" xfId="4109" xr:uid="{00000000-0005-0000-0000-000035140000}"/>
    <cellStyle name="표준 7 14 4 4 2 2" xfId="7259" xr:uid="{00000000-0005-0000-0000-000036140000}"/>
    <cellStyle name="표준 7 14 4 4 3" xfId="5147" xr:uid="{00000000-0005-0000-0000-000037140000}"/>
    <cellStyle name="표준 7 14 4 4 3 2" xfId="8296" xr:uid="{00000000-0005-0000-0000-000038140000}"/>
    <cellStyle name="표준 7 14 4 4 4" xfId="6212" xr:uid="{00000000-0005-0000-0000-000039140000}"/>
    <cellStyle name="표준 7 14 4 5" xfId="3580" xr:uid="{00000000-0005-0000-0000-00003A140000}"/>
    <cellStyle name="표준 7 14 4 5 2" xfId="6730" xr:uid="{00000000-0005-0000-0000-00003B140000}"/>
    <cellStyle name="표준 7 14 4 6" xfId="4627" xr:uid="{00000000-0005-0000-0000-00003C140000}"/>
    <cellStyle name="표준 7 14 4 6 2" xfId="7777" xr:uid="{00000000-0005-0000-0000-00003D140000}"/>
    <cellStyle name="표준 7 14 4 7" xfId="5683" xr:uid="{00000000-0005-0000-0000-00003E140000}"/>
    <cellStyle name="표준 7 14 5" xfId="2624" xr:uid="{00000000-0005-0000-0000-00003F140000}"/>
    <cellStyle name="표준 7 14 5 2" xfId="2910" xr:uid="{00000000-0005-0000-0000-000040140000}"/>
    <cellStyle name="표준 7 14 5 2 2" xfId="3448" xr:uid="{00000000-0005-0000-0000-000041140000}"/>
    <cellStyle name="표준 7 14 5 2 2 2" xfId="4495" xr:uid="{00000000-0005-0000-0000-000042140000}"/>
    <cellStyle name="표준 7 14 5 2 2 2 2" xfId="7645" xr:uid="{00000000-0005-0000-0000-000043140000}"/>
    <cellStyle name="표준 7 14 5 2 2 3" xfId="5533" xr:uid="{00000000-0005-0000-0000-000044140000}"/>
    <cellStyle name="표준 7 14 5 2 2 3 2" xfId="8682" xr:uid="{00000000-0005-0000-0000-000045140000}"/>
    <cellStyle name="표준 7 14 5 2 2 4" xfId="6598" xr:uid="{00000000-0005-0000-0000-000046140000}"/>
    <cellStyle name="표준 7 14 5 2 3" xfId="3966" xr:uid="{00000000-0005-0000-0000-000047140000}"/>
    <cellStyle name="표준 7 14 5 2 3 2" xfId="7116" xr:uid="{00000000-0005-0000-0000-000048140000}"/>
    <cellStyle name="표준 7 14 5 2 4" xfId="5013" xr:uid="{00000000-0005-0000-0000-000049140000}"/>
    <cellStyle name="표준 7 14 5 2 4 2" xfId="8163" xr:uid="{00000000-0005-0000-0000-00004A140000}"/>
    <cellStyle name="표준 7 14 5 2 5" xfId="6069" xr:uid="{00000000-0005-0000-0000-00004B140000}"/>
    <cellStyle name="표준 7 14 5 3" xfId="3162" xr:uid="{00000000-0005-0000-0000-00004C140000}"/>
    <cellStyle name="표준 7 14 5 3 2" xfId="4209" xr:uid="{00000000-0005-0000-0000-00004D140000}"/>
    <cellStyle name="표준 7 14 5 3 2 2" xfId="7359" xr:uid="{00000000-0005-0000-0000-00004E140000}"/>
    <cellStyle name="표준 7 14 5 3 3" xfId="5247" xr:uid="{00000000-0005-0000-0000-00004F140000}"/>
    <cellStyle name="표준 7 14 5 3 3 2" xfId="8396" xr:uid="{00000000-0005-0000-0000-000050140000}"/>
    <cellStyle name="표준 7 14 5 3 4" xfId="6312" xr:uid="{00000000-0005-0000-0000-000051140000}"/>
    <cellStyle name="표준 7 14 5 4" xfId="3680" xr:uid="{00000000-0005-0000-0000-000052140000}"/>
    <cellStyle name="표준 7 14 5 4 2" xfId="6830" xr:uid="{00000000-0005-0000-0000-000053140000}"/>
    <cellStyle name="표준 7 14 5 5" xfId="4727" xr:uid="{00000000-0005-0000-0000-000054140000}"/>
    <cellStyle name="표준 7 14 5 5 2" xfId="7877" xr:uid="{00000000-0005-0000-0000-000055140000}"/>
    <cellStyle name="표준 7 14 5 6" xfId="5783" xr:uid="{00000000-0005-0000-0000-000056140000}"/>
    <cellStyle name="표준 7 14 6" xfId="2753" xr:uid="{00000000-0005-0000-0000-000057140000}"/>
    <cellStyle name="표준 7 14 6 2" xfId="3291" xr:uid="{00000000-0005-0000-0000-000058140000}"/>
    <cellStyle name="표준 7 14 6 2 2" xfId="4338" xr:uid="{00000000-0005-0000-0000-000059140000}"/>
    <cellStyle name="표준 7 14 6 2 2 2" xfId="7488" xr:uid="{00000000-0005-0000-0000-00005A140000}"/>
    <cellStyle name="표준 7 14 6 2 3" xfId="5376" xr:uid="{00000000-0005-0000-0000-00005B140000}"/>
    <cellStyle name="표준 7 14 6 2 3 2" xfId="8525" xr:uid="{00000000-0005-0000-0000-00005C140000}"/>
    <cellStyle name="표준 7 14 6 2 4" xfId="6441" xr:uid="{00000000-0005-0000-0000-00005D140000}"/>
    <cellStyle name="표준 7 14 6 3" xfId="3809" xr:uid="{00000000-0005-0000-0000-00005E140000}"/>
    <cellStyle name="표준 7 14 6 3 2" xfId="6959" xr:uid="{00000000-0005-0000-0000-00005F140000}"/>
    <cellStyle name="표준 7 14 6 4" xfId="4856" xr:uid="{00000000-0005-0000-0000-000060140000}"/>
    <cellStyle name="표준 7 14 6 4 2" xfId="8006" xr:uid="{00000000-0005-0000-0000-000061140000}"/>
    <cellStyle name="표준 7 14 6 5" xfId="5912" xr:uid="{00000000-0005-0000-0000-000062140000}"/>
    <cellStyle name="표준 7 14 7" xfId="3033" xr:uid="{00000000-0005-0000-0000-000063140000}"/>
    <cellStyle name="표준 7 14 7 2" xfId="4080" xr:uid="{00000000-0005-0000-0000-000064140000}"/>
    <cellStyle name="표준 7 14 7 2 2" xfId="7230" xr:uid="{00000000-0005-0000-0000-000065140000}"/>
    <cellStyle name="표준 7 14 7 3" xfId="5118" xr:uid="{00000000-0005-0000-0000-000066140000}"/>
    <cellStyle name="표준 7 14 7 3 2" xfId="8267" xr:uid="{00000000-0005-0000-0000-000067140000}"/>
    <cellStyle name="표준 7 14 7 4" xfId="6183" xr:uid="{00000000-0005-0000-0000-000068140000}"/>
    <cellStyle name="표준 7 14 8" xfId="3551" xr:uid="{00000000-0005-0000-0000-000069140000}"/>
    <cellStyle name="표준 7 14 8 2" xfId="6701" xr:uid="{00000000-0005-0000-0000-00006A140000}"/>
    <cellStyle name="표준 7 14 9" xfId="4598" xr:uid="{00000000-0005-0000-0000-00006B140000}"/>
    <cellStyle name="표준 7 14 9 2" xfId="7748" xr:uid="{00000000-0005-0000-0000-00006C140000}"/>
    <cellStyle name="표준 7 15" xfId="454" xr:uid="{00000000-0005-0000-0000-00006D140000}"/>
    <cellStyle name="표준 7 15 2" xfId="1904" xr:uid="{00000000-0005-0000-0000-00006E140000}"/>
    <cellStyle name="표준 7 15 2 2" xfId="2694" xr:uid="{00000000-0005-0000-0000-00006F140000}"/>
    <cellStyle name="표준 7 15 2 2 2" xfId="2911" xr:uid="{00000000-0005-0000-0000-000070140000}"/>
    <cellStyle name="표준 7 15 2 2 2 2" xfId="3449" xr:uid="{00000000-0005-0000-0000-000071140000}"/>
    <cellStyle name="표준 7 15 2 2 2 2 2" xfId="4496" xr:uid="{00000000-0005-0000-0000-000072140000}"/>
    <cellStyle name="표준 7 15 2 2 2 2 2 2" xfId="7646" xr:uid="{00000000-0005-0000-0000-000073140000}"/>
    <cellStyle name="표준 7 15 2 2 2 2 3" xfId="5534" xr:uid="{00000000-0005-0000-0000-000074140000}"/>
    <cellStyle name="표준 7 15 2 2 2 2 3 2" xfId="8683" xr:uid="{00000000-0005-0000-0000-000075140000}"/>
    <cellStyle name="표준 7 15 2 2 2 2 4" xfId="6599" xr:uid="{00000000-0005-0000-0000-000076140000}"/>
    <cellStyle name="표준 7 15 2 2 2 3" xfId="3967" xr:uid="{00000000-0005-0000-0000-000077140000}"/>
    <cellStyle name="표준 7 15 2 2 2 3 2" xfId="7117" xr:uid="{00000000-0005-0000-0000-000078140000}"/>
    <cellStyle name="표준 7 15 2 2 2 4" xfId="5014" xr:uid="{00000000-0005-0000-0000-000079140000}"/>
    <cellStyle name="표준 7 15 2 2 2 4 2" xfId="8164" xr:uid="{00000000-0005-0000-0000-00007A140000}"/>
    <cellStyle name="표준 7 15 2 2 2 5" xfId="6070" xr:uid="{00000000-0005-0000-0000-00007B140000}"/>
    <cellStyle name="표준 7 15 2 2 3" xfId="3232" xr:uid="{00000000-0005-0000-0000-00007C140000}"/>
    <cellStyle name="표준 7 15 2 2 3 2" xfId="4279" xr:uid="{00000000-0005-0000-0000-00007D140000}"/>
    <cellStyle name="표준 7 15 2 2 3 2 2" xfId="7429" xr:uid="{00000000-0005-0000-0000-00007E140000}"/>
    <cellStyle name="표준 7 15 2 2 3 3" xfId="5317" xr:uid="{00000000-0005-0000-0000-00007F140000}"/>
    <cellStyle name="표준 7 15 2 2 3 3 2" xfId="8466" xr:uid="{00000000-0005-0000-0000-000080140000}"/>
    <cellStyle name="표준 7 15 2 2 3 4" xfId="6382" xr:uid="{00000000-0005-0000-0000-000081140000}"/>
    <cellStyle name="표준 7 15 2 2 4" xfId="3750" xr:uid="{00000000-0005-0000-0000-000082140000}"/>
    <cellStyle name="표준 7 15 2 2 4 2" xfId="6900" xr:uid="{00000000-0005-0000-0000-000083140000}"/>
    <cellStyle name="표준 7 15 2 2 5" xfId="4797" xr:uid="{00000000-0005-0000-0000-000084140000}"/>
    <cellStyle name="표준 7 15 2 2 5 2" xfId="7947" xr:uid="{00000000-0005-0000-0000-000085140000}"/>
    <cellStyle name="표준 7 15 2 2 6" xfId="5853" xr:uid="{00000000-0005-0000-0000-000086140000}"/>
    <cellStyle name="표준 7 15 2 3" xfId="2823" xr:uid="{00000000-0005-0000-0000-000087140000}"/>
    <cellStyle name="표준 7 15 2 3 2" xfId="3361" xr:uid="{00000000-0005-0000-0000-000088140000}"/>
    <cellStyle name="표준 7 15 2 3 2 2" xfId="4408" xr:uid="{00000000-0005-0000-0000-000089140000}"/>
    <cellStyle name="표준 7 15 2 3 2 2 2" xfId="7558" xr:uid="{00000000-0005-0000-0000-00008A140000}"/>
    <cellStyle name="표준 7 15 2 3 2 3" xfId="5446" xr:uid="{00000000-0005-0000-0000-00008B140000}"/>
    <cellStyle name="표준 7 15 2 3 2 3 2" xfId="8595" xr:uid="{00000000-0005-0000-0000-00008C140000}"/>
    <cellStyle name="표준 7 15 2 3 2 4" xfId="6511" xr:uid="{00000000-0005-0000-0000-00008D140000}"/>
    <cellStyle name="표준 7 15 2 3 3" xfId="3879" xr:uid="{00000000-0005-0000-0000-00008E140000}"/>
    <cellStyle name="표준 7 15 2 3 3 2" xfId="7029" xr:uid="{00000000-0005-0000-0000-00008F140000}"/>
    <cellStyle name="표준 7 15 2 3 4" xfId="4926" xr:uid="{00000000-0005-0000-0000-000090140000}"/>
    <cellStyle name="표준 7 15 2 3 4 2" xfId="8076" xr:uid="{00000000-0005-0000-0000-000091140000}"/>
    <cellStyle name="표준 7 15 2 3 5" xfId="5982" xr:uid="{00000000-0005-0000-0000-000092140000}"/>
    <cellStyle name="표준 7 15 2 4" xfId="3103" xr:uid="{00000000-0005-0000-0000-000093140000}"/>
    <cellStyle name="표준 7 15 2 4 2" xfId="4150" xr:uid="{00000000-0005-0000-0000-000094140000}"/>
    <cellStyle name="표준 7 15 2 4 2 2" xfId="7300" xr:uid="{00000000-0005-0000-0000-000095140000}"/>
    <cellStyle name="표준 7 15 2 4 3" xfId="5188" xr:uid="{00000000-0005-0000-0000-000096140000}"/>
    <cellStyle name="표준 7 15 2 4 3 2" xfId="8337" xr:uid="{00000000-0005-0000-0000-000097140000}"/>
    <cellStyle name="표준 7 15 2 4 4" xfId="6253" xr:uid="{00000000-0005-0000-0000-000098140000}"/>
    <cellStyle name="표준 7 15 2 5" xfId="3621" xr:uid="{00000000-0005-0000-0000-000099140000}"/>
    <cellStyle name="표준 7 15 2 5 2" xfId="6771" xr:uid="{00000000-0005-0000-0000-00009A140000}"/>
    <cellStyle name="표준 7 15 2 6" xfId="4668" xr:uid="{00000000-0005-0000-0000-00009B140000}"/>
    <cellStyle name="표준 7 15 2 6 2" xfId="7818" xr:uid="{00000000-0005-0000-0000-00009C140000}"/>
    <cellStyle name="표준 7 15 2 7" xfId="5724" xr:uid="{00000000-0005-0000-0000-00009D140000}"/>
    <cellStyle name="표준 7 15 3" xfId="1871" xr:uid="{00000000-0005-0000-0000-00009E140000}"/>
    <cellStyle name="표준 7 15 3 2" xfId="2661" xr:uid="{00000000-0005-0000-0000-00009F140000}"/>
    <cellStyle name="표준 7 15 3 2 2" xfId="2912" xr:uid="{00000000-0005-0000-0000-0000A0140000}"/>
    <cellStyle name="표준 7 15 3 2 2 2" xfId="3450" xr:uid="{00000000-0005-0000-0000-0000A1140000}"/>
    <cellStyle name="표준 7 15 3 2 2 2 2" xfId="4497" xr:uid="{00000000-0005-0000-0000-0000A2140000}"/>
    <cellStyle name="표준 7 15 3 2 2 2 2 2" xfId="7647" xr:uid="{00000000-0005-0000-0000-0000A3140000}"/>
    <cellStyle name="표준 7 15 3 2 2 2 3" xfId="5535" xr:uid="{00000000-0005-0000-0000-0000A4140000}"/>
    <cellStyle name="표준 7 15 3 2 2 2 3 2" xfId="8684" xr:uid="{00000000-0005-0000-0000-0000A5140000}"/>
    <cellStyle name="표준 7 15 3 2 2 2 4" xfId="6600" xr:uid="{00000000-0005-0000-0000-0000A6140000}"/>
    <cellStyle name="표준 7 15 3 2 2 3" xfId="3968" xr:uid="{00000000-0005-0000-0000-0000A7140000}"/>
    <cellStyle name="표준 7 15 3 2 2 3 2" xfId="7118" xr:uid="{00000000-0005-0000-0000-0000A8140000}"/>
    <cellStyle name="표준 7 15 3 2 2 4" xfId="5015" xr:uid="{00000000-0005-0000-0000-0000A9140000}"/>
    <cellStyle name="표준 7 15 3 2 2 4 2" xfId="8165" xr:uid="{00000000-0005-0000-0000-0000AA140000}"/>
    <cellStyle name="표준 7 15 3 2 2 5" xfId="6071" xr:uid="{00000000-0005-0000-0000-0000AB140000}"/>
    <cellStyle name="표준 7 15 3 2 3" xfId="3199" xr:uid="{00000000-0005-0000-0000-0000AC140000}"/>
    <cellStyle name="표준 7 15 3 2 3 2" xfId="4246" xr:uid="{00000000-0005-0000-0000-0000AD140000}"/>
    <cellStyle name="표준 7 15 3 2 3 2 2" xfId="7396" xr:uid="{00000000-0005-0000-0000-0000AE140000}"/>
    <cellStyle name="표준 7 15 3 2 3 3" xfId="5284" xr:uid="{00000000-0005-0000-0000-0000AF140000}"/>
    <cellStyle name="표준 7 15 3 2 3 3 2" xfId="8433" xr:uid="{00000000-0005-0000-0000-0000B0140000}"/>
    <cellStyle name="표준 7 15 3 2 3 4" xfId="6349" xr:uid="{00000000-0005-0000-0000-0000B1140000}"/>
    <cellStyle name="표준 7 15 3 2 4" xfId="3717" xr:uid="{00000000-0005-0000-0000-0000B2140000}"/>
    <cellStyle name="표준 7 15 3 2 4 2" xfId="6867" xr:uid="{00000000-0005-0000-0000-0000B3140000}"/>
    <cellStyle name="표준 7 15 3 2 5" xfId="4764" xr:uid="{00000000-0005-0000-0000-0000B4140000}"/>
    <cellStyle name="표준 7 15 3 2 5 2" xfId="7914" xr:uid="{00000000-0005-0000-0000-0000B5140000}"/>
    <cellStyle name="표준 7 15 3 2 6" xfId="5820" xr:uid="{00000000-0005-0000-0000-0000B6140000}"/>
    <cellStyle name="표준 7 15 3 3" xfId="2790" xr:uid="{00000000-0005-0000-0000-0000B7140000}"/>
    <cellStyle name="표준 7 15 3 3 2" xfId="3328" xr:uid="{00000000-0005-0000-0000-0000B8140000}"/>
    <cellStyle name="표준 7 15 3 3 2 2" xfId="4375" xr:uid="{00000000-0005-0000-0000-0000B9140000}"/>
    <cellStyle name="표준 7 15 3 3 2 2 2" xfId="7525" xr:uid="{00000000-0005-0000-0000-0000BA140000}"/>
    <cellStyle name="표준 7 15 3 3 2 3" xfId="5413" xr:uid="{00000000-0005-0000-0000-0000BB140000}"/>
    <cellStyle name="표준 7 15 3 3 2 3 2" xfId="8562" xr:uid="{00000000-0005-0000-0000-0000BC140000}"/>
    <cellStyle name="표준 7 15 3 3 2 4" xfId="6478" xr:uid="{00000000-0005-0000-0000-0000BD140000}"/>
    <cellStyle name="표준 7 15 3 3 3" xfId="3846" xr:uid="{00000000-0005-0000-0000-0000BE140000}"/>
    <cellStyle name="표준 7 15 3 3 3 2" xfId="6996" xr:uid="{00000000-0005-0000-0000-0000BF140000}"/>
    <cellStyle name="표준 7 15 3 3 4" xfId="4893" xr:uid="{00000000-0005-0000-0000-0000C0140000}"/>
    <cellStyle name="표준 7 15 3 3 4 2" xfId="8043" xr:uid="{00000000-0005-0000-0000-0000C1140000}"/>
    <cellStyle name="표준 7 15 3 3 5" xfId="5949" xr:uid="{00000000-0005-0000-0000-0000C2140000}"/>
    <cellStyle name="표준 7 15 3 4" xfId="3070" xr:uid="{00000000-0005-0000-0000-0000C3140000}"/>
    <cellStyle name="표준 7 15 3 4 2" xfId="4117" xr:uid="{00000000-0005-0000-0000-0000C4140000}"/>
    <cellStyle name="표준 7 15 3 4 2 2" xfId="7267" xr:uid="{00000000-0005-0000-0000-0000C5140000}"/>
    <cellStyle name="표준 7 15 3 4 3" xfId="5155" xr:uid="{00000000-0005-0000-0000-0000C6140000}"/>
    <cellStyle name="표준 7 15 3 4 3 2" xfId="8304" xr:uid="{00000000-0005-0000-0000-0000C7140000}"/>
    <cellStyle name="표준 7 15 3 4 4" xfId="6220" xr:uid="{00000000-0005-0000-0000-0000C8140000}"/>
    <cellStyle name="표준 7 15 3 5" xfId="3588" xr:uid="{00000000-0005-0000-0000-0000C9140000}"/>
    <cellStyle name="표준 7 15 3 5 2" xfId="6738" xr:uid="{00000000-0005-0000-0000-0000CA140000}"/>
    <cellStyle name="표준 7 15 3 6" xfId="4635" xr:uid="{00000000-0005-0000-0000-0000CB140000}"/>
    <cellStyle name="표준 7 15 3 6 2" xfId="7785" xr:uid="{00000000-0005-0000-0000-0000CC140000}"/>
    <cellStyle name="표준 7 15 3 7" xfId="5691" xr:uid="{00000000-0005-0000-0000-0000CD140000}"/>
    <cellStyle name="표준 7 15 4" xfId="2599" xr:uid="{00000000-0005-0000-0000-0000CE140000}"/>
    <cellStyle name="표준 7 15 4 2" xfId="2913" xr:uid="{00000000-0005-0000-0000-0000CF140000}"/>
    <cellStyle name="표준 7 15 4 2 2" xfId="3451" xr:uid="{00000000-0005-0000-0000-0000D0140000}"/>
    <cellStyle name="표준 7 15 4 2 2 2" xfId="4498" xr:uid="{00000000-0005-0000-0000-0000D1140000}"/>
    <cellStyle name="표준 7 15 4 2 2 2 2" xfId="7648" xr:uid="{00000000-0005-0000-0000-0000D2140000}"/>
    <cellStyle name="표준 7 15 4 2 2 3" xfId="5536" xr:uid="{00000000-0005-0000-0000-0000D3140000}"/>
    <cellStyle name="표준 7 15 4 2 2 3 2" xfId="8685" xr:uid="{00000000-0005-0000-0000-0000D4140000}"/>
    <cellStyle name="표준 7 15 4 2 2 4" xfId="6601" xr:uid="{00000000-0005-0000-0000-0000D5140000}"/>
    <cellStyle name="표준 7 15 4 2 3" xfId="3969" xr:uid="{00000000-0005-0000-0000-0000D6140000}"/>
    <cellStyle name="표준 7 15 4 2 3 2" xfId="7119" xr:uid="{00000000-0005-0000-0000-0000D7140000}"/>
    <cellStyle name="표준 7 15 4 2 4" xfId="5016" xr:uid="{00000000-0005-0000-0000-0000D8140000}"/>
    <cellStyle name="표준 7 15 4 2 4 2" xfId="8166" xr:uid="{00000000-0005-0000-0000-0000D9140000}"/>
    <cellStyle name="표준 7 15 4 2 5" xfId="6072" xr:uid="{00000000-0005-0000-0000-0000DA140000}"/>
    <cellStyle name="표준 7 15 4 3" xfId="3137" xr:uid="{00000000-0005-0000-0000-0000DB140000}"/>
    <cellStyle name="표준 7 15 4 3 2" xfId="4184" xr:uid="{00000000-0005-0000-0000-0000DC140000}"/>
    <cellStyle name="표준 7 15 4 3 2 2" xfId="7334" xr:uid="{00000000-0005-0000-0000-0000DD140000}"/>
    <cellStyle name="표준 7 15 4 3 3" xfId="5222" xr:uid="{00000000-0005-0000-0000-0000DE140000}"/>
    <cellStyle name="표준 7 15 4 3 3 2" xfId="8371" xr:uid="{00000000-0005-0000-0000-0000DF140000}"/>
    <cellStyle name="표준 7 15 4 3 4" xfId="6287" xr:uid="{00000000-0005-0000-0000-0000E0140000}"/>
    <cellStyle name="표준 7 15 4 4" xfId="3655" xr:uid="{00000000-0005-0000-0000-0000E1140000}"/>
    <cellStyle name="표준 7 15 4 4 2" xfId="6805" xr:uid="{00000000-0005-0000-0000-0000E2140000}"/>
    <cellStyle name="표준 7 15 4 5" xfId="4702" xr:uid="{00000000-0005-0000-0000-0000E3140000}"/>
    <cellStyle name="표준 7 15 4 5 2" xfId="7852" xr:uid="{00000000-0005-0000-0000-0000E4140000}"/>
    <cellStyle name="표준 7 15 4 6" xfId="5758" xr:uid="{00000000-0005-0000-0000-0000E5140000}"/>
    <cellStyle name="표준 7 15 5" xfId="2728" xr:uid="{00000000-0005-0000-0000-0000E6140000}"/>
    <cellStyle name="표준 7 15 5 2" xfId="3266" xr:uid="{00000000-0005-0000-0000-0000E7140000}"/>
    <cellStyle name="표준 7 15 5 2 2" xfId="4313" xr:uid="{00000000-0005-0000-0000-0000E8140000}"/>
    <cellStyle name="표준 7 15 5 2 2 2" xfId="7463" xr:uid="{00000000-0005-0000-0000-0000E9140000}"/>
    <cellStyle name="표준 7 15 5 2 3" xfId="5351" xr:uid="{00000000-0005-0000-0000-0000EA140000}"/>
    <cellStyle name="표준 7 15 5 2 3 2" xfId="8500" xr:uid="{00000000-0005-0000-0000-0000EB140000}"/>
    <cellStyle name="표준 7 15 5 2 4" xfId="6416" xr:uid="{00000000-0005-0000-0000-0000EC140000}"/>
    <cellStyle name="표준 7 15 5 3" xfId="3784" xr:uid="{00000000-0005-0000-0000-0000ED140000}"/>
    <cellStyle name="표준 7 15 5 3 2" xfId="6934" xr:uid="{00000000-0005-0000-0000-0000EE140000}"/>
    <cellStyle name="표준 7 15 5 4" xfId="4831" xr:uid="{00000000-0005-0000-0000-0000EF140000}"/>
    <cellStyle name="표준 7 15 5 4 2" xfId="7981" xr:uid="{00000000-0005-0000-0000-0000F0140000}"/>
    <cellStyle name="표준 7 15 5 5" xfId="5887" xr:uid="{00000000-0005-0000-0000-0000F1140000}"/>
    <cellStyle name="표준 7 15 6" xfId="3008" xr:uid="{00000000-0005-0000-0000-0000F2140000}"/>
    <cellStyle name="표준 7 15 6 2" xfId="4055" xr:uid="{00000000-0005-0000-0000-0000F3140000}"/>
    <cellStyle name="표준 7 15 6 2 2" xfId="7205" xr:uid="{00000000-0005-0000-0000-0000F4140000}"/>
    <cellStyle name="표준 7 15 6 3" xfId="5093" xr:uid="{00000000-0005-0000-0000-0000F5140000}"/>
    <cellStyle name="표준 7 15 6 3 2" xfId="8242" xr:uid="{00000000-0005-0000-0000-0000F6140000}"/>
    <cellStyle name="표준 7 15 6 4" xfId="6158" xr:uid="{00000000-0005-0000-0000-0000F7140000}"/>
    <cellStyle name="표준 7 15 7" xfId="3526" xr:uid="{00000000-0005-0000-0000-0000F8140000}"/>
    <cellStyle name="표준 7 15 7 2" xfId="6676" xr:uid="{00000000-0005-0000-0000-0000F9140000}"/>
    <cellStyle name="표준 7 15 8" xfId="4573" xr:uid="{00000000-0005-0000-0000-0000FA140000}"/>
    <cellStyle name="표준 7 15 8 2" xfId="7723" xr:uid="{00000000-0005-0000-0000-0000FB140000}"/>
    <cellStyle name="표준 7 15 9" xfId="5629" xr:uid="{00000000-0005-0000-0000-0000FC140000}"/>
    <cellStyle name="표준 7 16" xfId="1867" xr:uid="{00000000-0005-0000-0000-0000FD140000}"/>
    <cellStyle name="표준 7 16 2" xfId="2657" xr:uid="{00000000-0005-0000-0000-0000FE140000}"/>
    <cellStyle name="표준 7 16 2 2" xfId="2914" xr:uid="{00000000-0005-0000-0000-0000FF140000}"/>
    <cellStyle name="표준 7 16 2 2 2" xfId="3452" xr:uid="{00000000-0005-0000-0000-000000150000}"/>
    <cellStyle name="표준 7 16 2 2 2 2" xfId="4499" xr:uid="{00000000-0005-0000-0000-000001150000}"/>
    <cellStyle name="표준 7 16 2 2 2 2 2" xfId="7649" xr:uid="{00000000-0005-0000-0000-000002150000}"/>
    <cellStyle name="표준 7 16 2 2 2 3" xfId="5537" xr:uid="{00000000-0005-0000-0000-000003150000}"/>
    <cellStyle name="표준 7 16 2 2 2 3 2" xfId="8686" xr:uid="{00000000-0005-0000-0000-000004150000}"/>
    <cellStyle name="표준 7 16 2 2 2 4" xfId="6602" xr:uid="{00000000-0005-0000-0000-000005150000}"/>
    <cellStyle name="표준 7 16 2 2 3" xfId="3970" xr:uid="{00000000-0005-0000-0000-000006150000}"/>
    <cellStyle name="표준 7 16 2 2 3 2" xfId="7120" xr:uid="{00000000-0005-0000-0000-000007150000}"/>
    <cellStyle name="표준 7 16 2 2 4" xfId="5017" xr:uid="{00000000-0005-0000-0000-000008150000}"/>
    <cellStyle name="표준 7 16 2 2 4 2" xfId="8167" xr:uid="{00000000-0005-0000-0000-000009150000}"/>
    <cellStyle name="표준 7 16 2 2 5" xfId="6073" xr:uid="{00000000-0005-0000-0000-00000A150000}"/>
    <cellStyle name="표준 7 16 2 3" xfId="3195" xr:uid="{00000000-0005-0000-0000-00000B150000}"/>
    <cellStyle name="표준 7 16 2 3 2" xfId="4242" xr:uid="{00000000-0005-0000-0000-00000C150000}"/>
    <cellStyle name="표준 7 16 2 3 2 2" xfId="7392" xr:uid="{00000000-0005-0000-0000-00000D150000}"/>
    <cellStyle name="표준 7 16 2 3 3" xfId="5280" xr:uid="{00000000-0005-0000-0000-00000E150000}"/>
    <cellStyle name="표준 7 16 2 3 3 2" xfId="8429" xr:uid="{00000000-0005-0000-0000-00000F150000}"/>
    <cellStyle name="표준 7 16 2 3 4" xfId="6345" xr:uid="{00000000-0005-0000-0000-000010150000}"/>
    <cellStyle name="표준 7 16 2 4" xfId="3713" xr:uid="{00000000-0005-0000-0000-000011150000}"/>
    <cellStyle name="표준 7 16 2 4 2" xfId="6863" xr:uid="{00000000-0005-0000-0000-000012150000}"/>
    <cellStyle name="표준 7 16 2 5" xfId="4760" xr:uid="{00000000-0005-0000-0000-000013150000}"/>
    <cellStyle name="표준 7 16 2 5 2" xfId="7910" xr:uid="{00000000-0005-0000-0000-000014150000}"/>
    <cellStyle name="표준 7 16 2 6" xfId="5816" xr:uid="{00000000-0005-0000-0000-000015150000}"/>
    <cellStyle name="표준 7 16 3" xfId="2786" xr:uid="{00000000-0005-0000-0000-000016150000}"/>
    <cellStyle name="표준 7 16 3 2" xfId="3324" xr:uid="{00000000-0005-0000-0000-000017150000}"/>
    <cellStyle name="표준 7 16 3 2 2" xfId="4371" xr:uid="{00000000-0005-0000-0000-000018150000}"/>
    <cellStyle name="표준 7 16 3 2 2 2" xfId="7521" xr:uid="{00000000-0005-0000-0000-000019150000}"/>
    <cellStyle name="표준 7 16 3 2 3" xfId="5409" xr:uid="{00000000-0005-0000-0000-00001A150000}"/>
    <cellStyle name="표준 7 16 3 2 3 2" xfId="8558" xr:uid="{00000000-0005-0000-0000-00001B150000}"/>
    <cellStyle name="표준 7 16 3 2 4" xfId="6474" xr:uid="{00000000-0005-0000-0000-00001C150000}"/>
    <cellStyle name="표준 7 16 3 3" xfId="3842" xr:uid="{00000000-0005-0000-0000-00001D150000}"/>
    <cellStyle name="표준 7 16 3 3 2" xfId="6992" xr:uid="{00000000-0005-0000-0000-00001E150000}"/>
    <cellStyle name="표준 7 16 3 4" xfId="4889" xr:uid="{00000000-0005-0000-0000-00001F150000}"/>
    <cellStyle name="표준 7 16 3 4 2" xfId="8039" xr:uid="{00000000-0005-0000-0000-000020150000}"/>
    <cellStyle name="표준 7 16 3 5" xfId="5945" xr:uid="{00000000-0005-0000-0000-000021150000}"/>
    <cellStyle name="표준 7 16 4" xfId="3066" xr:uid="{00000000-0005-0000-0000-000022150000}"/>
    <cellStyle name="표준 7 16 4 2" xfId="4113" xr:uid="{00000000-0005-0000-0000-000023150000}"/>
    <cellStyle name="표준 7 16 4 2 2" xfId="7263" xr:uid="{00000000-0005-0000-0000-000024150000}"/>
    <cellStyle name="표준 7 16 4 3" xfId="5151" xr:uid="{00000000-0005-0000-0000-000025150000}"/>
    <cellStyle name="표준 7 16 4 3 2" xfId="8300" xr:uid="{00000000-0005-0000-0000-000026150000}"/>
    <cellStyle name="표준 7 16 4 4" xfId="6216" xr:uid="{00000000-0005-0000-0000-000027150000}"/>
    <cellStyle name="표준 7 16 5" xfId="3584" xr:uid="{00000000-0005-0000-0000-000028150000}"/>
    <cellStyle name="표준 7 16 5 2" xfId="6734" xr:uid="{00000000-0005-0000-0000-000029150000}"/>
    <cellStyle name="표준 7 16 6" xfId="4631" xr:uid="{00000000-0005-0000-0000-00002A150000}"/>
    <cellStyle name="표준 7 16 6 2" xfId="7781" xr:uid="{00000000-0005-0000-0000-00002B150000}"/>
    <cellStyle name="표준 7 16 7" xfId="5687" xr:uid="{00000000-0005-0000-0000-00002C150000}"/>
    <cellStyle name="표준 7 17" xfId="1900" xr:uid="{00000000-0005-0000-0000-00002D150000}"/>
    <cellStyle name="표준 7 17 2" xfId="2690" xr:uid="{00000000-0005-0000-0000-00002E150000}"/>
    <cellStyle name="표준 7 17 2 2" xfId="2915" xr:uid="{00000000-0005-0000-0000-00002F150000}"/>
    <cellStyle name="표준 7 17 2 2 2" xfId="3453" xr:uid="{00000000-0005-0000-0000-000030150000}"/>
    <cellStyle name="표준 7 17 2 2 2 2" xfId="4500" xr:uid="{00000000-0005-0000-0000-000031150000}"/>
    <cellStyle name="표준 7 17 2 2 2 2 2" xfId="7650" xr:uid="{00000000-0005-0000-0000-000032150000}"/>
    <cellStyle name="표준 7 17 2 2 2 3" xfId="5538" xr:uid="{00000000-0005-0000-0000-000033150000}"/>
    <cellStyle name="표준 7 17 2 2 2 3 2" xfId="8687" xr:uid="{00000000-0005-0000-0000-000034150000}"/>
    <cellStyle name="표준 7 17 2 2 2 4" xfId="6603" xr:uid="{00000000-0005-0000-0000-000035150000}"/>
    <cellStyle name="표준 7 17 2 2 3" xfId="3971" xr:uid="{00000000-0005-0000-0000-000036150000}"/>
    <cellStyle name="표준 7 17 2 2 3 2" xfId="7121" xr:uid="{00000000-0005-0000-0000-000037150000}"/>
    <cellStyle name="표준 7 17 2 2 4" xfId="5018" xr:uid="{00000000-0005-0000-0000-000038150000}"/>
    <cellStyle name="표준 7 17 2 2 4 2" xfId="8168" xr:uid="{00000000-0005-0000-0000-000039150000}"/>
    <cellStyle name="표준 7 17 2 2 5" xfId="6074" xr:uid="{00000000-0005-0000-0000-00003A150000}"/>
    <cellStyle name="표준 7 17 2 3" xfId="3228" xr:uid="{00000000-0005-0000-0000-00003B150000}"/>
    <cellStyle name="표준 7 17 2 3 2" xfId="4275" xr:uid="{00000000-0005-0000-0000-00003C150000}"/>
    <cellStyle name="표준 7 17 2 3 2 2" xfId="7425" xr:uid="{00000000-0005-0000-0000-00003D150000}"/>
    <cellStyle name="표준 7 17 2 3 3" xfId="5313" xr:uid="{00000000-0005-0000-0000-00003E150000}"/>
    <cellStyle name="표준 7 17 2 3 3 2" xfId="8462" xr:uid="{00000000-0005-0000-0000-00003F150000}"/>
    <cellStyle name="표준 7 17 2 3 4" xfId="6378" xr:uid="{00000000-0005-0000-0000-000040150000}"/>
    <cellStyle name="표준 7 17 2 4" xfId="3746" xr:uid="{00000000-0005-0000-0000-000041150000}"/>
    <cellStyle name="표준 7 17 2 4 2" xfId="6896" xr:uid="{00000000-0005-0000-0000-000042150000}"/>
    <cellStyle name="표준 7 17 2 5" xfId="4793" xr:uid="{00000000-0005-0000-0000-000043150000}"/>
    <cellStyle name="표준 7 17 2 5 2" xfId="7943" xr:uid="{00000000-0005-0000-0000-000044150000}"/>
    <cellStyle name="표준 7 17 2 6" xfId="5849" xr:uid="{00000000-0005-0000-0000-000045150000}"/>
    <cellStyle name="표준 7 17 3" xfId="2819" xr:uid="{00000000-0005-0000-0000-000046150000}"/>
    <cellStyle name="표준 7 17 3 2" xfId="3357" xr:uid="{00000000-0005-0000-0000-000047150000}"/>
    <cellStyle name="표준 7 17 3 2 2" xfId="4404" xr:uid="{00000000-0005-0000-0000-000048150000}"/>
    <cellStyle name="표준 7 17 3 2 2 2" xfId="7554" xr:uid="{00000000-0005-0000-0000-000049150000}"/>
    <cellStyle name="표준 7 17 3 2 3" xfId="5442" xr:uid="{00000000-0005-0000-0000-00004A150000}"/>
    <cellStyle name="표준 7 17 3 2 3 2" xfId="8591" xr:uid="{00000000-0005-0000-0000-00004B150000}"/>
    <cellStyle name="표준 7 17 3 2 4" xfId="6507" xr:uid="{00000000-0005-0000-0000-00004C150000}"/>
    <cellStyle name="표준 7 17 3 3" xfId="3875" xr:uid="{00000000-0005-0000-0000-00004D150000}"/>
    <cellStyle name="표준 7 17 3 3 2" xfId="7025" xr:uid="{00000000-0005-0000-0000-00004E150000}"/>
    <cellStyle name="표준 7 17 3 4" xfId="4922" xr:uid="{00000000-0005-0000-0000-00004F150000}"/>
    <cellStyle name="표준 7 17 3 4 2" xfId="8072" xr:uid="{00000000-0005-0000-0000-000050150000}"/>
    <cellStyle name="표준 7 17 3 5" xfId="5978" xr:uid="{00000000-0005-0000-0000-000051150000}"/>
    <cellStyle name="표준 7 17 4" xfId="3099" xr:uid="{00000000-0005-0000-0000-000052150000}"/>
    <cellStyle name="표준 7 17 4 2" xfId="4146" xr:uid="{00000000-0005-0000-0000-000053150000}"/>
    <cellStyle name="표준 7 17 4 2 2" xfId="7296" xr:uid="{00000000-0005-0000-0000-000054150000}"/>
    <cellStyle name="표준 7 17 4 3" xfId="5184" xr:uid="{00000000-0005-0000-0000-000055150000}"/>
    <cellStyle name="표준 7 17 4 3 2" xfId="8333" xr:uid="{00000000-0005-0000-0000-000056150000}"/>
    <cellStyle name="표준 7 17 4 4" xfId="6249" xr:uid="{00000000-0005-0000-0000-000057150000}"/>
    <cellStyle name="표준 7 17 5" xfId="3617" xr:uid="{00000000-0005-0000-0000-000058150000}"/>
    <cellStyle name="표준 7 17 5 2" xfId="6767" xr:uid="{00000000-0005-0000-0000-000059150000}"/>
    <cellStyle name="표준 7 17 6" xfId="4664" xr:uid="{00000000-0005-0000-0000-00005A150000}"/>
    <cellStyle name="표준 7 17 6 2" xfId="7814" xr:uid="{00000000-0005-0000-0000-00005B150000}"/>
    <cellStyle name="표준 7 17 7" xfId="5720" xr:uid="{00000000-0005-0000-0000-00005C150000}"/>
    <cellStyle name="표준 7 18" xfId="1838" xr:uid="{00000000-0005-0000-0000-00005D150000}"/>
    <cellStyle name="표준 7 18 2" xfId="2628" xr:uid="{00000000-0005-0000-0000-00005E150000}"/>
    <cellStyle name="표준 7 18 2 2" xfId="2916" xr:uid="{00000000-0005-0000-0000-00005F150000}"/>
    <cellStyle name="표준 7 18 2 2 2" xfId="3454" xr:uid="{00000000-0005-0000-0000-000060150000}"/>
    <cellStyle name="표준 7 18 2 2 2 2" xfId="4501" xr:uid="{00000000-0005-0000-0000-000061150000}"/>
    <cellStyle name="표준 7 18 2 2 2 2 2" xfId="7651" xr:uid="{00000000-0005-0000-0000-000062150000}"/>
    <cellStyle name="표준 7 18 2 2 2 3" xfId="5539" xr:uid="{00000000-0005-0000-0000-000063150000}"/>
    <cellStyle name="표준 7 18 2 2 2 3 2" xfId="8688" xr:uid="{00000000-0005-0000-0000-000064150000}"/>
    <cellStyle name="표준 7 18 2 2 2 4" xfId="6604" xr:uid="{00000000-0005-0000-0000-000065150000}"/>
    <cellStyle name="표준 7 18 2 2 3" xfId="3972" xr:uid="{00000000-0005-0000-0000-000066150000}"/>
    <cellStyle name="표준 7 18 2 2 3 2" xfId="7122" xr:uid="{00000000-0005-0000-0000-000067150000}"/>
    <cellStyle name="표준 7 18 2 2 4" xfId="5019" xr:uid="{00000000-0005-0000-0000-000068150000}"/>
    <cellStyle name="표준 7 18 2 2 4 2" xfId="8169" xr:uid="{00000000-0005-0000-0000-000069150000}"/>
    <cellStyle name="표준 7 18 2 2 5" xfId="6075" xr:uid="{00000000-0005-0000-0000-00006A150000}"/>
    <cellStyle name="표준 7 18 2 3" xfId="3166" xr:uid="{00000000-0005-0000-0000-00006B150000}"/>
    <cellStyle name="표준 7 18 2 3 2" xfId="4213" xr:uid="{00000000-0005-0000-0000-00006C150000}"/>
    <cellStyle name="표준 7 18 2 3 2 2" xfId="7363" xr:uid="{00000000-0005-0000-0000-00006D150000}"/>
    <cellStyle name="표준 7 18 2 3 3" xfId="5251" xr:uid="{00000000-0005-0000-0000-00006E150000}"/>
    <cellStyle name="표준 7 18 2 3 3 2" xfId="8400" xr:uid="{00000000-0005-0000-0000-00006F150000}"/>
    <cellStyle name="표준 7 18 2 3 4" xfId="6316" xr:uid="{00000000-0005-0000-0000-000070150000}"/>
    <cellStyle name="표준 7 18 2 4" xfId="3684" xr:uid="{00000000-0005-0000-0000-000071150000}"/>
    <cellStyle name="표준 7 18 2 4 2" xfId="6834" xr:uid="{00000000-0005-0000-0000-000072150000}"/>
    <cellStyle name="표준 7 18 2 5" xfId="4731" xr:uid="{00000000-0005-0000-0000-000073150000}"/>
    <cellStyle name="표준 7 18 2 5 2" xfId="7881" xr:uid="{00000000-0005-0000-0000-000074150000}"/>
    <cellStyle name="표준 7 18 2 6" xfId="5787" xr:uid="{00000000-0005-0000-0000-000075150000}"/>
    <cellStyle name="표준 7 18 3" xfId="2757" xr:uid="{00000000-0005-0000-0000-000076150000}"/>
    <cellStyle name="표준 7 18 3 2" xfId="3295" xr:uid="{00000000-0005-0000-0000-000077150000}"/>
    <cellStyle name="표준 7 18 3 2 2" xfId="4342" xr:uid="{00000000-0005-0000-0000-000078150000}"/>
    <cellStyle name="표준 7 18 3 2 2 2" xfId="7492" xr:uid="{00000000-0005-0000-0000-000079150000}"/>
    <cellStyle name="표준 7 18 3 2 3" xfId="5380" xr:uid="{00000000-0005-0000-0000-00007A150000}"/>
    <cellStyle name="표준 7 18 3 2 3 2" xfId="8529" xr:uid="{00000000-0005-0000-0000-00007B150000}"/>
    <cellStyle name="표준 7 18 3 2 4" xfId="6445" xr:uid="{00000000-0005-0000-0000-00007C150000}"/>
    <cellStyle name="표준 7 18 3 3" xfId="3813" xr:uid="{00000000-0005-0000-0000-00007D150000}"/>
    <cellStyle name="표준 7 18 3 3 2" xfId="6963" xr:uid="{00000000-0005-0000-0000-00007E150000}"/>
    <cellStyle name="표준 7 18 3 4" xfId="4860" xr:uid="{00000000-0005-0000-0000-00007F150000}"/>
    <cellStyle name="표준 7 18 3 4 2" xfId="8010" xr:uid="{00000000-0005-0000-0000-000080150000}"/>
    <cellStyle name="표준 7 18 3 5" xfId="5916" xr:uid="{00000000-0005-0000-0000-000081150000}"/>
    <cellStyle name="표준 7 18 4" xfId="3037" xr:uid="{00000000-0005-0000-0000-000082150000}"/>
    <cellStyle name="표준 7 18 4 2" xfId="4084" xr:uid="{00000000-0005-0000-0000-000083150000}"/>
    <cellStyle name="표준 7 18 4 2 2" xfId="7234" xr:uid="{00000000-0005-0000-0000-000084150000}"/>
    <cellStyle name="표준 7 18 4 3" xfId="5122" xr:uid="{00000000-0005-0000-0000-000085150000}"/>
    <cellStyle name="표준 7 18 4 3 2" xfId="8271" xr:uid="{00000000-0005-0000-0000-000086150000}"/>
    <cellStyle name="표준 7 18 4 4" xfId="6187" xr:uid="{00000000-0005-0000-0000-000087150000}"/>
    <cellStyle name="표준 7 18 5" xfId="3555" xr:uid="{00000000-0005-0000-0000-000088150000}"/>
    <cellStyle name="표준 7 18 5 2" xfId="6705" xr:uid="{00000000-0005-0000-0000-000089150000}"/>
    <cellStyle name="표준 7 18 6" xfId="4602" xr:uid="{00000000-0005-0000-0000-00008A150000}"/>
    <cellStyle name="표준 7 18 6 2" xfId="7752" xr:uid="{00000000-0005-0000-0000-00008B150000}"/>
    <cellStyle name="표준 7 18 7" xfId="5658" xr:uid="{00000000-0005-0000-0000-00008C150000}"/>
    <cellStyle name="표준 7 19" xfId="2591" xr:uid="{00000000-0005-0000-0000-00008D150000}"/>
    <cellStyle name="표준 7 2" xfId="458" xr:uid="{00000000-0005-0000-0000-00008E150000}"/>
    <cellStyle name="표준 7 2 10" xfId="4577" xr:uid="{00000000-0005-0000-0000-00008F150000}"/>
    <cellStyle name="표준 7 2 10 2" xfId="7727" xr:uid="{00000000-0005-0000-0000-000090150000}"/>
    <cellStyle name="표준 7 2 11" xfId="5633" xr:uid="{00000000-0005-0000-0000-000091150000}"/>
    <cellStyle name="표준 7 2 2" xfId="1798" xr:uid="{00000000-0005-0000-0000-000092150000}"/>
    <cellStyle name="표준 7 2 3" xfId="1875" xr:uid="{00000000-0005-0000-0000-000093150000}"/>
    <cellStyle name="표준 7 2 3 2" xfId="2665" xr:uid="{00000000-0005-0000-0000-000094150000}"/>
    <cellStyle name="표준 7 2 3 2 2" xfId="2917" xr:uid="{00000000-0005-0000-0000-000095150000}"/>
    <cellStyle name="표준 7 2 3 2 2 2" xfId="3455" xr:uid="{00000000-0005-0000-0000-000096150000}"/>
    <cellStyle name="표준 7 2 3 2 2 2 2" xfId="4502" xr:uid="{00000000-0005-0000-0000-000097150000}"/>
    <cellStyle name="표준 7 2 3 2 2 2 2 2" xfId="7652" xr:uid="{00000000-0005-0000-0000-000098150000}"/>
    <cellStyle name="표준 7 2 3 2 2 2 3" xfId="5540" xr:uid="{00000000-0005-0000-0000-000099150000}"/>
    <cellStyle name="표준 7 2 3 2 2 2 3 2" xfId="8689" xr:uid="{00000000-0005-0000-0000-00009A150000}"/>
    <cellStyle name="표준 7 2 3 2 2 2 4" xfId="6605" xr:uid="{00000000-0005-0000-0000-00009B150000}"/>
    <cellStyle name="표준 7 2 3 2 2 3" xfId="3973" xr:uid="{00000000-0005-0000-0000-00009C150000}"/>
    <cellStyle name="표준 7 2 3 2 2 3 2" xfId="7123" xr:uid="{00000000-0005-0000-0000-00009D150000}"/>
    <cellStyle name="표준 7 2 3 2 2 4" xfId="5020" xr:uid="{00000000-0005-0000-0000-00009E150000}"/>
    <cellStyle name="표준 7 2 3 2 2 4 2" xfId="8170" xr:uid="{00000000-0005-0000-0000-00009F150000}"/>
    <cellStyle name="표준 7 2 3 2 2 5" xfId="6076" xr:uid="{00000000-0005-0000-0000-0000A0150000}"/>
    <cellStyle name="표준 7 2 3 2 3" xfId="3203" xr:uid="{00000000-0005-0000-0000-0000A1150000}"/>
    <cellStyle name="표준 7 2 3 2 3 2" xfId="4250" xr:uid="{00000000-0005-0000-0000-0000A2150000}"/>
    <cellStyle name="표준 7 2 3 2 3 2 2" xfId="7400" xr:uid="{00000000-0005-0000-0000-0000A3150000}"/>
    <cellStyle name="표준 7 2 3 2 3 3" xfId="5288" xr:uid="{00000000-0005-0000-0000-0000A4150000}"/>
    <cellStyle name="표준 7 2 3 2 3 3 2" xfId="8437" xr:uid="{00000000-0005-0000-0000-0000A5150000}"/>
    <cellStyle name="표준 7 2 3 2 3 4" xfId="6353" xr:uid="{00000000-0005-0000-0000-0000A6150000}"/>
    <cellStyle name="표준 7 2 3 2 4" xfId="3721" xr:uid="{00000000-0005-0000-0000-0000A7150000}"/>
    <cellStyle name="표준 7 2 3 2 4 2" xfId="6871" xr:uid="{00000000-0005-0000-0000-0000A8150000}"/>
    <cellStyle name="표준 7 2 3 2 5" xfId="4768" xr:uid="{00000000-0005-0000-0000-0000A9150000}"/>
    <cellStyle name="표준 7 2 3 2 5 2" xfId="7918" xr:uid="{00000000-0005-0000-0000-0000AA150000}"/>
    <cellStyle name="표준 7 2 3 2 6" xfId="5824" xr:uid="{00000000-0005-0000-0000-0000AB150000}"/>
    <cellStyle name="표준 7 2 3 3" xfId="2794" xr:uid="{00000000-0005-0000-0000-0000AC150000}"/>
    <cellStyle name="표준 7 2 3 3 2" xfId="3332" xr:uid="{00000000-0005-0000-0000-0000AD150000}"/>
    <cellStyle name="표준 7 2 3 3 2 2" xfId="4379" xr:uid="{00000000-0005-0000-0000-0000AE150000}"/>
    <cellStyle name="표준 7 2 3 3 2 2 2" xfId="7529" xr:uid="{00000000-0005-0000-0000-0000AF150000}"/>
    <cellStyle name="표준 7 2 3 3 2 3" xfId="5417" xr:uid="{00000000-0005-0000-0000-0000B0150000}"/>
    <cellStyle name="표준 7 2 3 3 2 3 2" xfId="8566" xr:uid="{00000000-0005-0000-0000-0000B1150000}"/>
    <cellStyle name="표준 7 2 3 3 2 4" xfId="6482" xr:uid="{00000000-0005-0000-0000-0000B2150000}"/>
    <cellStyle name="표준 7 2 3 3 3" xfId="3850" xr:uid="{00000000-0005-0000-0000-0000B3150000}"/>
    <cellStyle name="표준 7 2 3 3 3 2" xfId="7000" xr:uid="{00000000-0005-0000-0000-0000B4150000}"/>
    <cellStyle name="표준 7 2 3 3 4" xfId="4897" xr:uid="{00000000-0005-0000-0000-0000B5150000}"/>
    <cellStyle name="표준 7 2 3 3 4 2" xfId="8047" xr:uid="{00000000-0005-0000-0000-0000B6150000}"/>
    <cellStyle name="표준 7 2 3 3 5" xfId="5953" xr:uid="{00000000-0005-0000-0000-0000B7150000}"/>
    <cellStyle name="표준 7 2 3 4" xfId="3074" xr:uid="{00000000-0005-0000-0000-0000B8150000}"/>
    <cellStyle name="표준 7 2 3 4 2" xfId="4121" xr:uid="{00000000-0005-0000-0000-0000B9150000}"/>
    <cellStyle name="표준 7 2 3 4 2 2" xfId="7271" xr:uid="{00000000-0005-0000-0000-0000BA150000}"/>
    <cellStyle name="표준 7 2 3 4 3" xfId="5159" xr:uid="{00000000-0005-0000-0000-0000BB150000}"/>
    <cellStyle name="표준 7 2 3 4 3 2" xfId="8308" xr:uid="{00000000-0005-0000-0000-0000BC150000}"/>
    <cellStyle name="표준 7 2 3 4 4" xfId="6224" xr:uid="{00000000-0005-0000-0000-0000BD150000}"/>
    <cellStyle name="표준 7 2 3 5" xfId="3592" xr:uid="{00000000-0005-0000-0000-0000BE150000}"/>
    <cellStyle name="표준 7 2 3 5 2" xfId="6742" xr:uid="{00000000-0005-0000-0000-0000BF150000}"/>
    <cellStyle name="표준 7 2 3 6" xfId="4639" xr:uid="{00000000-0005-0000-0000-0000C0150000}"/>
    <cellStyle name="표준 7 2 3 6 2" xfId="7789" xr:uid="{00000000-0005-0000-0000-0000C1150000}"/>
    <cellStyle name="표준 7 2 3 7" xfId="5695" xr:uid="{00000000-0005-0000-0000-0000C2150000}"/>
    <cellStyle name="표준 7 2 4" xfId="1908" xr:uid="{00000000-0005-0000-0000-0000C3150000}"/>
    <cellStyle name="표준 7 2 4 2" xfId="2698" xr:uid="{00000000-0005-0000-0000-0000C4150000}"/>
    <cellStyle name="표준 7 2 4 2 2" xfId="2918" xr:uid="{00000000-0005-0000-0000-0000C5150000}"/>
    <cellStyle name="표준 7 2 4 2 2 2" xfId="3456" xr:uid="{00000000-0005-0000-0000-0000C6150000}"/>
    <cellStyle name="표준 7 2 4 2 2 2 2" xfId="4503" xr:uid="{00000000-0005-0000-0000-0000C7150000}"/>
    <cellStyle name="표준 7 2 4 2 2 2 2 2" xfId="7653" xr:uid="{00000000-0005-0000-0000-0000C8150000}"/>
    <cellStyle name="표준 7 2 4 2 2 2 3" xfId="5541" xr:uid="{00000000-0005-0000-0000-0000C9150000}"/>
    <cellStyle name="표준 7 2 4 2 2 2 3 2" xfId="8690" xr:uid="{00000000-0005-0000-0000-0000CA150000}"/>
    <cellStyle name="표준 7 2 4 2 2 2 4" xfId="6606" xr:uid="{00000000-0005-0000-0000-0000CB150000}"/>
    <cellStyle name="표준 7 2 4 2 2 3" xfId="3974" xr:uid="{00000000-0005-0000-0000-0000CC150000}"/>
    <cellStyle name="표준 7 2 4 2 2 3 2" xfId="7124" xr:uid="{00000000-0005-0000-0000-0000CD150000}"/>
    <cellStyle name="표준 7 2 4 2 2 4" xfId="5021" xr:uid="{00000000-0005-0000-0000-0000CE150000}"/>
    <cellStyle name="표준 7 2 4 2 2 4 2" xfId="8171" xr:uid="{00000000-0005-0000-0000-0000CF150000}"/>
    <cellStyle name="표준 7 2 4 2 2 5" xfId="6077" xr:uid="{00000000-0005-0000-0000-0000D0150000}"/>
    <cellStyle name="표준 7 2 4 2 3" xfId="3236" xr:uid="{00000000-0005-0000-0000-0000D1150000}"/>
    <cellStyle name="표준 7 2 4 2 3 2" xfId="4283" xr:uid="{00000000-0005-0000-0000-0000D2150000}"/>
    <cellStyle name="표준 7 2 4 2 3 2 2" xfId="7433" xr:uid="{00000000-0005-0000-0000-0000D3150000}"/>
    <cellStyle name="표준 7 2 4 2 3 3" xfId="5321" xr:uid="{00000000-0005-0000-0000-0000D4150000}"/>
    <cellStyle name="표준 7 2 4 2 3 3 2" xfId="8470" xr:uid="{00000000-0005-0000-0000-0000D5150000}"/>
    <cellStyle name="표준 7 2 4 2 3 4" xfId="6386" xr:uid="{00000000-0005-0000-0000-0000D6150000}"/>
    <cellStyle name="표준 7 2 4 2 4" xfId="3754" xr:uid="{00000000-0005-0000-0000-0000D7150000}"/>
    <cellStyle name="표준 7 2 4 2 4 2" xfId="6904" xr:uid="{00000000-0005-0000-0000-0000D8150000}"/>
    <cellStyle name="표준 7 2 4 2 5" xfId="4801" xr:uid="{00000000-0005-0000-0000-0000D9150000}"/>
    <cellStyle name="표준 7 2 4 2 5 2" xfId="7951" xr:uid="{00000000-0005-0000-0000-0000DA150000}"/>
    <cellStyle name="표준 7 2 4 2 6" xfId="5857" xr:uid="{00000000-0005-0000-0000-0000DB150000}"/>
    <cellStyle name="표준 7 2 4 3" xfId="2827" xr:uid="{00000000-0005-0000-0000-0000DC150000}"/>
    <cellStyle name="표준 7 2 4 3 2" xfId="3365" xr:uid="{00000000-0005-0000-0000-0000DD150000}"/>
    <cellStyle name="표준 7 2 4 3 2 2" xfId="4412" xr:uid="{00000000-0005-0000-0000-0000DE150000}"/>
    <cellStyle name="표준 7 2 4 3 2 2 2" xfId="7562" xr:uid="{00000000-0005-0000-0000-0000DF150000}"/>
    <cellStyle name="표준 7 2 4 3 2 3" xfId="5450" xr:uid="{00000000-0005-0000-0000-0000E0150000}"/>
    <cellStyle name="표준 7 2 4 3 2 3 2" xfId="8599" xr:uid="{00000000-0005-0000-0000-0000E1150000}"/>
    <cellStyle name="표준 7 2 4 3 2 4" xfId="6515" xr:uid="{00000000-0005-0000-0000-0000E2150000}"/>
    <cellStyle name="표준 7 2 4 3 3" xfId="3883" xr:uid="{00000000-0005-0000-0000-0000E3150000}"/>
    <cellStyle name="표준 7 2 4 3 3 2" xfId="7033" xr:uid="{00000000-0005-0000-0000-0000E4150000}"/>
    <cellStyle name="표준 7 2 4 3 4" xfId="4930" xr:uid="{00000000-0005-0000-0000-0000E5150000}"/>
    <cellStyle name="표준 7 2 4 3 4 2" xfId="8080" xr:uid="{00000000-0005-0000-0000-0000E6150000}"/>
    <cellStyle name="표준 7 2 4 3 5" xfId="5986" xr:uid="{00000000-0005-0000-0000-0000E7150000}"/>
    <cellStyle name="표준 7 2 4 4" xfId="3107" xr:uid="{00000000-0005-0000-0000-0000E8150000}"/>
    <cellStyle name="표준 7 2 4 4 2" xfId="4154" xr:uid="{00000000-0005-0000-0000-0000E9150000}"/>
    <cellStyle name="표준 7 2 4 4 2 2" xfId="7304" xr:uid="{00000000-0005-0000-0000-0000EA150000}"/>
    <cellStyle name="표준 7 2 4 4 3" xfId="5192" xr:uid="{00000000-0005-0000-0000-0000EB150000}"/>
    <cellStyle name="표준 7 2 4 4 3 2" xfId="8341" xr:uid="{00000000-0005-0000-0000-0000EC150000}"/>
    <cellStyle name="표준 7 2 4 4 4" xfId="6257" xr:uid="{00000000-0005-0000-0000-0000ED150000}"/>
    <cellStyle name="표준 7 2 4 5" xfId="3625" xr:uid="{00000000-0005-0000-0000-0000EE150000}"/>
    <cellStyle name="표준 7 2 4 5 2" xfId="6775" xr:uid="{00000000-0005-0000-0000-0000EF150000}"/>
    <cellStyle name="표준 7 2 4 6" xfId="4672" xr:uid="{00000000-0005-0000-0000-0000F0150000}"/>
    <cellStyle name="표준 7 2 4 6 2" xfId="7822" xr:uid="{00000000-0005-0000-0000-0000F1150000}"/>
    <cellStyle name="표준 7 2 4 7" xfId="5728" xr:uid="{00000000-0005-0000-0000-0000F2150000}"/>
    <cellStyle name="표준 7 2 5" xfId="1842" xr:uid="{00000000-0005-0000-0000-0000F3150000}"/>
    <cellStyle name="표준 7 2 5 2" xfId="2632" xr:uid="{00000000-0005-0000-0000-0000F4150000}"/>
    <cellStyle name="표준 7 2 5 2 2" xfId="2919" xr:uid="{00000000-0005-0000-0000-0000F5150000}"/>
    <cellStyle name="표준 7 2 5 2 2 2" xfId="3457" xr:uid="{00000000-0005-0000-0000-0000F6150000}"/>
    <cellStyle name="표준 7 2 5 2 2 2 2" xfId="4504" xr:uid="{00000000-0005-0000-0000-0000F7150000}"/>
    <cellStyle name="표준 7 2 5 2 2 2 2 2" xfId="7654" xr:uid="{00000000-0005-0000-0000-0000F8150000}"/>
    <cellStyle name="표준 7 2 5 2 2 2 3" xfId="5542" xr:uid="{00000000-0005-0000-0000-0000F9150000}"/>
    <cellStyle name="표준 7 2 5 2 2 2 3 2" xfId="8691" xr:uid="{00000000-0005-0000-0000-0000FA150000}"/>
    <cellStyle name="표준 7 2 5 2 2 2 4" xfId="6607" xr:uid="{00000000-0005-0000-0000-0000FB150000}"/>
    <cellStyle name="표준 7 2 5 2 2 3" xfId="3975" xr:uid="{00000000-0005-0000-0000-0000FC150000}"/>
    <cellStyle name="표준 7 2 5 2 2 3 2" xfId="7125" xr:uid="{00000000-0005-0000-0000-0000FD150000}"/>
    <cellStyle name="표준 7 2 5 2 2 4" xfId="5022" xr:uid="{00000000-0005-0000-0000-0000FE150000}"/>
    <cellStyle name="표준 7 2 5 2 2 4 2" xfId="8172" xr:uid="{00000000-0005-0000-0000-0000FF150000}"/>
    <cellStyle name="표준 7 2 5 2 2 5" xfId="6078" xr:uid="{00000000-0005-0000-0000-000000160000}"/>
    <cellStyle name="표준 7 2 5 2 3" xfId="3170" xr:uid="{00000000-0005-0000-0000-000001160000}"/>
    <cellStyle name="표준 7 2 5 2 3 2" xfId="4217" xr:uid="{00000000-0005-0000-0000-000002160000}"/>
    <cellStyle name="표준 7 2 5 2 3 2 2" xfId="7367" xr:uid="{00000000-0005-0000-0000-000003160000}"/>
    <cellStyle name="표준 7 2 5 2 3 3" xfId="5255" xr:uid="{00000000-0005-0000-0000-000004160000}"/>
    <cellStyle name="표준 7 2 5 2 3 3 2" xfId="8404" xr:uid="{00000000-0005-0000-0000-000005160000}"/>
    <cellStyle name="표준 7 2 5 2 3 4" xfId="6320" xr:uid="{00000000-0005-0000-0000-000006160000}"/>
    <cellStyle name="표준 7 2 5 2 4" xfId="3688" xr:uid="{00000000-0005-0000-0000-000007160000}"/>
    <cellStyle name="표준 7 2 5 2 4 2" xfId="6838" xr:uid="{00000000-0005-0000-0000-000008160000}"/>
    <cellStyle name="표준 7 2 5 2 5" xfId="4735" xr:uid="{00000000-0005-0000-0000-000009160000}"/>
    <cellStyle name="표준 7 2 5 2 5 2" xfId="7885" xr:uid="{00000000-0005-0000-0000-00000A160000}"/>
    <cellStyle name="표준 7 2 5 2 6" xfId="5791" xr:uid="{00000000-0005-0000-0000-00000B160000}"/>
    <cellStyle name="표준 7 2 5 3" xfId="2761" xr:uid="{00000000-0005-0000-0000-00000C160000}"/>
    <cellStyle name="표준 7 2 5 3 2" xfId="3299" xr:uid="{00000000-0005-0000-0000-00000D160000}"/>
    <cellStyle name="표준 7 2 5 3 2 2" xfId="4346" xr:uid="{00000000-0005-0000-0000-00000E160000}"/>
    <cellStyle name="표준 7 2 5 3 2 2 2" xfId="7496" xr:uid="{00000000-0005-0000-0000-00000F160000}"/>
    <cellStyle name="표준 7 2 5 3 2 3" xfId="5384" xr:uid="{00000000-0005-0000-0000-000010160000}"/>
    <cellStyle name="표준 7 2 5 3 2 3 2" xfId="8533" xr:uid="{00000000-0005-0000-0000-000011160000}"/>
    <cellStyle name="표준 7 2 5 3 2 4" xfId="6449" xr:uid="{00000000-0005-0000-0000-000012160000}"/>
    <cellStyle name="표준 7 2 5 3 3" xfId="3817" xr:uid="{00000000-0005-0000-0000-000013160000}"/>
    <cellStyle name="표준 7 2 5 3 3 2" xfId="6967" xr:uid="{00000000-0005-0000-0000-000014160000}"/>
    <cellStyle name="표준 7 2 5 3 4" xfId="4864" xr:uid="{00000000-0005-0000-0000-000015160000}"/>
    <cellStyle name="표준 7 2 5 3 4 2" xfId="8014" xr:uid="{00000000-0005-0000-0000-000016160000}"/>
    <cellStyle name="표준 7 2 5 3 5" xfId="5920" xr:uid="{00000000-0005-0000-0000-000017160000}"/>
    <cellStyle name="표준 7 2 5 4" xfId="3041" xr:uid="{00000000-0005-0000-0000-000018160000}"/>
    <cellStyle name="표준 7 2 5 4 2" xfId="4088" xr:uid="{00000000-0005-0000-0000-000019160000}"/>
    <cellStyle name="표준 7 2 5 4 2 2" xfId="7238" xr:uid="{00000000-0005-0000-0000-00001A160000}"/>
    <cellStyle name="표준 7 2 5 4 3" xfId="5126" xr:uid="{00000000-0005-0000-0000-00001B160000}"/>
    <cellStyle name="표준 7 2 5 4 3 2" xfId="8275" xr:uid="{00000000-0005-0000-0000-00001C160000}"/>
    <cellStyle name="표준 7 2 5 4 4" xfId="6191" xr:uid="{00000000-0005-0000-0000-00001D160000}"/>
    <cellStyle name="표준 7 2 5 5" xfId="3559" xr:uid="{00000000-0005-0000-0000-00001E160000}"/>
    <cellStyle name="표준 7 2 5 5 2" xfId="6709" xr:uid="{00000000-0005-0000-0000-00001F160000}"/>
    <cellStyle name="표준 7 2 5 6" xfId="4606" xr:uid="{00000000-0005-0000-0000-000020160000}"/>
    <cellStyle name="표준 7 2 5 6 2" xfId="7756" xr:uid="{00000000-0005-0000-0000-000021160000}"/>
    <cellStyle name="표준 7 2 5 7" xfId="5662" xr:uid="{00000000-0005-0000-0000-000022160000}"/>
    <cellStyle name="표준 7 2 6" xfId="2603" xr:uid="{00000000-0005-0000-0000-000023160000}"/>
    <cellStyle name="표준 7 2 6 2" xfId="2920" xr:uid="{00000000-0005-0000-0000-000024160000}"/>
    <cellStyle name="표준 7 2 6 2 2" xfId="3458" xr:uid="{00000000-0005-0000-0000-000025160000}"/>
    <cellStyle name="표준 7 2 6 2 2 2" xfId="4505" xr:uid="{00000000-0005-0000-0000-000026160000}"/>
    <cellStyle name="표준 7 2 6 2 2 2 2" xfId="7655" xr:uid="{00000000-0005-0000-0000-000027160000}"/>
    <cellStyle name="표준 7 2 6 2 2 3" xfId="5543" xr:uid="{00000000-0005-0000-0000-000028160000}"/>
    <cellStyle name="표준 7 2 6 2 2 3 2" xfId="8692" xr:uid="{00000000-0005-0000-0000-000029160000}"/>
    <cellStyle name="표준 7 2 6 2 2 4" xfId="6608" xr:uid="{00000000-0005-0000-0000-00002A160000}"/>
    <cellStyle name="표준 7 2 6 2 3" xfId="3976" xr:uid="{00000000-0005-0000-0000-00002B160000}"/>
    <cellStyle name="표준 7 2 6 2 3 2" xfId="7126" xr:uid="{00000000-0005-0000-0000-00002C160000}"/>
    <cellStyle name="표준 7 2 6 2 4" xfId="5023" xr:uid="{00000000-0005-0000-0000-00002D160000}"/>
    <cellStyle name="표준 7 2 6 2 4 2" xfId="8173" xr:uid="{00000000-0005-0000-0000-00002E160000}"/>
    <cellStyle name="표준 7 2 6 2 5" xfId="6079" xr:uid="{00000000-0005-0000-0000-00002F160000}"/>
    <cellStyle name="표준 7 2 6 3" xfId="3141" xr:uid="{00000000-0005-0000-0000-000030160000}"/>
    <cellStyle name="표준 7 2 6 3 2" xfId="4188" xr:uid="{00000000-0005-0000-0000-000031160000}"/>
    <cellStyle name="표준 7 2 6 3 2 2" xfId="7338" xr:uid="{00000000-0005-0000-0000-000032160000}"/>
    <cellStyle name="표준 7 2 6 3 3" xfId="5226" xr:uid="{00000000-0005-0000-0000-000033160000}"/>
    <cellStyle name="표준 7 2 6 3 3 2" xfId="8375" xr:uid="{00000000-0005-0000-0000-000034160000}"/>
    <cellStyle name="표준 7 2 6 3 4" xfId="6291" xr:uid="{00000000-0005-0000-0000-000035160000}"/>
    <cellStyle name="표준 7 2 6 4" xfId="3659" xr:uid="{00000000-0005-0000-0000-000036160000}"/>
    <cellStyle name="표준 7 2 6 4 2" xfId="6809" xr:uid="{00000000-0005-0000-0000-000037160000}"/>
    <cellStyle name="표준 7 2 6 5" xfId="4706" xr:uid="{00000000-0005-0000-0000-000038160000}"/>
    <cellStyle name="표준 7 2 6 5 2" xfId="7856" xr:uid="{00000000-0005-0000-0000-000039160000}"/>
    <cellStyle name="표준 7 2 6 6" xfId="5762" xr:uid="{00000000-0005-0000-0000-00003A160000}"/>
    <cellStyle name="표준 7 2 7" xfId="2732" xr:uid="{00000000-0005-0000-0000-00003B160000}"/>
    <cellStyle name="표준 7 2 7 2" xfId="3270" xr:uid="{00000000-0005-0000-0000-00003C160000}"/>
    <cellStyle name="표준 7 2 7 2 2" xfId="4317" xr:uid="{00000000-0005-0000-0000-00003D160000}"/>
    <cellStyle name="표준 7 2 7 2 2 2" xfId="7467" xr:uid="{00000000-0005-0000-0000-00003E160000}"/>
    <cellStyle name="표준 7 2 7 2 3" xfId="5355" xr:uid="{00000000-0005-0000-0000-00003F160000}"/>
    <cellStyle name="표준 7 2 7 2 3 2" xfId="8504" xr:uid="{00000000-0005-0000-0000-000040160000}"/>
    <cellStyle name="표준 7 2 7 2 4" xfId="6420" xr:uid="{00000000-0005-0000-0000-000041160000}"/>
    <cellStyle name="표준 7 2 7 3" xfId="3788" xr:uid="{00000000-0005-0000-0000-000042160000}"/>
    <cellStyle name="표준 7 2 7 3 2" xfId="6938" xr:uid="{00000000-0005-0000-0000-000043160000}"/>
    <cellStyle name="표준 7 2 7 4" xfId="4835" xr:uid="{00000000-0005-0000-0000-000044160000}"/>
    <cellStyle name="표준 7 2 7 4 2" xfId="7985" xr:uid="{00000000-0005-0000-0000-000045160000}"/>
    <cellStyle name="표준 7 2 7 5" xfId="5891" xr:uid="{00000000-0005-0000-0000-000046160000}"/>
    <cellStyle name="표준 7 2 8" xfId="3012" xr:uid="{00000000-0005-0000-0000-000047160000}"/>
    <cellStyle name="표준 7 2 8 2" xfId="4059" xr:uid="{00000000-0005-0000-0000-000048160000}"/>
    <cellStyle name="표준 7 2 8 2 2" xfId="7209" xr:uid="{00000000-0005-0000-0000-000049160000}"/>
    <cellStyle name="표준 7 2 8 3" xfId="5097" xr:uid="{00000000-0005-0000-0000-00004A160000}"/>
    <cellStyle name="표준 7 2 8 3 2" xfId="8246" xr:uid="{00000000-0005-0000-0000-00004B160000}"/>
    <cellStyle name="표준 7 2 8 4" xfId="6162" xr:uid="{00000000-0005-0000-0000-00004C160000}"/>
    <cellStyle name="표준 7 2 9" xfId="3530" xr:uid="{00000000-0005-0000-0000-00004D160000}"/>
    <cellStyle name="표준 7 2 9 2" xfId="6680" xr:uid="{00000000-0005-0000-0000-00004E160000}"/>
    <cellStyle name="표준 7 20" xfId="2595" xr:uid="{00000000-0005-0000-0000-00004F160000}"/>
    <cellStyle name="표준 7 20 2" xfId="2921" xr:uid="{00000000-0005-0000-0000-000050160000}"/>
    <cellStyle name="표준 7 20 2 2" xfId="3459" xr:uid="{00000000-0005-0000-0000-000051160000}"/>
    <cellStyle name="표준 7 20 2 2 2" xfId="4506" xr:uid="{00000000-0005-0000-0000-000052160000}"/>
    <cellStyle name="표준 7 20 2 2 2 2" xfId="7656" xr:uid="{00000000-0005-0000-0000-000053160000}"/>
    <cellStyle name="표준 7 20 2 2 3" xfId="5544" xr:uid="{00000000-0005-0000-0000-000054160000}"/>
    <cellStyle name="표준 7 20 2 2 3 2" xfId="8693" xr:uid="{00000000-0005-0000-0000-000055160000}"/>
    <cellStyle name="표준 7 20 2 2 4" xfId="6609" xr:uid="{00000000-0005-0000-0000-000056160000}"/>
    <cellStyle name="표준 7 20 2 3" xfId="3977" xr:uid="{00000000-0005-0000-0000-000057160000}"/>
    <cellStyle name="표준 7 20 2 3 2" xfId="7127" xr:uid="{00000000-0005-0000-0000-000058160000}"/>
    <cellStyle name="표준 7 20 2 4" xfId="5024" xr:uid="{00000000-0005-0000-0000-000059160000}"/>
    <cellStyle name="표준 7 20 2 4 2" xfId="8174" xr:uid="{00000000-0005-0000-0000-00005A160000}"/>
    <cellStyle name="표준 7 20 2 5" xfId="6080" xr:uid="{00000000-0005-0000-0000-00005B160000}"/>
    <cellStyle name="표준 7 20 3" xfId="3133" xr:uid="{00000000-0005-0000-0000-00005C160000}"/>
    <cellStyle name="표준 7 20 3 2" xfId="4180" xr:uid="{00000000-0005-0000-0000-00005D160000}"/>
    <cellStyle name="표준 7 20 3 2 2" xfId="7330" xr:uid="{00000000-0005-0000-0000-00005E160000}"/>
    <cellStyle name="표준 7 20 3 3" xfId="5218" xr:uid="{00000000-0005-0000-0000-00005F160000}"/>
    <cellStyle name="표준 7 20 3 3 2" xfId="8367" xr:uid="{00000000-0005-0000-0000-000060160000}"/>
    <cellStyle name="표준 7 20 3 4" xfId="6283" xr:uid="{00000000-0005-0000-0000-000061160000}"/>
    <cellStyle name="표준 7 20 4" xfId="3651" xr:uid="{00000000-0005-0000-0000-000062160000}"/>
    <cellStyle name="표준 7 20 4 2" xfId="6801" xr:uid="{00000000-0005-0000-0000-000063160000}"/>
    <cellStyle name="표준 7 20 5" xfId="4698" xr:uid="{00000000-0005-0000-0000-000064160000}"/>
    <cellStyle name="표준 7 20 5 2" xfId="7848" xr:uid="{00000000-0005-0000-0000-000065160000}"/>
    <cellStyle name="표준 7 20 6" xfId="5754" xr:uid="{00000000-0005-0000-0000-000066160000}"/>
    <cellStyle name="표준 7 21" xfId="2724" xr:uid="{00000000-0005-0000-0000-000067160000}"/>
    <cellStyle name="표준 7 21 2" xfId="3262" xr:uid="{00000000-0005-0000-0000-000068160000}"/>
    <cellStyle name="표준 7 21 2 2" xfId="4309" xr:uid="{00000000-0005-0000-0000-000069160000}"/>
    <cellStyle name="표준 7 21 2 2 2" xfId="7459" xr:uid="{00000000-0005-0000-0000-00006A160000}"/>
    <cellStyle name="표준 7 21 2 3" xfId="5347" xr:uid="{00000000-0005-0000-0000-00006B160000}"/>
    <cellStyle name="표준 7 21 2 3 2" xfId="8496" xr:uid="{00000000-0005-0000-0000-00006C160000}"/>
    <cellStyle name="표준 7 21 2 4" xfId="6412" xr:uid="{00000000-0005-0000-0000-00006D160000}"/>
    <cellStyle name="표준 7 21 3" xfId="3780" xr:uid="{00000000-0005-0000-0000-00006E160000}"/>
    <cellStyle name="표준 7 21 3 2" xfId="6930" xr:uid="{00000000-0005-0000-0000-00006F160000}"/>
    <cellStyle name="표준 7 21 4" xfId="4827" xr:uid="{00000000-0005-0000-0000-000070160000}"/>
    <cellStyle name="표준 7 21 4 2" xfId="7977" xr:uid="{00000000-0005-0000-0000-000071160000}"/>
    <cellStyle name="표준 7 21 5" xfId="5883" xr:uid="{00000000-0005-0000-0000-000072160000}"/>
    <cellStyle name="표준 7 22" xfId="3004" xr:uid="{00000000-0005-0000-0000-000073160000}"/>
    <cellStyle name="표준 7 22 2" xfId="4051" xr:uid="{00000000-0005-0000-0000-000074160000}"/>
    <cellStyle name="표준 7 22 2 2" xfId="7201" xr:uid="{00000000-0005-0000-0000-000075160000}"/>
    <cellStyle name="표준 7 22 3" xfId="5089" xr:uid="{00000000-0005-0000-0000-000076160000}"/>
    <cellStyle name="표준 7 22 3 2" xfId="8238" xr:uid="{00000000-0005-0000-0000-000077160000}"/>
    <cellStyle name="표준 7 22 4" xfId="6154" xr:uid="{00000000-0005-0000-0000-000078160000}"/>
    <cellStyle name="표준 7 23" xfId="3522" xr:uid="{00000000-0005-0000-0000-000079160000}"/>
    <cellStyle name="표준 7 23 2" xfId="6672" xr:uid="{00000000-0005-0000-0000-00007A160000}"/>
    <cellStyle name="표준 7 24" xfId="4569" xr:uid="{00000000-0005-0000-0000-00007B160000}"/>
    <cellStyle name="표준 7 24 2" xfId="7719" xr:uid="{00000000-0005-0000-0000-00007C160000}"/>
    <cellStyle name="표준 7 25" xfId="5625" xr:uid="{00000000-0005-0000-0000-00007D160000}"/>
    <cellStyle name="표준 7 26" xfId="440" xr:uid="{00000000-0005-0000-0000-00007E160000}"/>
    <cellStyle name="표준 7 3" xfId="1799" xr:uid="{00000000-0005-0000-0000-00007F160000}"/>
    <cellStyle name="표준 7 4" xfId="1800" xr:uid="{00000000-0005-0000-0000-000080160000}"/>
    <cellStyle name="표준 7 5" xfId="1801" xr:uid="{00000000-0005-0000-0000-000081160000}"/>
    <cellStyle name="표준 7 6" xfId="1802" xr:uid="{00000000-0005-0000-0000-000082160000}"/>
    <cellStyle name="표준 7 7" xfId="1803" xr:uid="{00000000-0005-0000-0000-000083160000}"/>
    <cellStyle name="표준 7 8" xfId="1804" xr:uid="{00000000-0005-0000-0000-000084160000}"/>
    <cellStyle name="표준 7 9" xfId="1805" xr:uid="{00000000-0005-0000-0000-000085160000}"/>
    <cellStyle name="표준 70" xfId="1806" xr:uid="{00000000-0005-0000-0000-000086160000}"/>
    <cellStyle name="표준 71" xfId="1807" xr:uid="{00000000-0005-0000-0000-000087160000}"/>
    <cellStyle name="표준 8" xfId="408" xr:uid="{00000000-0005-0000-0000-000088160000}"/>
    <cellStyle name="표준 8 10" xfId="1868" xr:uid="{00000000-0005-0000-0000-000089160000}"/>
    <cellStyle name="표준 8 10 2" xfId="2658" xr:uid="{00000000-0005-0000-0000-00008A160000}"/>
    <cellStyle name="표준 8 10 2 2" xfId="2922" xr:uid="{00000000-0005-0000-0000-00008B160000}"/>
    <cellStyle name="표준 8 10 2 2 2" xfId="3460" xr:uid="{00000000-0005-0000-0000-00008C160000}"/>
    <cellStyle name="표준 8 10 2 2 2 2" xfId="4507" xr:uid="{00000000-0005-0000-0000-00008D160000}"/>
    <cellStyle name="표준 8 10 2 2 2 2 2" xfId="7657" xr:uid="{00000000-0005-0000-0000-00008E160000}"/>
    <cellStyle name="표준 8 10 2 2 2 3" xfId="5545" xr:uid="{00000000-0005-0000-0000-00008F160000}"/>
    <cellStyle name="표준 8 10 2 2 2 3 2" xfId="8694" xr:uid="{00000000-0005-0000-0000-000090160000}"/>
    <cellStyle name="표준 8 10 2 2 2 4" xfId="6610" xr:uid="{00000000-0005-0000-0000-000091160000}"/>
    <cellStyle name="표준 8 10 2 2 3" xfId="3978" xr:uid="{00000000-0005-0000-0000-000092160000}"/>
    <cellStyle name="표준 8 10 2 2 3 2" xfId="7128" xr:uid="{00000000-0005-0000-0000-000093160000}"/>
    <cellStyle name="표준 8 10 2 2 4" xfId="5025" xr:uid="{00000000-0005-0000-0000-000094160000}"/>
    <cellStyle name="표준 8 10 2 2 4 2" xfId="8175" xr:uid="{00000000-0005-0000-0000-000095160000}"/>
    <cellStyle name="표준 8 10 2 2 5" xfId="6081" xr:uid="{00000000-0005-0000-0000-000096160000}"/>
    <cellStyle name="표준 8 10 2 3" xfId="3196" xr:uid="{00000000-0005-0000-0000-000097160000}"/>
    <cellStyle name="표준 8 10 2 3 2" xfId="4243" xr:uid="{00000000-0005-0000-0000-000098160000}"/>
    <cellStyle name="표준 8 10 2 3 2 2" xfId="7393" xr:uid="{00000000-0005-0000-0000-000099160000}"/>
    <cellStyle name="표준 8 10 2 3 3" xfId="5281" xr:uid="{00000000-0005-0000-0000-00009A160000}"/>
    <cellStyle name="표준 8 10 2 3 3 2" xfId="8430" xr:uid="{00000000-0005-0000-0000-00009B160000}"/>
    <cellStyle name="표준 8 10 2 3 4" xfId="6346" xr:uid="{00000000-0005-0000-0000-00009C160000}"/>
    <cellStyle name="표준 8 10 2 4" xfId="3714" xr:uid="{00000000-0005-0000-0000-00009D160000}"/>
    <cellStyle name="표준 8 10 2 4 2" xfId="6864" xr:uid="{00000000-0005-0000-0000-00009E160000}"/>
    <cellStyle name="표준 8 10 2 5" xfId="4761" xr:uid="{00000000-0005-0000-0000-00009F160000}"/>
    <cellStyle name="표준 8 10 2 5 2" xfId="7911" xr:uid="{00000000-0005-0000-0000-0000A0160000}"/>
    <cellStyle name="표준 8 10 2 6" xfId="5817" xr:uid="{00000000-0005-0000-0000-0000A1160000}"/>
    <cellStyle name="표준 8 10 3" xfId="2787" xr:uid="{00000000-0005-0000-0000-0000A2160000}"/>
    <cellStyle name="표준 8 10 3 2" xfId="3325" xr:uid="{00000000-0005-0000-0000-0000A3160000}"/>
    <cellStyle name="표준 8 10 3 2 2" xfId="4372" xr:uid="{00000000-0005-0000-0000-0000A4160000}"/>
    <cellStyle name="표준 8 10 3 2 2 2" xfId="7522" xr:uid="{00000000-0005-0000-0000-0000A5160000}"/>
    <cellStyle name="표준 8 10 3 2 3" xfId="5410" xr:uid="{00000000-0005-0000-0000-0000A6160000}"/>
    <cellStyle name="표준 8 10 3 2 3 2" xfId="8559" xr:uid="{00000000-0005-0000-0000-0000A7160000}"/>
    <cellStyle name="표준 8 10 3 2 4" xfId="6475" xr:uid="{00000000-0005-0000-0000-0000A8160000}"/>
    <cellStyle name="표준 8 10 3 3" xfId="3843" xr:uid="{00000000-0005-0000-0000-0000A9160000}"/>
    <cellStyle name="표준 8 10 3 3 2" xfId="6993" xr:uid="{00000000-0005-0000-0000-0000AA160000}"/>
    <cellStyle name="표준 8 10 3 4" xfId="4890" xr:uid="{00000000-0005-0000-0000-0000AB160000}"/>
    <cellStyle name="표준 8 10 3 4 2" xfId="8040" xr:uid="{00000000-0005-0000-0000-0000AC160000}"/>
    <cellStyle name="표준 8 10 3 5" xfId="5946" xr:uid="{00000000-0005-0000-0000-0000AD160000}"/>
    <cellStyle name="표준 8 10 4" xfId="3067" xr:uid="{00000000-0005-0000-0000-0000AE160000}"/>
    <cellStyle name="표준 8 10 4 2" xfId="4114" xr:uid="{00000000-0005-0000-0000-0000AF160000}"/>
    <cellStyle name="표준 8 10 4 2 2" xfId="7264" xr:uid="{00000000-0005-0000-0000-0000B0160000}"/>
    <cellStyle name="표준 8 10 4 3" xfId="5152" xr:uid="{00000000-0005-0000-0000-0000B1160000}"/>
    <cellStyle name="표준 8 10 4 3 2" xfId="8301" xr:uid="{00000000-0005-0000-0000-0000B2160000}"/>
    <cellStyle name="표준 8 10 4 4" xfId="6217" xr:uid="{00000000-0005-0000-0000-0000B3160000}"/>
    <cellStyle name="표준 8 10 5" xfId="3585" xr:uid="{00000000-0005-0000-0000-0000B4160000}"/>
    <cellStyle name="표준 8 10 5 2" xfId="6735" xr:uid="{00000000-0005-0000-0000-0000B5160000}"/>
    <cellStyle name="표준 8 10 6" xfId="4632" xr:uid="{00000000-0005-0000-0000-0000B6160000}"/>
    <cellStyle name="표준 8 10 6 2" xfId="7782" xr:uid="{00000000-0005-0000-0000-0000B7160000}"/>
    <cellStyle name="표준 8 10 7" xfId="5688" xr:uid="{00000000-0005-0000-0000-0000B8160000}"/>
    <cellStyle name="표준 8 11" xfId="1901" xr:uid="{00000000-0005-0000-0000-0000B9160000}"/>
    <cellStyle name="표준 8 11 2" xfId="2691" xr:uid="{00000000-0005-0000-0000-0000BA160000}"/>
    <cellStyle name="표준 8 11 2 2" xfId="2923" xr:uid="{00000000-0005-0000-0000-0000BB160000}"/>
    <cellStyle name="표준 8 11 2 2 2" xfId="3461" xr:uid="{00000000-0005-0000-0000-0000BC160000}"/>
    <cellStyle name="표준 8 11 2 2 2 2" xfId="4508" xr:uid="{00000000-0005-0000-0000-0000BD160000}"/>
    <cellStyle name="표준 8 11 2 2 2 2 2" xfId="7658" xr:uid="{00000000-0005-0000-0000-0000BE160000}"/>
    <cellStyle name="표준 8 11 2 2 2 3" xfId="5546" xr:uid="{00000000-0005-0000-0000-0000BF160000}"/>
    <cellStyle name="표준 8 11 2 2 2 3 2" xfId="8695" xr:uid="{00000000-0005-0000-0000-0000C0160000}"/>
    <cellStyle name="표준 8 11 2 2 2 4" xfId="6611" xr:uid="{00000000-0005-0000-0000-0000C1160000}"/>
    <cellStyle name="표준 8 11 2 2 3" xfId="3979" xr:uid="{00000000-0005-0000-0000-0000C2160000}"/>
    <cellStyle name="표준 8 11 2 2 3 2" xfId="7129" xr:uid="{00000000-0005-0000-0000-0000C3160000}"/>
    <cellStyle name="표준 8 11 2 2 4" xfId="5026" xr:uid="{00000000-0005-0000-0000-0000C4160000}"/>
    <cellStyle name="표준 8 11 2 2 4 2" xfId="8176" xr:uid="{00000000-0005-0000-0000-0000C5160000}"/>
    <cellStyle name="표준 8 11 2 2 5" xfId="6082" xr:uid="{00000000-0005-0000-0000-0000C6160000}"/>
    <cellStyle name="표준 8 11 2 3" xfId="3229" xr:uid="{00000000-0005-0000-0000-0000C7160000}"/>
    <cellStyle name="표준 8 11 2 3 2" xfId="4276" xr:uid="{00000000-0005-0000-0000-0000C8160000}"/>
    <cellStyle name="표준 8 11 2 3 2 2" xfId="7426" xr:uid="{00000000-0005-0000-0000-0000C9160000}"/>
    <cellStyle name="표준 8 11 2 3 3" xfId="5314" xr:uid="{00000000-0005-0000-0000-0000CA160000}"/>
    <cellStyle name="표준 8 11 2 3 3 2" xfId="8463" xr:uid="{00000000-0005-0000-0000-0000CB160000}"/>
    <cellStyle name="표준 8 11 2 3 4" xfId="6379" xr:uid="{00000000-0005-0000-0000-0000CC160000}"/>
    <cellStyle name="표준 8 11 2 4" xfId="3747" xr:uid="{00000000-0005-0000-0000-0000CD160000}"/>
    <cellStyle name="표준 8 11 2 4 2" xfId="6897" xr:uid="{00000000-0005-0000-0000-0000CE160000}"/>
    <cellStyle name="표준 8 11 2 5" xfId="4794" xr:uid="{00000000-0005-0000-0000-0000CF160000}"/>
    <cellStyle name="표준 8 11 2 5 2" xfId="7944" xr:uid="{00000000-0005-0000-0000-0000D0160000}"/>
    <cellStyle name="표준 8 11 2 6" xfId="5850" xr:uid="{00000000-0005-0000-0000-0000D1160000}"/>
    <cellStyle name="표준 8 11 3" xfId="2820" xr:uid="{00000000-0005-0000-0000-0000D2160000}"/>
    <cellStyle name="표준 8 11 3 2" xfId="3358" xr:uid="{00000000-0005-0000-0000-0000D3160000}"/>
    <cellStyle name="표준 8 11 3 2 2" xfId="4405" xr:uid="{00000000-0005-0000-0000-0000D4160000}"/>
    <cellStyle name="표준 8 11 3 2 2 2" xfId="7555" xr:uid="{00000000-0005-0000-0000-0000D5160000}"/>
    <cellStyle name="표준 8 11 3 2 3" xfId="5443" xr:uid="{00000000-0005-0000-0000-0000D6160000}"/>
    <cellStyle name="표준 8 11 3 2 3 2" xfId="8592" xr:uid="{00000000-0005-0000-0000-0000D7160000}"/>
    <cellStyle name="표준 8 11 3 2 4" xfId="6508" xr:uid="{00000000-0005-0000-0000-0000D8160000}"/>
    <cellStyle name="표준 8 11 3 3" xfId="3876" xr:uid="{00000000-0005-0000-0000-0000D9160000}"/>
    <cellStyle name="표준 8 11 3 3 2" xfId="7026" xr:uid="{00000000-0005-0000-0000-0000DA160000}"/>
    <cellStyle name="표준 8 11 3 4" xfId="4923" xr:uid="{00000000-0005-0000-0000-0000DB160000}"/>
    <cellStyle name="표준 8 11 3 4 2" xfId="8073" xr:uid="{00000000-0005-0000-0000-0000DC160000}"/>
    <cellStyle name="표준 8 11 3 5" xfId="5979" xr:uid="{00000000-0005-0000-0000-0000DD160000}"/>
    <cellStyle name="표준 8 11 4" xfId="3100" xr:uid="{00000000-0005-0000-0000-0000DE160000}"/>
    <cellStyle name="표준 8 11 4 2" xfId="4147" xr:uid="{00000000-0005-0000-0000-0000DF160000}"/>
    <cellStyle name="표준 8 11 4 2 2" xfId="7297" xr:uid="{00000000-0005-0000-0000-0000E0160000}"/>
    <cellStyle name="표준 8 11 4 3" xfId="5185" xr:uid="{00000000-0005-0000-0000-0000E1160000}"/>
    <cellStyle name="표준 8 11 4 3 2" xfId="8334" xr:uid="{00000000-0005-0000-0000-0000E2160000}"/>
    <cellStyle name="표준 8 11 4 4" xfId="6250" xr:uid="{00000000-0005-0000-0000-0000E3160000}"/>
    <cellStyle name="표준 8 11 5" xfId="3618" xr:uid="{00000000-0005-0000-0000-0000E4160000}"/>
    <cellStyle name="표준 8 11 5 2" xfId="6768" xr:uid="{00000000-0005-0000-0000-0000E5160000}"/>
    <cellStyle name="표준 8 11 6" xfId="4665" xr:uid="{00000000-0005-0000-0000-0000E6160000}"/>
    <cellStyle name="표준 8 11 6 2" xfId="7815" xr:uid="{00000000-0005-0000-0000-0000E7160000}"/>
    <cellStyle name="표준 8 11 7" xfId="5721" xr:uid="{00000000-0005-0000-0000-0000E8160000}"/>
    <cellStyle name="표준 8 12" xfId="1839" xr:uid="{00000000-0005-0000-0000-0000E9160000}"/>
    <cellStyle name="표준 8 12 2" xfId="2629" xr:uid="{00000000-0005-0000-0000-0000EA160000}"/>
    <cellStyle name="표준 8 12 2 2" xfId="2924" xr:uid="{00000000-0005-0000-0000-0000EB160000}"/>
    <cellStyle name="표준 8 12 2 2 2" xfId="3462" xr:uid="{00000000-0005-0000-0000-0000EC160000}"/>
    <cellStyle name="표준 8 12 2 2 2 2" xfId="4509" xr:uid="{00000000-0005-0000-0000-0000ED160000}"/>
    <cellStyle name="표준 8 12 2 2 2 2 2" xfId="7659" xr:uid="{00000000-0005-0000-0000-0000EE160000}"/>
    <cellStyle name="표준 8 12 2 2 2 3" xfId="5547" xr:uid="{00000000-0005-0000-0000-0000EF160000}"/>
    <cellStyle name="표준 8 12 2 2 2 3 2" xfId="8696" xr:uid="{00000000-0005-0000-0000-0000F0160000}"/>
    <cellStyle name="표준 8 12 2 2 2 4" xfId="6612" xr:uid="{00000000-0005-0000-0000-0000F1160000}"/>
    <cellStyle name="표준 8 12 2 2 3" xfId="3980" xr:uid="{00000000-0005-0000-0000-0000F2160000}"/>
    <cellStyle name="표준 8 12 2 2 3 2" xfId="7130" xr:uid="{00000000-0005-0000-0000-0000F3160000}"/>
    <cellStyle name="표준 8 12 2 2 4" xfId="5027" xr:uid="{00000000-0005-0000-0000-0000F4160000}"/>
    <cellStyle name="표준 8 12 2 2 4 2" xfId="8177" xr:uid="{00000000-0005-0000-0000-0000F5160000}"/>
    <cellStyle name="표준 8 12 2 2 5" xfId="6083" xr:uid="{00000000-0005-0000-0000-0000F6160000}"/>
    <cellStyle name="표준 8 12 2 3" xfId="3167" xr:uid="{00000000-0005-0000-0000-0000F7160000}"/>
    <cellStyle name="표준 8 12 2 3 2" xfId="4214" xr:uid="{00000000-0005-0000-0000-0000F8160000}"/>
    <cellStyle name="표준 8 12 2 3 2 2" xfId="7364" xr:uid="{00000000-0005-0000-0000-0000F9160000}"/>
    <cellStyle name="표준 8 12 2 3 3" xfId="5252" xr:uid="{00000000-0005-0000-0000-0000FA160000}"/>
    <cellStyle name="표준 8 12 2 3 3 2" xfId="8401" xr:uid="{00000000-0005-0000-0000-0000FB160000}"/>
    <cellStyle name="표준 8 12 2 3 4" xfId="6317" xr:uid="{00000000-0005-0000-0000-0000FC160000}"/>
    <cellStyle name="표준 8 12 2 4" xfId="3685" xr:uid="{00000000-0005-0000-0000-0000FD160000}"/>
    <cellStyle name="표준 8 12 2 4 2" xfId="6835" xr:uid="{00000000-0005-0000-0000-0000FE160000}"/>
    <cellStyle name="표준 8 12 2 5" xfId="4732" xr:uid="{00000000-0005-0000-0000-0000FF160000}"/>
    <cellStyle name="표준 8 12 2 5 2" xfId="7882" xr:uid="{00000000-0005-0000-0000-000000170000}"/>
    <cellStyle name="표준 8 12 2 6" xfId="5788" xr:uid="{00000000-0005-0000-0000-000001170000}"/>
    <cellStyle name="표준 8 12 3" xfId="2758" xr:uid="{00000000-0005-0000-0000-000002170000}"/>
    <cellStyle name="표준 8 12 3 2" xfId="3296" xr:uid="{00000000-0005-0000-0000-000003170000}"/>
    <cellStyle name="표준 8 12 3 2 2" xfId="4343" xr:uid="{00000000-0005-0000-0000-000004170000}"/>
    <cellStyle name="표준 8 12 3 2 2 2" xfId="7493" xr:uid="{00000000-0005-0000-0000-000005170000}"/>
    <cellStyle name="표준 8 12 3 2 3" xfId="5381" xr:uid="{00000000-0005-0000-0000-000006170000}"/>
    <cellStyle name="표준 8 12 3 2 3 2" xfId="8530" xr:uid="{00000000-0005-0000-0000-000007170000}"/>
    <cellStyle name="표준 8 12 3 2 4" xfId="6446" xr:uid="{00000000-0005-0000-0000-000008170000}"/>
    <cellStyle name="표준 8 12 3 3" xfId="3814" xr:uid="{00000000-0005-0000-0000-000009170000}"/>
    <cellStyle name="표준 8 12 3 3 2" xfId="6964" xr:uid="{00000000-0005-0000-0000-00000A170000}"/>
    <cellStyle name="표준 8 12 3 4" xfId="4861" xr:uid="{00000000-0005-0000-0000-00000B170000}"/>
    <cellStyle name="표준 8 12 3 4 2" xfId="8011" xr:uid="{00000000-0005-0000-0000-00000C170000}"/>
    <cellStyle name="표준 8 12 3 5" xfId="5917" xr:uid="{00000000-0005-0000-0000-00000D170000}"/>
    <cellStyle name="표준 8 12 4" xfId="3038" xr:uid="{00000000-0005-0000-0000-00000E170000}"/>
    <cellStyle name="표준 8 12 4 2" xfId="4085" xr:uid="{00000000-0005-0000-0000-00000F170000}"/>
    <cellStyle name="표준 8 12 4 2 2" xfId="7235" xr:uid="{00000000-0005-0000-0000-000010170000}"/>
    <cellStyle name="표준 8 12 4 3" xfId="5123" xr:uid="{00000000-0005-0000-0000-000011170000}"/>
    <cellStyle name="표준 8 12 4 3 2" xfId="8272" xr:uid="{00000000-0005-0000-0000-000012170000}"/>
    <cellStyle name="표준 8 12 4 4" xfId="6188" xr:uid="{00000000-0005-0000-0000-000013170000}"/>
    <cellStyle name="표준 8 12 5" xfId="3556" xr:uid="{00000000-0005-0000-0000-000014170000}"/>
    <cellStyle name="표준 8 12 5 2" xfId="6706" xr:uid="{00000000-0005-0000-0000-000015170000}"/>
    <cellStyle name="표준 8 12 6" xfId="4603" xr:uid="{00000000-0005-0000-0000-000016170000}"/>
    <cellStyle name="표준 8 12 6 2" xfId="7753" xr:uid="{00000000-0005-0000-0000-000017170000}"/>
    <cellStyle name="표준 8 12 7" xfId="5659" xr:uid="{00000000-0005-0000-0000-000018170000}"/>
    <cellStyle name="표준 8 13" xfId="2592" xr:uid="{00000000-0005-0000-0000-000019170000}"/>
    <cellStyle name="표준 8 14" xfId="2596" xr:uid="{00000000-0005-0000-0000-00001A170000}"/>
    <cellStyle name="표준 8 14 2" xfId="2925" xr:uid="{00000000-0005-0000-0000-00001B170000}"/>
    <cellStyle name="표준 8 14 2 2" xfId="3463" xr:uid="{00000000-0005-0000-0000-00001C170000}"/>
    <cellStyle name="표준 8 14 2 2 2" xfId="4510" xr:uid="{00000000-0005-0000-0000-00001D170000}"/>
    <cellStyle name="표준 8 14 2 2 2 2" xfId="7660" xr:uid="{00000000-0005-0000-0000-00001E170000}"/>
    <cellStyle name="표준 8 14 2 2 3" xfId="5548" xr:uid="{00000000-0005-0000-0000-00001F170000}"/>
    <cellStyle name="표준 8 14 2 2 3 2" xfId="8697" xr:uid="{00000000-0005-0000-0000-000020170000}"/>
    <cellStyle name="표준 8 14 2 2 4" xfId="6613" xr:uid="{00000000-0005-0000-0000-000021170000}"/>
    <cellStyle name="표준 8 14 2 3" xfId="3981" xr:uid="{00000000-0005-0000-0000-000022170000}"/>
    <cellStyle name="표준 8 14 2 3 2" xfId="7131" xr:uid="{00000000-0005-0000-0000-000023170000}"/>
    <cellStyle name="표준 8 14 2 4" xfId="5028" xr:uid="{00000000-0005-0000-0000-000024170000}"/>
    <cellStyle name="표준 8 14 2 4 2" xfId="8178" xr:uid="{00000000-0005-0000-0000-000025170000}"/>
    <cellStyle name="표준 8 14 2 5" xfId="6084" xr:uid="{00000000-0005-0000-0000-000026170000}"/>
    <cellStyle name="표준 8 14 3" xfId="3134" xr:uid="{00000000-0005-0000-0000-000027170000}"/>
    <cellStyle name="표준 8 14 3 2" xfId="4181" xr:uid="{00000000-0005-0000-0000-000028170000}"/>
    <cellStyle name="표준 8 14 3 2 2" xfId="7331" xr:uid="{00000000-0005-0000-0000-000029170000}"/>
    <cellStyle name="표준 8 14 3 3" xfId="5219" xr:uid="{00000000-0005-0000-0000-00002A170000}"/>
    <cellStyle name="표준 8 14 3 3 2" xfId="8368" xr:uid="{00000000-0005-0000-0000-00002B170000}"/>
    <cellStyle name="표준 8 14 3 4" xfId="6284" xr:uid="{00000000-0005-0000-0000-00002C170000}"/>
    <cellStyle name="표준 8 14 4" xfId="3652" xr:uid="{00000000-0005-0000-0000-00002D170000}"/>
    <cellStyle name="표준 8 14 4 2" xfId="6802" xr:uid="{00000000-0005-0000-0000-00002E170000}"/>
    <cellStyle name="표준 8 14 5" xfId="4699" xr:uid="{00000000-0005-0000-0000-00002F170000}"/>
    <cellStyle name="표준 8 14 5 2" xfId="7849" xr:uid="{00000000-0005-0000-0000-000030170000}"/>
    <cellStyle name="표준 8 14 6" xfId="5755" xr:uid="{00000000-0005-0000-0000-000031170000}"/>
    <cellStyle name="표준 8 15" xfId="2725" xr:uid="{00000000-0005-0000-0000-000032170000}"/>
    <cellStyle name="표준 8 15 2" xfId="3263" xr:uid="{00000000-0005-0000-0000-000033170000}"/>
    <cellStyle name="표준 8 15 2 2" xfId="4310" xr:uid="{00000000-0005-0000-0000-000034170000}"/>
    <cellStyle name="표준 8 15 2 2 2" xfId="7460" xr:uid="{00000000-0005-0000-0000-000035170000}"/>
    <cellStyle name="표준 8 15 2 3" xfId="5348" xr:uid="{00000000-0005-0000-0000-000036170000}"/>
    <cellStyle name="표준 8 15 2 3 2" xfId="8497" xr:uid="{00000000-0005-0000-0000-000037170000}"/>
    <cellStyle name="표준 8 15 2 4" xfId="6413" xr:uid="{00000000-0005-0000-0000-000038170000}"/>
    <cellStyle name="표준 8 15 3" xfId="3781" xr:uid="{00000000-0005-0000-0000-000039170000}"/>
    <cellStyle name="표준 8 15 3 2" xfId="6931" xr:uid="{00000000-0005-0000-0000-00003A170000}"/>
    <cellStyle name="표준 8 15 4" xfId="4828" xr:uid="{00000000-0005-0000-0000-00003B170000}"/>
    <cellStyle name="표준 8 15 4 2" xfId="7978" xr:uid="{00000000-0005-0000-0000-00003C170000}"/>
    <cellStyle name="표준 8 15 5" xfId="5884" xr:uid="{00000000-0005-0000-0000-00003D170000}"/>
    <cellStyle name="표준 8 16" xfId="3005" xr:uid="{00000000-0005-0000-0000-00003E170000}"/>
    <cellStyle name="표준 8 16 2" xfId="4052" xr:uid="{00000000-0005-0000-0000-00003F170000}"/>
    <cellStyle name="표준 8 16 2 2" xfId="7202" xr:uid="{00000000-0005-0000-0000-000040170000}"/>
    <cellStyle name="표준 8 16 3" xfId="5090" xr:uid="{00000000-0005-0000-0000-000041170000}"/>
    <cellStyle name="표준 8 16 3 2" xfId="8239" xr:uid="{00000000-0005-0000-0000-000042170000}"/>
    <cellStyle name="표준 8 16 4" xfId="6155" xr:uid="{00000000-0005-0000-0000-000043170000}"/>
    <cellStyle name="표준 8 17" xfId="3523" xr:uid="{00000000-0005-0000-0000-000044170000}"/>
    <cellStyle name="표준 8 17 2" xfId="6673" xr:uid="{00000000-0005-0000-0000-000045170000}"/>
    <cellStyle name="표준 8 18" xfId="4570" xr:uid="{00000000-0005-0000-0000-000046170000}"/>
    <cellStyle name="표준 8 18 2" xfId="7720" xr:uid="{00000000-0005-0000-0000-000047170000}"/>
    <cellStyle name="표준 8 19" xfId="5626" xr:uid="{00000000-0005-0000-0000-000048170000}"/>
    <cellStyle name="표준 8 2" xfId="459" xr:uid="{00000000-0005-0000-0000-000049170000}"/>
    <cellStyle name="표준 8 2 10" xfId="5634" xr:uid="{00000000-0005-0000-0000-00004A170000}"/>
    <cellStyle name="표준 8 2 2" xfId="1876" xr:uid="{00000000-0005-0000-0000-00004B170000}"/>
    <cellStyle name="표준 8 2 2 2" xfId="2666" xr:uid="{00000000-0005-0000-0000-00004C170000}"/>
    <cellStyle name="표준 8 2 2 2 2" xfId="2926" xr:uid="{00000000-0005-0000-0000-00004D170000}"/>
    <cellStyle name="표준 8 2 2 2 2 2" xfId="3464" xr:uid="{00000000-0005-0000-0000-00004E170000}"/>
    <cellStyle name="표준 8 2 2 2 2 2 2" xfId="4511" xr:uid="{00000000-0005-0000-0000-00004F170000}"/>
    <cellStyle name="표준 8 2 2 2 2 2 2 2" xfId="7661" xr:uid="{00000000-0005-0000-0000-000050170000}"/>
    <cellStyle name="표준 8 2 2 2 2 2 3" xfId="5549" xr:uid="{00000000-0005-0000-0000-000051170000}"/>
    <cellStyle name="표준 8 2 2 2 2 2 3 2" xfId="8698" xr:uid="{00000000-0005-0000-0000-000052170000}"/>
    <cellStyle name="표준 8 2 2 2 2 2 4" xfId="6614" xr:uid="{00000000-0005-0000-0000-000053170000}"/>
    <cellStyle name="표준 8 2 2 2 2 3" xfId="3982" xr:uid="{00000000-0005-0000-0000-000054170000}"/>
    <cellStyle name="표준 8 2 2 2 2 3 2" xfId="7132" xr:uid="{00000000-0005-0000-0000-000055170000}"/>
    <cellStyle name="표준 8 2 2 2 2 4" xfId="5029" xr:uid="{00000000-0005-0000-0000-000056170000}"/>
    <cellStyle name="표준 8 2 2 2 2 4 2" xfId="8179" xr:uid="{00000000-0005-0000-0000-000057170000}"/>
    <cellStyle name="표준 8 2 2 2 2 5" xfId="6085" xr:uid="{00000000-0005-0000-0000-000058170000}"/>
    <cellStyle name="표준 8 2 2 2 3" xfId="3204" xr:uid="{00000000-0005-0000-0000-000059170000}"/>
    <cellStyle name="표준 8 2 2 2 3 2" xfId="4251" xr:uid="{00000000-0005-0000-0000-00005A170000}"/>
    <cellStyle name="표준 8 2 2 2 3 2 2" xfId="7401" xr:uid="{00000000-0005-0000-0000-00005B170000}"/>
    <cellStyle name="표준 8 2 2 2 3 3" xfId="5289" xr:uid="{00000000-0005-0000-0000-00005C170000}"/>
    <cellStyle name="표준 8 2 2 2 3 3 2" xfId="8438" xr:uid="{00000000-0005-0000-0000-00005D170000}"/>
    <cellStyle name="표준 8 2 2 2 3 4" xfId="6354" xr:uid="{00000000-0005-0000-0000-00005E170000}"/>
    <cellStyle name="표준 8 2 2 2 4" xfId="3722" xr:uid="{00000000-0005-0000-0000-00005F170000}"/>
    <cellStyle name="표준 8 2 2 2 4 2" xfId="6872" xr:uid="{00000000-0005-0000-0000-000060170000}"/>
    <cellStyle name="표준 8 2 2 2 5" xfId="4769" xr:uid="{00000000-0005-0000-0000-000061170000}"/>
    <cellStyle name="표준 8 2 2 2 5 2" xfId="7919" xr:uid="{00000000-0005-0000-0000-000062170000}"/>
    <cellStyle name="표준 8 2 2 2 6" xfId="5825" xr:uid="{00000000-0005-0000-0000-000063170000}"/>
    <cellStyle name="표준 8 2 2 3" xfId="2795" xr:uid="{00000000-0005-0000-0000-000064170000}"/>
    <cellStyle name="표준 8 2 2 3 2" xfId="3333" xr:uid="{00000000-0005-0000-0000-000065170000}"/>
    <cellStyle name="표준 8 2 2 3 2 2" xfId="4380" xr:uid="{00000000-0005-0000-0000-000066170000}"/>
    <cellStyle name="표준 8 2 2 3 2 2 2" xfId="7530" xr:uid="{00000000-0005-0000-0000-000067170000}"/>
    <cellStyle name="표준 8 2 2 3 2 3" xfId="5418" xr:uid="{00000000-0005-0000-0000-000068170000}"/>
    <cellStyle name="표준 8 2 2 3 2 3 2" xfId="8567" xr:uid="{00000000-0005-0000-0000-000069170000}"/>
    <cellStyle name="표준 8 2 2 3 2 4" xfId="6483" xr:uid="{00000000-0005-0000-0000-00006A170000}"/>
    <cellStyle name="표준 8 2 2 3 3" xfId="3851" xr:uid="{00000000-0005-0000-0000-00006B170000}"/>
    <cellStyle name="표준 8 2 2 3 3 2" xfId="7001" xr:uid="{00000000-0005-0000-0000-00006C170000}"/>
    <cellStyle name="표준 8 2 2 3 4" xfId="4898" xr:uid="{00000000-0005-0000-0000-00006D170000}"/>
    <cellStyle name="표준 8 2 2 3 4 2" xfId="8048" xr:uid="{00000000-0005-0000-0000-00006E170000}"/>
    <cellStyle name="표준 8 2 2 3 5" xfId="5954" xr:uid="{00000000-0005-0000-0000-00006F170000}"/>
    <cellStyle name="표준 8 2 2 4" xfId="3075" xr:uid="{00000000-0005-0000-0000-000070170000}"/>
    <cellStyle name="표준 8 2 2 4 2" xfId="4122" xr:uid="{00000000-0005-0000-0000-000071170000}"/>
    <cellStyle name="표준 8 2 2 4 2 2" xfId="7272" xr:uid="{00000000-0005-0000-0000-000072170000}"/>
    <cellStyle name="표준 8 2 2 4 3" xfId="5160" xr:uid="{00000000-0005-0000-0000-000073170000}"/>
    <cellStyle name="표준 8 2 2 4 3 2" xfId="8309" xr:uid="{00000000-0005-0000-0000-000074170000}"/>
    <cellStyle name="표준 8 2 2 4 4" xfId="6225" xr:uid="{00000000-0005-0000-0000-000075170000}"/>
    <cellStyle name="표준 8 2 2 5" xfId="3593" xr:uid="{00000000-0005-0000-0000-000076170000}"/>
    <cellStyle name="표준 8 2 2 5 2" xfId="6743" xr:uid="{00000000-0005-0000-0000-000077170000}"/>
    <cellStyle name="표준 8 2 2 6" xfId="4640" xr:uid="{00000000-0005-0000-0000-000078170000}"/>
    <cellStyle name="표준 8 2 2 6 2" xfId="7790" xr:uid="{00000000-0005-0000-0000-000079170000}"/>
    <cellStyle name="표준 8 2 2 7" xfId="5696" xr:uid="{00000000-0005-0000-0000-00007A170000}"/>
    <cellStyle name="표준 8 2 3" xfId="1909" xr:uid="{00000000-0005-0000-0000-00007B170000}"/>
    <cellStyle name="표준 8 2 3 2" xfId="2699" xr:uid="{00000000-0005-0000-0000-00007C170000}"/>
    <cellStyle name="표준 8 2 3 2 2" xfId="2927" xr:uid="{00000000-0005-0000-0000-00007D170000}"/>
    <cellStyle name="표준 8 2 3 2 2 2" xfId="3465" xr:uid="{00000000-0005-0000-0000-00007E170000}"/>
    <cellStyle name="표준 8 2 3 2 2 2 2" xfId="4512" xr:uid="{00000000-0005-0000-0000-00007F170000}"/>
    <cellStyle name="표준 8 2 3 2 2 2 2 2" xfId="7662" xr:uid="{00000000-0005-0000-0000-000080170000}"/>
    <cellStyle name="표준 8 2 3 2 2 2 3" xfId="5550" xr:uid="{00000000-0005-0000-0000-000081170000}"/>
    <cellStyle name="표준 8 2 3 2 2 2 3 2" xfId="8699" xr:uid="{00000000-0005-0000-0000-000082170000}"/>
    <cellStyle name="표준 8 2 3 2 2 2 4" xfId="6615" xr:uid="{00000000-0005-0000-0000-000083170000}"/>
    <cellStyle name="표준 8 2 3 2 2 3" xfId="3983" xr:uid="{00000000-0005-0000-0000-000084170000}"/>
    <cellStyle name="표준 8 2 3 2 2 3 2" xfId="7133" xr:uid="{00000000-0005-0000-0000-000085170000}"/>
    <cellStyle name="표준 8 2 3 2 2 4" xfId="5030" xr:uid="{00000000-0005-0000-0000-000086170000}"/>
    <cellStyle name="표준 8 2 3 2 2 4 2" xfId="8180" xr:uid="{00000000-0005-0000-0000-000087170000}"/>
    <cellStyle name="표준 8 2 3 2 2 5" xfId="6086" xr:uid="{00000000-0005-0000-0000-000088170000}"/>
    <cellStyle name="표준 8 2 3 2 3" xfId="3237" xr:uid="{00000000-0005-0000-0000-000089170000}"/>
    <cellStyle name="표준 8 2 3 2 3 2" xfId="4284" xr:uid="{00000000-0005-0000-0000-00008A170000}"/>
    <cellStyle name="표준 8 2 3 2 3 2 2" xfId="7434" xr:uid="{00000000-0005-0000-0000-00008B170000}"/>
    <cellStyle name="표준 8 2 3 2 3 3" xfId="5322" xr:uid="{00000000-0005-0000-0000-00008C170000}"/>
    <cellStyle name="표준 8 2 3 2 3 3 2" xfId="8471" xr:uid="{00000000-0005-0000-0000-00008D170000}"/>
    <cellStyle name="표준 8 2 3 2 3 4" xfId="6387" xr:uid="{00000000-0005-0000-0000-00008E170000}"/>
    <cellStyle name="표준 8 2 3 2 4" xfId="3755" xr:uid="{00000000-0005-0000-0000-00008F170000}"/>
    <cellStyle name="표준 8 2 3 2 4 2" xfId="6905" xr:uid="{00000000-0005-0000-0000-000090170000}"/>
    <cellStyle name="표준 8 2 3 2 5" xfId="4802" xr:uid="{00000000-0005-0000-0000-000091170000}"/>
    <cellStyle name="표준 8 2 3 2 5 2" xfId="7952" xr:uid="{00000000-0005-0000-0000-000092170000}"/>
    <cellStyle name="표준 8 2 3 2 6" xfId="5858" xr:uid="{00000000-0005-0000-0000-000093170000}"/>
    <cellStyle name="표준 8 2 3 3" xfId="2828" xr:uid="{00000000-0005-0000-0000-000094170000}"/>
    <cellStyle name="표준 8 2 3 3 2" xfId="3366" xr:uid="{00000000-0005-0000-0000-000095170000}"/>
    <cellStyle name="표준 8 2 3 3 2 2" xfId="4413" xr:uid="{00000000-0005-0000-0000-000096170000}"/>
    <cellStyle name="표준 8 2 3 3 2 2 2" xfId="7563" xr:uid="{00000000-0005-0000-0000-000097170000}"/>
    <cellStyle name="표준 8 2 3 3 2 3" xfId="5451" xr:uid="{00000000-0005-0000-0000-000098170000}"/>
    <cellStyle name="표준 8 2 3 3 2 3 2" xfId="8600" xr:uid="{00000000-0005-0000-0000-000099170000}"/>
    <cellStyle name="표준 8 2 3 3 2 4" xfId="6516" xr:uid="{00000000-0005-0000-0000-00009A170000}"/>
    <cellStyle name="표준 8 2 3 3 3" xfId="3884" xr:uid="{00000000-0005-0000-0000-00009B170000}"/>
    <cellStyle name="표준 8 2 3 3 3 2" xfId="7034" xr:uid="{00000000-0005-0000-0000-00009C170000}"/>
    <cellStyle name="표준 8 2 3 3 4" xfId="4931" xr:uid="{00000000-0005-0000-0000-00009D170000}"/>
    <cellStyle name="표준 8 2 3 3 4 2" xfId="8081" xr:uid="{00000000-0005-0000-0000-00009E170000}"/>
    <cellStyle name="표준 8 2 3 3 5" xfId="5987" xr:uid="{00000000-0005-0000-0000-00009F170000}"/>
    <cellStyle name="표준 8 2 3 4" xfId="3108" xr:uid="{00000000-0005-0000-0000-0000A0170000}"/>
    <cellStyle name="표준 8 2 3 4 2" xfId="4155" xr:uid="{00000000-0005-0000-0000-0000A1170000}"/>
    <cellStyle name="표준 8 2 3 4 2 2" xfId="7305" xr:uid="{00000000-0005-0000-0000-0000A2170000}"/>
    <cellStyle name="표준 8 2 3 4 3" xfId="5193" xr:uid="{00000000-0005-0000-0000-0000A3170000}"/>
    <cellStyle name="표준 8 2 3 4 3 2" xfId="8342" xr:uid="{00000000-0005-0000-0000-0000A4170000}"/>
    <cellStyle name="표준 8 2 3 4 4" xfId="6258" xr:uid="{00000000-0005-0000-0000-0000A5170000}"/>
    <cellStyle name="표준 8 2 3 5" xfId="3626" xr:uid="{00000000-0005-0000-0000-0000A6170000}"/>
    <cellStyle name="표준 8 2 3 5 2" xfId="6776" xr:uid="{00000000-0005-0000-0000-0000A7170000}"/>
    <cellStyle name="표준 8 2 3 6" xfId="4673" xr:uid="{00000000-0005-0000-0000-0000A8170000}"/>
    <cellStyle name="표준 8 2 3 6 2" xfId="7823" xr:uid="{00000000-0005-0000-0000-0000A9170000}"/>
    <cellStyle name="표준 8 2 3 7" xfId="5729" xr:uid="{00000000-0005-0000-0000-0000AA170000}"/>
    <cellStyle name="표준 8 2 4" xfId="1843" xr:uid="{00000000-0005-0000-0000-0000AB170000}"/>
    <cellStyle name="표준 8 2 4 2" xfId="2633" xr:uid="{00000000-0005-0000-0000-0000AC170000}"/>
    <cellStyle name="표준 8 2 4 2 2" xfId="2928" xr:uid="{00000000-0005-0000-0000-0000AD170000}"/>
    <cellStyle name="표준 8 2 4 2 2 2" xfId="3466" xr:uid="{00000000-0005-0000-0000-0000AE170000}"/>
    <cellStyle name="표준 8 2 4 2 2 2 2" xfId="4513" xr:uid="{00000000-0005-0000-0000-0000AF170000}"/>
    <cellStyle name="표준 8 2 4 2 2 2 2 2" xfId="7663" xr:uid="{00000000-0005-0000-0000-0000B0170000}"/>
    <cellStyle name="표준 8 2 4 2 2 2 3" xfId="5551" xr:uid="{00000000-0005-0000-0000-0000B1170000}"/>
    <cellStyle name="표준 8 2 4 2 2 2 3 2" xfId="8700" xr:uid="{00000000-0005-0000-0000-0000B2170000}"/>
    <cellStyle name="표준 8 2 4 2 2 2 4" xfId="6616" xr:uid="{00000000-0005-0000-0000-0000B3170000}"/>
    <cellStyle name="표준 8 2 4 2 2 3" xfId="3984" xr:uid="{00000000-0005-0000-0000-0000B4170000}"/>
    <cellStyle name="표준 8 2 4 2 2 3 2" xfId="7134" xr:uid="{00000000-0005-0000-0000-0000B5170000}"/>
    <cellStyle name="표준 8 2 4 2 2 4" xfId="5031" xr:uid="{00000000-0005-0000-0000-0000B6170000}"/>
    <cellStyle name="표준 8 2 4 2 2 4 2" xfId="8181" xr:uid="{00000000-0005-0000-0000-0000B7170000}"/>
    <cellStyle name="표준 8 2 4 2 2 5" xfId="6087" xr:uid="{00000000-0005-0000-0000-0000B8170000}"/>
    <cellStyle name="표준 8 2 4 2 3" xfId="3171" xr:uid="{00000000-0005-0000-0000-0000B9170000}"/>
    <cellStyle name="표준 8 2 4 2 3 2" xfId="4218" xr:uid="{00000000-0005-0000-0000-0000BA170000}"/>
    <cellStyle name="표준 8 2 4 2 3 2 2" xfId="7368" xr:uid="{00000000-0005-0000-0000-0000BB170000}"/>
    <cellStyle name="표준 8 2 4 2 3 3" xfId="5256" xr:uid="{00000000-0005-0000-0000-0000BC170000}"/>
    <cellStyle name="표준 8 2 4 2 3 3 2" xfId="8405" xr:uid="{00000000-0005-0000-0000-0000BD170000}"/>
    <cellStyle name="표준 8 2 4 2 3 4" xfId="6321" xr:uid="{00000000-0005-0000-0000-0000BE170000}"/>
    <cellStyle name="표준 8 2 4 2 4" xfId="3689" xr:uid="{00000000-0005-0000-0000-0000BF170000}"/>
    <cellStyle name="표준 8 2 4 2 4 2" xfId="6839" xr:uid="{00000000-0005-0000-0000-0000C0170000}"/>
    <cellStyle name="표준 8 2 4 2 5" xfId="4736" xr:uid="{00000000-0005-0000-0000-0000C1170000}"/>
    <cellStyle name="표준 8 2 4 2 5 2" xfId="7886" xr:uid="{00000000-0005-0000-0000-0000C2170000}"/>
    <cellStyle name="표준 8 2 4 2 6" xfId="5792" xr:uid="{00000000-0005-0000-0000-0000C3170000}"/>
    <cellStyle name="표준 8 2 4 3" xfId="2762" xr:uid="{00000000-0005-0000-0000-0000C4170000}"/>
    <cellStyle name="표준 8 2 4 3 2" xfId="3300" xr:uid="{00000000-0005-0000-0000-0000C5170000}"/>
    <cellStyle name="표준 8 2 4 3 2 2" xfId="4347" xr:uid="{00000000-0005-0000-0000-0000C6170000}"/>
    <cellStyle name="표준 8 2 4 3 2 2 2" xfId="7497" xr:uid="{00000000-0005-0000-0000-0000C7170000}"/>
    <cellStyle name="표준 8 2 4 3 2 3" xfId="5385" xr:uid="{00000000-0005-0000-0000-0000C8170000}"/>
    <cellStyle name="표준 8 2 4 3 2 3 2" xfId="8534" xr:uid="{00000000-0005-0000-0000-0000C9170000}"/>
    <cellStyle name="표준 8 2 4 3 2 4" xfId="6450" xr:uid="{00000000-0005-0000-0000-0000CA170000}"/>
    <cellStyle name="표준 8 2 4 3 3" xfId="3818" xr:uid="{00000000-0005-0000-0000-0000CB170000}"/>
    <cellStyle name="표준 8 2 4 3 3 2" xfId="6968" xr:uid="{00000000-0005-0000-0000-0000CC170000}"/>
    <cellStyle name="표준 8 2 4 3 4" xfId="4865" xr:uid="{00000000-0005-0000-0000-0000CD170000}"/>
    <cellStyle name="표준 8 2 4 3 4 2" xfId="8015" xr:uid="{00000000-0005-0000-0000-0000CE170000}"/>
    <cellStyle name="표준 8 2 4 3 5" xfId="5921" xr:uid="{00000000-0005-0000-0000-0000CF170000}"/>
    <cellStyle name="표준 8 2 4 4" xfId="3042" xr:uid="{00000000-0005-0000-0000-0000D0170000}"/>
    <cellStyle name="표준 8 2 4 4 2" xfId="4089" xr:uid="{00000000-0005-0000-0000-0000D1170000}"/>
    <cellStyle name="표준 8 2 4 4 2 2" xfId="7239" xr:uid="{00000000-0005-0000-0000-0000D2170000}"/>
    <cellStyle name="표준 8 2 4 4 3" xfId="5127" xr:uid="{00000000-0005-0000-0000-0000D3170000}"/>
    <cellStyle name="표준 8 2 4 4 3 2" xfId="8276" xr:uid="{00000000-0005-0000-0000-0000D4170000}"/>
    <cellStyle name="표준 8 2 4 4 4" xfId="6192" xr:uid="{00000000-0005-0000-0000-0000D5170000}"/>
    <cellStyle name="표준 8 2 4 5" xfId="3560" xr:uid="{00000000-0005-0000-0000-0000D6170000}"/>
    <cellStyle name="표준 8 2 4 5 2" xfId="6710" xr:uid="{00000000-0005-0000-0000-0000D7170000}"/>
    <cellStyle name="표준 8 2 4 6" xfId="4607" xr:uid="{00000000-0005-0000-0000-0000D8170000}"/>
    <cellStyle name="표준 8 2 4 6 2" xfId="7757" xr:uid="{00000000-0005-0000-0000-0000D9170000}"/>
    <cellStyle name="표준 8 2 4 7" xfId="5663" xr:uid="{00000000-0005-0000-0000-0000DA170000}"/>
    <cellStyle name="표준 8 2 5" xfId="2604" xr:uid="{00000000-0005-0000-0000-0000DB170000}"/>
    <cellStyle name="표준 8 2 5 2" xfId="2929" xr:uid="{00000000-0005-0000-0000-0000DC170000}"/>
    <cellStyle name="표준 8 2 5 2 2" xfId="3467" xr:uid="{00000000-0005-0000-0000-0000DD170000}"/>
    <cellStyle name="표준 8 2 5 2 2 2" xfId="4514" xr:uid="{00000000-0005-0000-0000-0000DE170000}"/>
    <cellStyle name="표준 8 2 5 2 2 2 2" xfId="7664" xr:uid="{00000000-0005-0000-0000-0000DF170000}"/>
    <cellStyle name="표준 8 2 5 2 2 3" xfId="5552" xr:uid="{00000000-0005-0000-0000-0000E0170000}"/>
    <cellStyle name="표준 8 2 5 2 2 3 2" xfId="8701" xr:uid="{00000000-0005-0000-0000-0000E1170000}"/>
    <cellStyle name="표준 8 2 5 2 2 4" xfId="6617" xr:uid="{00000000-0005-0000-0000-0000E2170000}"/>
    <cellStyle name="표준 8 2 5 2 3" xfId="3985" xr:uid="{00000000-0005-0000-0000-0000E3170000}"/>
    <cellStyle name="표준 8 2 5 2 3 2" xfId="7135" xr:uid="{00000000-0005-0000-0000-0000E4170000}"/>
    <cellStyle name="표준 8 2 5 2 4" xfId="5032" xr:uid="{00000000-0005-0000-0000-0000E5170000}"/>
    <cellStyle name="표준 8 2 5 2 4 2" xfId="8182" xr:uid="{00000000-0005-0000-0000-0000E6170000}"/>
    <cellStyle name="표준 8 2 5 2 5" xfId="6088" xr:uid="{00000000-0005-0000-0000-0000E7170000}"/>
    <cellStyle name="표준 8 2 5 3" xfId="3142" xr:uid="{00000000-0005-0000-0000-0000E8170000}"/>
    <cellStyle name="표준 8 2 5 3 2" xfId="4189" xr:uid="{00000000-0005-0000-0000-0000E9170000}"/>
    <cellStyle name="표준 8 2 5 3 2 2" xfId="7339" xr:uid="{00000000-0005-0000-0000-0000EA170000}"/>
    <cellStyle name="표준 8 2 5 3 3" xfId="5227" xr:uid="{00000000-0005-0000-0000-0000EB170000}"/>
    <cellStyle name="표준 8 2 5 3 3 2" xfId="8376" xr:uid="{00000000-0005-0000-0000-0000EC170000}"/>
    <cellStyle name="표준 8 2 5 3 4" xfId="6292" xr:uid="{00000000-0005-0000-0000-0000ED170000}"/>
    <cellStyle name="표준 8 2 5 4" xfId="3660" xr:uid="{00000000-0005-0000-0000-0000EE170000}"/>
    <cellStyle name="표준 8 2 5 4 2" xfId="6810" xr:uid="{00000000-0005-0000-0000-0000EF170000}"/>
    <cellStyle name="표준 8 2 5 5" xfId="4707" xr:uid="{00000000-0005-0000-0000-0000F0170000}"/>
    <cellStyle name="표준 8 2 5 5 2" xfId="7857" xr:uid="{00000000-0005-0000-0000-0000F1170000}"/>
    <cellStyle name="표준 8 2 5 6" xfId="5763" xr:uid="{00000000-0005-0000-0000-0000F2170000}"/>
    <cellStyle name="표준 8 2 6" xfId="2733" xr:uid="{00000000-0005-0000-0000-0000F3170000}"/>
    <cellStyle name="표준 8 2 6 2" xfId="3271" xr:uid="{00000000-0005-0000-0000-0000F4170000}"/>
    <cellStyle name="표준 8 2 6 2 2" xfId="4318" xr:uid="{00000000-0005-0000-0000-0000F5170000}"/>
    <cellStyle name="표준 8 2 6 2 2 2" xfId="7468" xr:uid="{00000000-0005-0000-0000-0000F6170000}"/>
    <cellStyle name="표준 8 2 6 2 3" xfId="5356" xr:uid="{00000000-0005-0000-0000-0000F7170000}"/>
    <cellStyle name="표준 8 2 6 2 3 2" xfId="8505" xr:uid="{00000000-0005-0000-0000-0000F8170000}"/>
    <cellStyle name="표준 8 2 6 2 4" xfId="6421" xr:uid="{00000000-0005-0000-0000-0000F9170000}"/>
    <cellStyle name="표준 8 2 6 3" xfId="3789" xr:uid="{00000000-0005-0000-0000-0000FA170000}"/>
    <cellStyle name="표준 8 2 6 3 2" xfId="6939" xr:uid="{00000000-0005-0000-0000-0000FB170000}"/>
    <cellStyle name="표준 8 2 6 4" xfId="4836" xr:uid="{00000000-0005-0000-0000-0000FC170000}"/>
    <cellStyle name="표준 8 2 6 4 2" xfId="7986" xr:uid="{00000000-0005-0000-0000-0000FD170000}"/>
    <cellStyle name="표준 8 2 6 5" xfId="5892" xr:uid="{00000000-0005-0000-0000-0000FE170000}"/>
    <cellStyle name="표준 8 2 7" xfId="3013" xr:uid="{00000000-0005-0000-0000-0000FF170000}"/>
    <cellStyle name="표준 8 2 7 2" xfId="4060" xr:uid="{00000000-0005-0000-0000-000000180000}"/>
    <cellStyle name="표준 8 2 7 2 2" xfId="7210" xr:uid="{00000000-0005-0000-0000-000001180000}"/>
    <cellStyle name="표준 8 2 7 3" xfId="5098" xr:uid="{00000000-0005-0000-0000-000002180000}"/>
    <cellStyle name="표준 8 2 7 3 2" xfId="8247" xr:uid="{00000000-0005-0000-0000-000003180000}"/>
    <cellStyle name="표준 8 2 7 4" xfId="6163" xr:uid="{00000000-0005-0000-0000-000004180000}"/>
    <cellStyle name="표준 8 2 8" xfId="3531" xr:uid="{00000000-0005-0000-0000-000005180000}"/>
    <cellStyle name="표준 8 2 8 2" xfId="6681" xr:uid="{00000000-0005-0000-0000-000006180000}"/>
    <cellStyle name="표준 8 2 9" xfId="4578" xr:uid="{00000000-0005-0000-0000-000007180000}"/>
    <cellStyle name="표준 8 2 9 2" xfId="7728" xr:uid="{00000000-0005-0000-0000-000008180000}"/>
    <cellStyle name="표준 8 20" xfId="451" xr:uid="{00000000-0005-0000-0000-000009180000}"/>
    <cellStyle name="표준 8 3" xfId="1808" xr:uid="{00000000-0005-0000-0000-00000A180000}"/>
    <cellStyle name="표준 8 4" xfId="1814" xr:uid="{00000000-0005-0000-0000-00000B180000}"/>
    <cellStyle name="표준 8 4 10" xfId="5638" xr:uid="{00000000-0005-0000-0000-00000C180000}"/>
    <cellStyle name="표준 8 4 2" xfId="1880" xr:uid="{00000000-0005-0000-0000-00000D180000}"/>
    <cellStyle name="표준 8 4 2 2" xfId="2670" xr:uid="{00000000-0005-0000-0000-00000E180000}"/>
    <cellStyle name="표준 8 4 2 2 2" xfId="2930" xr:uid="{00000000-0005-0000-0000-00000F180000}"/>
    <cellStyle name="표준 8 4 2 2 2 2" xfId="3468" xr:uid="{00000000-0005-0000-0000-000010180000}"/>
    <cellStyle name="표준 8 4 2 2 2 2 2" xfId="4515" xr:uid="{00000000-0005-0000-0000-000011180000}"/>
    <cellStyle name="표준 8 4 2 2 2 2 2 2" xfId="7665" xr:uid="{00000000-0005-0000-0000-000012180000}"/>
    <cellStyle name="표준 8 4 2 2 2 2 3" xfId="5553" xr:uid="{00000000-0005-0000-0000-000013180000}"/>
    <cellStyle name="표준 8 4 2 2 2 2 3 2" xfId="8702" xr:uid="{00000000-0005-0000-0000-000014180000}"/>
    <cellStyle name="표준 8 4 2 2 2 2 4" xfId="6618" xr:uid="{00000000-0005-0000-0000-000015180000}"/>
    <cellStyle name="표준 8 4 2 2 2 3" xfId="3986" xr:uid="{00000000-0005-0000-0000-000016180000}"/>
    <cellStyle name="표준 8 4 2 2 2 3 2" xfId="7136" xr:uid="{00000000-0005-0000-0000-000017180000}"/>
    <cellStyle name="표준 8 4 2 2 2 4" xfId="5033" xr:uid="{00000000-0005-0000-0000-000018180000}"/>
    <cellStyle name="표준 8 4 2 2 2 4 2" xfId="8183" xr:uid="{00000000-0005-0000-0000-000019180000}"/>
    <cellStyle name="표준 8 4 2 2 2 5" xfId="6089" xr:uid="{00000000-0005-0000-0000-00001A180000}"/>
    <cellStyle name="표준 8 4 2 2 3" xfId="3208" xr:uid="{00000000-0005-0000-0000-00001B180000}"/>
    <cellStyle name="표준 8 4 2 2 3 2" xfId="4255" xr:uid="{00000000-0005-0000-0000-00001C180000}"/>
    <cellStyle name="표준 8 4 2 2 3 2 2" xfId="7405" xr:uid="{00000000-0005-0000-0000-00001D180000}"/>
    <cellStyle name="표준 8 4 2 2 3 3" xfId="5293" xr:uid="{00000000-0005-0000-0000-00001E180000}"/>
    <cellStyle name="표준 8 4 2 2 3 3 2" xfId="8442" xr:uid="{00000000-0005-0000-0000-00001F180000}"/>
    <cellStyle name="표준 8 4 2 2 3 4" xfId="6358" xr:uid="{00000000-0005-0000-0000-000020180000}"/>
    <cellStyle name="표준 8 4 2 2 4" xfId="3726" xr:uid="{00000000-0005-0000-0000-000021180000}"/>
    <cellStyle name="표준 8 4 2 2 4 2" xfId="6876" xr:uid="{00000000-0005-0000-0000-000022180000}"/>
    <cellStyle name="표준 8 4 2 2 5" xfId="4773" xr:uid="{00000000-0005-0000-0000-000023180000}"/>
    <cellStyle name="표준 8 4 2 2 5 2" xfId="7923" xr:uid="{00000000-0005-0000-0000-000024180000}"/>
    <cellStyle name="표준 8 4 2 2 6" xfId="5829" xr:uid="{00000000-0005-0000-0000-000025180000}"/>
    <cellStyle name="표준 8 4 2 3" xfId="2799" xr:uid="{00000000-0005-0000-0000-000026180000}"/>
    <cellStyle name="표준 8 4 2 3 2" xfId="3337" xr:uid="{00000000-0005-0000-0000-000027180000}"/>
    <cellStyle name="표준 8 4 2 3 2 2" xfId="4384" xr:uid="{00000000-0005-0000-0000-000028180000}"/>
    <cellStyle name="표준 8 4 2 3 2 2 2" xfId="7534" xr:uid="{00000000-0005-0000-0000-000029180000}"/>
    <cellStyle name="표준 8 4 2 3 2 3" xfId="5422" xr:uid="{00000000-0005-0000-0000-00002A180000}"/>
    <cellStyle name="표준 8 4 2 3 2 3 2" xfId="8571" xr:uid="{00000000-0005-0000-0000-00002B180000}"/>
    <cellStyle name="표준 8 4 2 3 2 4" xfId="6487" xr:uid="{00000000-0005-0000-0000-00002C180000}"/>
    <cellStyle name="표준 8 4 2 3 3" xfId="3855" xr:uid="{00000000-0005-0000-0000-00002D180000}"/>
    <cellStyle name="표준 8 4 2 3 3 2" xfId="7005" xr:uid="{00000000-0005-0000-0000-00002E180000}"/>
    <cellStyle name="표준 8 4 2 3 4" xfId="4902" xr:uid="{00000000-0005-0000-0000-00002F180000}"/>
    <cellStyle name="표준 8 4 2 3 4 2" xfId="8052" xr:uid="{00000000-0005-0000-0000-000030180000}"/>
    <cellStyle name="표준 8 4 2 3 5" xfId="5958" xr:uid="{00000000-0005-0000-0000-000031180000}"/>
    <cellStyle name="표준 8 4 2 4" xfId="3079" xr:uid="{00000000-0005-0000-0000-000032180000}"/>
    <cellStyle name="표준 8 4 2 4 2" xfId="4126" xr:uid="{00000000-0005-0000-0000-000033180000}"/>
    <cellStyle name="표준 8 4 2 4 2 2" xfId="7276" xr:uid="{00000000-0005-0000-0000-000034180000}"/>
    <cellStyle name="표준 8 4 2 4 3" xfId="5164" xr:uid="{00000000-0005-0000-0000-000035180000}"/>
    <cellStyle name="표준 8 4 2 4 3 2" xfId="8313" xr:uid="{00000000-0005-0000-0000-000036180000}"/>
    <cellStyle name="표준 8 4 2 4 4" xfId="6229" xr:uid="{00000000-0005-0000-0000-000037180000}"/>
    <cellStyle name="표준 8 4 2 5" xfId="3597" xr:uid="{00000000-0005-0000-0000-000038180000}"/>
    <cellStyle name="표준 8 4 2 5 2" xfId="6747" xr:uid="{00000000-0005-0000-0000-000039180000}"/>
    <cellStyle name="표준 8 4 2 6" xfId="4644" xr:uid="{00000000-0005-0000-0000-00003A180000}"/>
    <cellStyle name="표준 8 4 2 6 2" xfId="7794" xr:uid="{00000000-0005-0000-0000-00003B180000}"/>
    <cellStyle name="표준 8 4 2 7" xfId="5700" xr:uid="{00000000-0005-0000-0000-00003C180000}"/>
    <cellStyle name="표준 8 4 3" xfId="1913" xr:uid="{00000000-0005-0000-0000-00003D180000}"/>
    <cellStyle name="표준 8 4 3 2" xfId="2703" xr:uid="{00000000-0005-0000-0000-00003E180000}"/>
    <cellStyle name="표준 8 4 3 2 2" xfId="2931" xr:uid="{00000000-0005-0000-0000-00003F180000}"/>
    <cellStyle name="표준 8 4 3 2 2 2" xfId="3469" xr:uid="{00000000-0005-0000-0000-000040180000}"/>
    <cellStyle name="표준 8 4 3 2 2 2 2" xfId="4516" xr:uid="{00000000-0005-0000-0000-000041180000}"/>
    <cellStyle name="표준 8 4 3 2 2 2 2 2" xfId="7666" xr:uid="{00000000-0005-0000-0000-000042180000}"/>
    <cellStyle name="표준 8 4 3 2 2 2 3" xfId="5554" xr:uid="{00000000-0005-0000-0000-000043180000}"/>
    <cellStyle name="표준 8 4 3 2 2 2 3 2" xfId="8703" xr:uid="{00000000-0005-0000-0000-000044180000}"/>
    <cellStyle name="표준 8 4 3 2 2 2 4" xfId="6619" xr:uid="{00000000-0005-0000-0000-000045180000}"/>
    <cellStyle name="표준 8 4 3 2 2 3" xfId="3987" xr:uid="{00000000-0005-0000-0000-000046180000}"/>
    <cellStyle name="표준 8 4 3 2 2 3 2" xfId="7137" xr:uid="{00000000-0005-0000-0000-000047180000}"/>
    <cellStyle name="표준 8 4 3 2 2 4" xfId="5034" xr:uid="{00000000-0005-0000-0000-000048180000}"/>
    <cellStyle name="표준 8 4 3 2 2 4 2" xfId="8184" xr:uid="{00000000-0005-0000-0000-000049180000}"/>
    <cellStyle name="표준 8 4 3 2 2 5" xfId="6090" xr:uid="{00000000-0005-0000-0000-00004A180000}"/>
    <cellStyle name="표준 8 4 3 2 3" xfId="3241" xr:uid="{00000000-0005-0000-0000-00004B180000}"/>
    <cellStyle name="표준 8 4 3 2 3 2" xfId="4288" xr:uid="{00000000-0005-0000-0000-00004C180000}"/>
    <cellStyle name="표준 8 4 3 2 3 2 2" xfId="7438" xr:uid="{00000000-0005-0000-0000-00004D180000}"/>
    <cellStyle name="표준 8 4 3 2 3 3" xfId="5326" xr:uid="{00000000-0005-0000-0000-00004E180000}"/>
    <cellStyle name="표준 8 4 3 2 3 3 2" xfId="8475" xr:uid="{00000000-0005-0000-0000-00004F180000}"/>
    <cellStyle name="표준 8 4 3 2 3 4" xfId="6391" xr:uid="{00000000-0005-0000-0000-000050180000}"/>
    <cellStyle name="표준 8 4 3 2 4" xfId="3759" xr:uid="{00000000-0005-0000-0000-000051180000}"/>
    <cellStyle name="표준 8 4 3 2 4 2" xfId="6909" xr:uid="{00000000-0005-0000-0000-000052180000}"/>
    <cellStyle name="표준 8 4 3 2 5" xfId="4806" xr:uid="{00000000-0005-0000-0000-000053180000}"/>
    <cellStyle name="표준 8 4 3 2 5 2" xfId="7956" xr:uid="{00000000-0005-0000-0000-000054180000}"/>
    <cellStyle name="표준 8 4 3 2 6" xfId="5862" xr:uid="{00000000-0005-0000-0000-000055180000}"/>
    <cellStyle name="표준 8 4 3 3" xfId="2832" xr:uid="{00000000-0005-0000-0000-000056180000}"/>
    <cellStyle name="표준 8 4 3 3 2" xfId="3370" xr:uid="{00000000-0005-0000-0000-000057180000}"/>
    <cellStyle name="표준 8 4 3 3 2 2" xfId="4417" xr:uid="{00000000-0005-0000-0000-000058180000}"/>
    <cellStyle name="표준 8 4 3 3 2 2 2" xfId="7567" xr:uid="{00000000-0005-0000-0000-000059180000}"/>
    <cellStyle name="표준 8 4 3 3 2 3" xfId="5455" xr:uid="{00000000-0005-0000-0000-00005A180000}"/>
    <cellStyle name="표준 8 4 3 3 2 3 2" xfId="8604" xr:uid="{00000000-0005-0000-0000-00005B180000}"/>
    <cellStyle name="표준 8 4 3 3 2 4" xfId="6520" xr:uid="{00000000-0005-0000-0000-00005C180000}"/>
    <cellStyle name="표준 8 4 3 3 3" xfId="3888" xr:uid="{00000000-0005-0000-0000-00005D180000}"/>
    <cellStyle name="표준 8 4 3 3 3 2" xfId="7038" xr:uid="{00000000-0005-0000-0000-00005E180000}"/>
    <cellStyle name="표준 8 4 3 3 4" xfId="4935" xr:uid="{00000000-0005-0000-0000-00005F180000}"/>
    <cellStyle name="표준 8 4 3 3 4 2" xfId="8085" xr:uid="{00000000-0005-0000-0000-000060180000}"/>
    <cellStyle name="표준 8 4 3 3 5" xfId="5991" xr:uid="{00000000-0005-0000-0000-000061180000}"/>
    <cellStyle name="표준 8 4 3 4" xfId="3112" xr:uid="{00000000-0005-0000-0000-000062180000}"/>
    <cellStyle name="표준 8 4 3 4 2" xfId="4159" xr:uid="{00000000-0005-0000-0000-000063180000}"/>
    <cellStyle name="표준 8 4 3 4 2 2" xfId="7309" xr:uid="{00000000-0005-0000-0000-000064180000}"/>
    <cellStyle name="표준 8 4 3 4 3" xfId="5197" xr:uid="{00000000-0005-0000-0000-000065180000}"/>
    <cellStyle name="표준 8 4 3 4 3 2" xfId="8346" xr:uid="{00000000-0005-0000-0000-000066180000}"/>
    <cellStyle name="표준 8 4 3 4 4" xfId="6262" xr:uid="{00000000-0005-0000-0000-000067180000}"/>
    <cellStyle name="표준 8 4 3 5" xfId="3630" xr:uid="{00000000-0005-0000-0000-000068180000}"/>
    <cellStyle name="표준 8 4 3 5 2" xfId="6780" xr:uid="{00000000-0005-0000-0000-000069180000}"/>
    <cellStyle name="표준 8 4 3 6" xfId="4677" xr:uid="{00000000-0005-0000-0000-00006A180000}"/>
    <cellStyle name="표준 8 4 3 6 2" xfId="7827" xr:uid="{00000000-0005-0000-0000-00006B180000}"/>
    <cellStyle name="표준 8 4 3 7" xfId="5733" xr:uid="{00000000-0005-0000-0000-00006C180000}"/>
    <cellStyle name="표준 8 4 4" xfId="1847" xr:uid="{00000000-0005-0000-0000-00006D180000}"/>
    <cellStyle name="표준 8 4 4 2" xfId="2637" xr:uid="{00000000-0005-0000-0000-00006E180000}"/>
    <cellStyle name="표준 8 4 4 2 2" xfId="2932" xr:uid="{00000000-0005-0000-0000-00006F180000}"/>
    <cellStyle name="표준 8 4 4 2 2 2" xfId="3470" xr:uid="{00000000-0005-0000-0000-000070180000}"/>
    <cellStyle name="표준 8 4 4 2 2 2 2" xfId="4517" xr:uid="{00000000-0005-0000-0000-000071180000}"/>
    <cellStyle name="표준 8 4 4 2 2 2 2 2" xfId="7667" xr:uid="{00000000-0005-0000-0000-000072180000}"/>
    <cellStyle name="표준 8 4 4 2 2 2 3" xfId="5555" xr:uid="{00000000-0005-0000-0000-000073180000}"/>
    <cellStyle name="표준 8 4 4 2 2 2 3 2" xfId="8704" xr:uid="{00000000-0005-0000-0000-000074180000}"/>
    <cellStyle name="표준 8 4 4 2 2 2 4" xfId="6620" xr:uid="{00000000-0005-0000-0000-000075180000}"/>
    <cellStyle name="표준 8 4 4 2 2 3" xfId="3988" xr:uid="{00000000-0005-0000-0000-000076180000}"/>
    <cellStyle name="표준 8 4 4 2 2 3 2" xfId="7138" xr:uid="{00000000-0005-0000-0000-000077180000}"/>
    <cellStyle name="표준 8 4 4 2 2 4" xfId="5035" xr:uid="{00000000-0005-0000-0000-000078180000}"/>
    <cellStyle name="표준 8 4 4 2 2 4 2" xfId="8185" xr:uid="{00000000-0005-0000-0000-000079180000}"/>
    <cellStyle name="표준 8 4 4 2 2 5" xfId="6091" xr:uid="{00000000-0005-0000-0000-00007A180000}"/>
    <cellStyle name="표준 8 4 4 2 3" xfId="3175" xr:uid="{00000000-0005-0000-0000-00007B180000}"/>
    <cellStyle name="표준 8 4 4 2 3 2" xfId="4222" xr:uid="{00000000-0005-0000-0000-00007C180000}"/>
    <cellStyle name="표준 8 4 4 2 3 2 2" xfId="7372" xr:uid="{00000000-0005-0000-0000-00007D180000}"/>
    <cellStyle name="표준 8 4 4 2 3 3" xfId="5260" xr:uid="{00000000-0005-0000-0000-00007E180000}"/>
    <cellStyle name="표준 8 4 4 2 3 3 2" xfId="8409" xr:uid="{00000000-0005-0000-0000-00007F180000}"/>
    <cellStyle name="표준 8 4 4 2 3 4" xfId="6325" xr:uid="{00000000-0005-0000-0000-000080180000}"/>
    <cellStyle name="표준 8 4 4 2 4" xfId="3693" xr:uid="{00000000-0005-0000-0000-000081180000}"/>
    <cellStyle name="표준 8 4 4 2 4 2" xfId="6843" xr:uid="{00000000-0005-0000-0000-000082180000}"/>
    <cellStyle name="표준 8 4 4 2 5" xfId="4740" xr:uid="{00000000-0005-0000-0000-000083180000}"/>
    <cellStyle name="표준 8 4 4 2 5 2" xfId="7890" xr:uid="{00000000-0005-0000-0000-000084180000}"/>
    <cellStyle name="표준 8 4 4 2 6" xfId="5796" xr:uid="{00000000-0005-0000-0000-000085180000}"/>
    <cellStyle name="표준 8 4 4 3" xfId="2766" xr:uid="{00000000-0005-0000-0000-000086180000}"/>
    <cellStyle name="표준 8 4 4 3 2" xfId="3304" xr:uid="{00000000-0005-0000-0000-000087180000}"/>
    <cellStyle name="표준 8 4 4 3 2 2" xfId="4351" xr:uid="{00000000-0005-0000-0000-000088180000}"/>
    <cellStyle name="표준 8 4 4 3 2 2 2" xfId="7501" xr:uid="{00000000-0005-0000-0000-000089180000}"/>
    <cellStyle name="표준 8 4 4 3 2 3" xfId="5389" xr:uid="{00000000-0005-0000-0000-00008A180000}"/>
    <cellStyle name="표준 8 4 4 3 2 3 2" xfId="8538" xr:uid="{00000000-0005-0000-0000-00008B180000}"/>
    <cellStyle name="표준 8 4 4 3 2 4" xfId="6454" xr:uid="{00000000-0005-0000-0000-00008C180000}"/>
    <cellStyle name="표준 8 4 4 3 3" xfId="3822" xr:uid="{00000000-0005-0000-0000-00008D180000}"/>
    <cellStyle name="표준 8 4 4 3 3 2" xfId="6972" xr:uid="{00000000-0005-0000-0000-00008E180000}"/>
    <cellStyle name="표준 8 4 4 3 4" xfId="4869" xr:uid="{00000000-0005-0000-0000-00008F180000}"/>
    <cellStyle name="표준 8 4 4 3 4 2" xfId="8019" xr:uid="{00000000-0005-0000-0000-000090180000}"/>
    <cellStyle name="표준 8 4 4 3 5" xfId="5925" xr:uid="{00000000-0005-0000-0000-000091180000}"/>
    <cellStyle name="표준 8 4 4 4" xfId="3046" xr:uid="{00000000-0005-0000-0000-000092180000}"/>
    <cellStyle name="표준 8 4 4 4 2" xfId="4093" xr:uid="{00000000-0005-0000-0000-000093180000}"/>
    <cellStyle name="표준 8 4 4 4 2 2" xfId="7243" xr:uid="{00000000-0005-0000-0000-000094180000}"/>
    <cellStyle name="표준 8 4 4 4 3" xfId="5131" xr:uid="{00000000-0005-0000-0000-000095180000}"/>
    <cellStyle name="표준 8 4 4 4 3 2" xfId="8280" xr:uid="{00000000-0005-0000-0000-000096180000}"/>
    <cellStyle name="표준 8 4 4 4 4" xfId="6196" xr:uid="{00000000-0005-0000-0000-000097180000}"/>
    <cellStyle name="표준 8 4 4 5" xfId="3564" xr:uid="{00000000-0005-0000-0000-000098180000}"/>
    <cellStyle name="표준 8 4 4 5 2" xfId="6714" xr:uid="{00000000-0005-0000-0000-000099180000}"/>
    <cellStyle name="표준 8 4 4 6" xfId="4611" xr:uid="{00000000-0005-0000-0000-00009A180000}"/>
    <cellStyle name="표준 8 4 4 6 2" xfId="7761" xr:uid="{00000000-0005-0000-0000-00009B180000}"/>
    <cellStyle name="표준 8 4 4 7" xfId="5667" xr:uid="{00000000-0005-0000-0000-00009C180000}"/>
    <cellStyle name="표준 8 4 5" xfId="2608" xr:uid="{00000000-0005-0000-0000-00009D180000}"/>
    <cellStyle name="표준 8 4 5 2" xfId="2933" xr:uid="{00000000-0005-0000-0000-00009E180000}"/>
    <cellStyle name="표준 8 4 5 2 2" xfId="3471" xr:uid="{00000000-0005-0000-0000-00009F180000}"/>
    <cellStyle name="표준 8 4 5 2 2 2" xfId="4518" xr:uid="{00000000-0005-0000-0000-0000A0180000}"/>
    <cellStyle name="표준 8 4 5 2 2 2 2" xfId="7668" xr:uid="{00000000-0005-0000-0000-0000A1180000}"/>
    <cellStyle name="표준 8 4 5 2 2 3" xfId="5556" xr:uid="{00000000-0005-0000-0000-0000A2180000}"/>
    <cellStyle name="표준 8 4 5 2 2 3 2" xfId="8705" xr:uid="{00000000-0005-0000-0000-0000A3180000}"/>
    <cellStyle name="표준 8 4 5 2 2 4" xfId="6621" xr:uid="{00000000-0005-0000-0000-0000A4180000}"/>
    <cellStyle name="표준 8 4 5 2 3" xfId="3989" xr:uid="{00000000-0005-0000-0000-0000A5180000}"/>
    <cellStyle name="표준 8 4 5 2 3 2" xfId="7139" xr:uid="{00000000-0005-0000-0000-0000A6180000}"/>
    <cellStyle name="표준 8 4 5 2 4" xfId="5036" xr:uid="{00000000-0005-0000-0000-0000A7180000}"/>
    <cellStyle name="표준 8 4 5 2 4 2" xfId="8186" xr:uid="{00000000-0005-0000-0000-0000A8180000}"/>
    <cellStyle name="표준 8 4 5 2 5" xfId="6092" xr:uid="{00000000-0005-0000-0000-0000A9180000}"/>
    <cellStyle name="표준 8 4 5 3" xfId="3146" xr:uid="{00000000-0005-0000-0000-0000AA180000}"/>
    <cellStyle name="표준 8 4 5 3 2" xfId="4193" xr:uid="{00000000-0005-0000-0000-0000AB180000}"/>
    <cellStyle name="표준 8 4 5 3 2 2" xfId="7343" xr:uid="{00000000-0005-0000-0000-0000AC180000}"/>
    <cellStyle name="표준 8 4 5 3 3" xfId="5231" xr:uid="{00000000-0005-0000-0000-0000AD180000}"/>
    <cellStyle name="표준 8 4 5 3 3 2" xfId="8380" xr:uid="{00000000-0005-0000-0000-0000AE180000}"/>
    <cellStyle name="표준 8 4 5 3 4" xfId="6296" xr:uid="{00000000-0005-0000-0000-0000AF180000}"/>
    <cellStyle name="표준 8 4 5 4" xfId="3664" xr:uid="{00000000-0005-0000-0000-0000B0180000}"/>
    <cellStyle name="표준 8 4 5 4 2" xfId="6814" xr:uid="{00000000-0005-0000-0000-0000B1180000}"/>
    <cellStyle name="표준 8 4 5 5" xfId="4711" xr:uid="{00000000-0005-0000-0000-0000B2180000}"/>
    <cellStyle name="표준 8 4 5 5 2" xfId="7861" xr:uid="{00000000-0005-0000-0000-0000B3180000}"/>
    <cellStyle name="표준 8 4 5 6" xfId="5767" xr:uid="{00000000-0005-0000-0000-0000B4180000}"/>
    <cellStyle name="표준 8 4 6" xfId="2737" xr:uid="{00000000-0005-0000-0000-0000B5180000}"/>
    <cellStyle name="표준 8 4 6 2" xfId="3275" xr:uid="{00000000-0005-0000-0000-0000B6180000}"/>
    <cellStyle name="표준 8 4 6 2 2" xfId="4322" xr:uid="{00000000-0005-0000-0000-0000B7180000}"/>
    <cellStyle name="표준 8 4 6 2 2 2" xfId="7472" xr:uid="{00000000-0005-0000-0000-0000B8180000}"/>
    <cellStyle name="표준 8 4 6 2 3" xfId="5360" xr:uid="{00000000-0005-0000-0000-0000B9180000}"/>
    <cellStyle name="표준 8 4 6 2 3 2" xfId="8509" xr:uid="{00000000-0005-0000-0000-0000BA180000}"/>
    <cellStyle name="표준 8 4 6 2 4" xfId="6425" xr:uid="{00000000-0005-0000-0000-0000BB180000}"/>
    <cellStyle name="표준 8 4 6 3" xfId="3793" xr:uid="{00000000-0005-0000-0000-0000BC180000}"/>
    <cellStyle name="표준 8 4 6 3 2" xfId="6943" xr:uid="{00000000-0005-0000-0000-0000BD180000}"/>
    <cellStyle name="표준 8 4 6 4" xfId="4840" xr:uid="{00000000-0005-0000-0000-0000BE180000}"/>
    <cellStyle name="표준 8 4 6 4 2" xfId="7990" xr:uid="{00000000-0005-0000-0000-0000BF180000}"/>
    <cellStyle name="표준 8 4 6 5" xfId="5896" xr:uid="{00000000-0005-0000-0000-0000C0180000}"/>
    <cellStyle name="표준 8 4 7" xfId="3017" xr:uid="{00000000-0005-0000-0000-0000C1180000}"/>
    <cellStyle name="표준 8 4 7 2" xfId="4064" xr:uid="{00000000-0005-0000-0000-0000C2180000}"/>
    <cellStyle name="표준 8 4 7 2 2" xfId="7214" xr:uid="{00000000-0005-0000-0000-0000C3180000}"/>
    <cellStyle name="표준 8 4 7 3" xfId="5102" xr:uid="{00000000-0005-0000-0000-0000C4180000}"/>
    <cellStyle name="표준 8 4 7 3 2" xfId="8251" xr:uid="{00000000-0005-0000-0000-0000C5180000}"/>
    <cellStyle name="표준 8 4 7 4" xfId="6167" xr:uid="{00000000-0005-0000-0000-0000C6180000}"/>
    <cellStyle name="표준 8 4 8" xfId="3535" xr:uid="{00000000-0005-0000-0000-0000C7180000}"/>
    <cellStyle name="표준 8 4 8 2" xfId="6685" xr:uid="{00000000-0005-0000-0000-0000C8180000}"/>
    <cellStyle name="표준 8 4 9" xfId="4582" xr:uid="{00000000-0005-0000-0000-0000C9180000}"/>
    <cellStyle name="표준 8 4 9 2" xfId="7732" xr:uid="{00000000-0005-0000-0000-0000CA180000}"/>
    <cellStyle name="표준 8 5" xfId="1818" xr:uid="{00000000-0005-0000-0000-0000CB180000}"/>
    <cellStyle name="표준 8 5 10" xfId="5642" xr:uid="{00000000-0005-0000-0000-0000CC180000}"/>
    <cellStyle name="표준 8 5 2" xfId="1884" xr:uid="{00000000-0005-0000-0000-0000CD180000}"/>
    <cellStyle name="표준 8 5 2 2" xfId="2674" xr:uid="{00000000-0005-0000-0000-0000CE180000}"/>
    <cellStyle name="표준 8 5 2 2 2" xfId="2934" xr:uid="{00000000-0005-0000-0000-0000CF180000}"/>
    <cellStyle name="표준 8 5 2 2 2 2" xfId="3472" xr:uid="{00000000-0005-0000-0000-0000D0180000}"/>
    <cellStyle name="표준 8 5 2 2 2 2 2" xfId="4519" xr:uid="{00000000-0005-0000-0000-0000D1180000}"/>
    <cellStyle name="표준 8 5 2 2 2 2 2 2" xfId="7669" xr:uid="{00000000-0005-0000-0000-0000D2180000}"/>
    <cellStyle name="표준 8 5 2 2 2 2 3" xfId="5557" xr:uid="{00000000-0005-0000-0000-0000D3180000}"/>
    <cellStyle name="표준 8 5 2 2 2 2 3 2" xfId="8706" xr:uid="{00000000-0005-0000-0000-0000D4180000}"/>
    <cellStyle name="표준 8 5 2 2 2 2 4" xfId="6622" xr:uid="{00000000-0005-0000-0000-0000D5180000}"/>
    <cellStyle name="표준 8 5 2 2 2 3" xfId="3990" xr:uid="{00000000-0005-0000-0000-0000D6180000}"/>
    <cellStyle name="표준 8 5 2 2 2 3 2" xfId="7140" xr:uid="{00000000-0005-0000-0000-0000D7180000}"/>
    <cellStyle name="표준 8 5 2 2 2 4" xfId="5037" xr:uid="{00000000-0005-0000-0000-0000D8180000}"/>
    <cellStyle name="표준 8 5 2 2 2 4 2" xfId="8187" xr:uid="{00000000-0005-0000-0000-0000D9180000}"/>
    <cellStyle name="표준 8 5 2 2 2 5" xfId="6093" xr:uid="{00000000-0005-0000-0000-0000DA180000}"/>
    <cellStyle name="표준 8 5 2 2 3" xfId="3212" xr:uid="{00000000-0005-0000-0000-0000DB180000}"/>
    <cellStyle name="표준 8 5 2 2 3 2" xfId="4259" xr:uid="{00000000-0005-0000-0000-0000DC180000}"/>
    <cellStyle name="표준 8 5 2 2 3 2 2" xfId="7409" xr:uid="{00000000-0005-0000-0000-0000DD180000}"/>
    <cellStyle name="표준 8 5 2 2 3 3" xfId="5297" xr:uid="{00000000-0005-0000-0000-0000DE180000}"/>
    <cellStyle name="표준 8 5 2 2 3 3 2" xfId="8446" xr:uid="{00000000-0005-0000-0000-0000DF180000}"/>
    <cellStyle name="표준 8 5 2 2 3 4" xfId="6362" xr:uid="{00000000-0005-0000-0000-0000E0180000}"/>
    <cellStyle name="표준 8 5 2 2 4" xfId="3730" xr:uid="{00000000-0005-0000-0000-0000E1180000}"/>
    <cellStyle name="표준 8 5 2 2 4 2" xfId="6880" xr:uid="{00000000-0005-0000-0000-0000E2180000}"/>
    <cellStyle name="표준 8 5 2 2 5" xfId="4777" xr:uid="{00000000-0005-0000-0000-0000E3180000}"/>
    <cellStyle name="표준 8 5 2 2 5 2" xfId="7927" xr:uid="{00000000-0005-0000-0000-0000E4180000}"/>
    <cellStyle name="표준 8 5 2 2 6" xfId="5833" xr:uid="{00000000-0005-0000-0000-0000E5180000}"/>
    <cellStyle name="표준 8 5 2 3" xfId="2803" xr:uid="{00000000-0005-0000-0000-0000E6180000}"/>
    <cellStyle name="표준 8 5 2 3 2" xfId="3341" xr:uid="{00000000-0005-0000-0000-0000E7180000}"/>
    <cellStyle name="표준 8 5 2 3 2 2" xfId="4388" xr:uid="{00000000-0005-0000-0000-0000E8180000}"/>
    <cellStyle name="표준 8 5 2 3 2 2 2" xfId="7538" xr:uid="{00000000-0005-0000-0000-0000E9180000}"/>
    <cellStyle name="표준 8 5 2 3 2 3" xfId="5426" xr:uid="{00000000-0005-0000-0000-0000EA180000}"/>
    <cellStyle name="표준 8 5 2 3 2 3 2" xfId="8575" xr:uid="{00000000-0005-0000-0000-0000EB180000}"/>
    <cellStyle name="표준 8 5 2 3 2 4" xfId="6491" xr:uid="{00000000-0005-0000-0000-0000EC180000}"/>
    <cellStyle name="표준 8 5 2 3 3" xfId="3859" xr:uid="{00000000-0005-0000-0000-0000ED180000}"/>
    <cellStyle name="표준 8 5 2 3 3 2" xfId="7009" xr:uid="{00000000-0005-0000-0000-0000EE180000}"/>
    <cellStyle name="표준 8 5 2 3 4" xfId="4906" xr:uid="{00000000-0005-0000-0000-0000EF180000}"/>
    <cellStyle name="표준 8 5 2 3 4 2" xfId="8056" xr:uid="{00000000-0005-0000-0000-0000F0180000}"/>
    <cellStyle name="표준 8 5 2 3 5" xfId="5962" xr:uid="{00000000-0005-0000-0000-0000F1180000}"/>
    <cellStyle name="표준 8 5 2 4" xfId="3083" xr:uid="{00000000-0005-0000-0000-0000F2180000}"/>
    <cellStyle name="표준 8 5 2 4 2" xfId="4130" xr:uid="{00000000-0005-0000-0000-0000F3180000}"/>
    <cellStyle name="표준 8 5 2 4 2 2" xfId="7280" xr:uid="{00000000-0005-0000-0000-0000F4180000}"/>
    <cellStyle name="표준 8 5 2 4 3" xfId="5168" xr:uid="{00000000-0005-0000-0000-0000F5180000}"/>
    <cellStyle name="표준 8 5 2 4 3 2" xfId="8317" xr:uid="{00000000-0005-0000-0000-0000F6180000}"/>
    <cellStyle name="표준 8 5 2 4 4" xfId="6233" xr:uid="{00000000-0005-0000-0000-0000F7180000}"/>
    <cellStyle name="표준 8 5 2 5" xfId="3601" xr:uid="{00000000-0005-0000-0000-0000F8180000}"/>
    <cellStyle name="표준 8 5 2 5 2" xfId="6751" xr:uid="{00000000-0005-0000-0000-0000F9180000}"/>
    <cellStyle name="표준 8 5 2 6" xfId="4648" xr:uid="{00000000-0005-0000-0000-0000FA180000}"/>
    <cellStyle name="표준 8 5 2 6 2" xfId="7798" xr:uid="{00000000-0005-0000-0000-0000FB180000}"/>
    <cellStyle name="표준 8 5 2 7" xfId="5704" xr:uid="{00000000-0005-0000-0000-0000FC180000}"/>
    <cellStyle name="표준 8 5 3" xfId="1917" xr:uid="{00000000-0005-0000-0000-0000FD180000}"/>
    <cellStyle name="표준 8 5 3 2" xfId="2707" xr:uid="{00000000-0005-0000-0000-0000FE180000}"/>
    <cellStyle name="표준 8 5 3 2 2" xfId="2935" xr:uid="{00000000-0005-0000-0000-0000FF180000}"/>
    <cellStyle name="표준 8 5 3 2 2 2" xfId="3473" xr:uid="{00000000-0005-0000-0000-000000190000}"/>
    <cellStyle name="표준 8 5 3 2 2 2 2" xfId="4520" xr:uid="{00000000-0005-0000-0000-000001190000}"/>
    <cellStyle name="표준 8 5 3 2 2 2 2 2" xfId="7670" xr:uid="{00000000-0005-0000-0000-000002190000}"/>
    <cellStyle name="표준 8 5 3 2 2 2 3" xfId="5558" xr:uid="{00000000-0005-0000-0000-000003190000}"/>
    <cellStyle name="표준 8 5 3 2 2 2 3 2" xfId="8707" xr:uid="{00000000-0005-0000-0000-000004190000}"/>
    <cellStyle name="표준 8 5 3 2 2 2 4" xfId="6623" xr:uid="{00000000-0005-0000-0000-000005190000}"/>
    <cellStyle name="표준 8 5 3 2 2 3" xfId="3991" xr:uid="{00000000-0005-0000-0000-000006190000}"/>
    <cellStyle name="표준 8 5 3 2 2 3 2" xfId="7141" xr:uid="{00000000-0005-0000-0000-000007190000}"/>
    <cellStyle name="표준 8 5 3 2 2 4" xfId="5038" xr:uid="{00000000-0005-0000-0000-000008190000}"/>
    <cellStyle name="표준 8 5 3 2 2 4 2" xfId="8188" xr:uid="{00000000-0005-0000-0000-000009190000}"/>
    <cellStyle name="표준 8 5 3 2 2 5" xfId="6094" xr:uid="{00000000-0005-0000-0000-00000A190000}"/>
    <cellStyle name="표준 8 5 3 2 3" xfId="3245" xr:uid="{00000000-0005-0000-0000-00000B190000}"/>
    <cellStyle name="표준 8 5 3 2 3 2" xfId="4292" xr:uid="{00000000-0005-0000-0000-00000C190000}"/>
    <cellStyle name="표준 8 5 3 2 3 2 2" xfId="7442" xr:uid="{00000000-0005-0000-0000-00000D190000}"/>
    <cellStyle name="표준 8 5 3 2 3 3" xfId="5330" xr:uid="{00000000-0005-0000-0000-00000E190000}"/>
    <cellStyle name="표준 8 5 3 2 3 3 2" xfId="8479" xr:uid="{00000000-0005-0000-0000-00000F190000}"/>
    <cellStyle name="표준 8 5 3 2 3 4" xfId="6395" xr:uid="{00000000-0005-0000-0000-000010190000}"/>
    <cellStyle name="표준 8 5 3 2 4" xfId="3763" xr:uid="{00000000-0005-0000-0000-000011190000}"/>
    <cellStyle name="표준 8 5 3 2 4 2" xfId="6913" xr:uid="{00000000-0005-0000-0000-000012190000}"/>
    <cellStyle name="표준 8 5 3 2 5" xfId="4810" xr:uid="{00000000-0005-0000-0000-000013190000}"/>
    <cellStyle name="표준 8 5 3 2 5 2" xfId="7960" xr:uid="{00000000-0005-0000-0000-000014190000}"/>
    <cellStyle name="표준 8 5 3 2 6" xfId="5866" xr:uid="{00000000-0005-0000-0000-000015190000}"/>
    <cellStyle name="표준 8 5 3 3" xfId="2836" xr:uid="{00000000-0005-0000-0000-000016190000}"/>
    <cellStyle name="표준 8 5 3 3 2" xfId="3374" xr:uid="{00000000-0005-0000-0000-000017190000}"/>
    <cellStyle name="표준 8 5 3 3 2 2" xfId="4421" xr:uid="{00000000-0005-0000-0000-000018190000}"/>
    <cellStyle name="표준 8 5 3 3 2 2 2" xfId="7571" xr:uid="{00000000-0005-0000-0000-000019190000}"/>
    <cellStyle name="표준 8 5 3 3 2 3" xfId="5459" xr:uid="{00000000-0005-0000-0000-00001A190000}"/>
    <cellStyle name="표준 8 5 3 3 2 3 2" xfId="8608" xr:uid="{00000000-0005-0000-0000-00001B190000}"/>
    <cellStyle name="표준 8 5 3 3 2 4" xfId="6524" xr:uid="{00000000-0005-0000-0000-00001C190000}"/>
    <cellStyle name="표준 8 5 3 3 3" xfId="3892" xr:uid="{00000000-0005-0000-0000-00001D190000}"/>
    <cellStyle name="표준 8 5 3 3 3 2" xfId="7042" xr:uid="{00000000-0005-0000-0000-00001E190000}"/>
    <cellStyle name="표준 8 5 3 3 4" xfId="4939" xr:uid="{00000000-0005-0000-0000-00001F190000}"/>
    <cellStyle name="표준 8 5 3 3 4 2" xfId="8089" xr:uid="{00000000-0005-0000-0000-000020190000}"/>
    <cellStyle name="표준 8 5 3 3 5" xfId="5995" xr:uid="{00000000-0005-0000-0000-000021190000}"/>
    <cellStyle name="표준 8 5 3 4" xfId="3116" xr:uid="{00000000-0005-0000-0000-000022190000}"/>
    <cellStyle name="표준 8 5 3 4 2" xfId="4163" xr:uid="{00000000-0005-0000-0000-000023190000}"/>
    <cellStyle name="표준 8 5 3 4 2 2" xfId="7313" xr:uid="{00000000-0005-0000-0000-000024190000}"/>
    <cellStyle name="표준 8 5 3 4 3" xfId="5201" xr:uid="{00000000-0005-0000-0000-000025190000}"/>
    <cellStyle name="표준 8 5 3 4 3 2" xfId="8350" xr:uid="{00000000-0005-0000-0000-000026190000}"/>
    <cellStyle name="표준 8 5 3 4 4" xfId="6266" xr:uid="{00000000-0005-0000-0000-000027190000}"/>
    <cellStyle name="표준 8 5 3 5" xfId="3634" xr:uid="{00000000-0005-0000-0000-000028190000}"/>
    <cellStyle name="표준 8 5 3 5 2" xfId="6784" xr:uid="{00000000-0005-0000-0000-000029190000}"/>
    <cellStyle name="표준 8 5 3 6" xfId="4681" xr:uid="{00000000-0005-0000-0000-00002A190000}"/>
    <cellStyle name="표준 8 5 3 6 2" xfId="7831" xr:uid="{00000000-0005-0000-0000-00002B190000}"/>
    <cellStyle name="표준 8 5 3 7" xfId="5737" xr:uid="{00000000-0005-0000-0000-00002C190000}"/>
    <cellStyle name="표준 8 5 4" xfId="1851" xr:uid="{00000000-0005-0000-0000-00002D190000}"/>
    <cellStyle name="표준 8 5 4 2" xfId="2641" xr:uid="{00000000-0005-0000-0000-00002E190000}"/>
    <cellStyle name="표준 8 5 4 2 2" xfId="2936" xr:uid="{00000000-0005-0000-0000-00002F190000}"/>
    <cellStyle name="표준 8 5 4 2 2 2" xfId="3474" xr:uid="{00000000-0005-0000-0000-000030190000}"/>
    <cellStyle name="표준 8 5 4 2 2 2 2" xfId="4521" xr:uid="{00000000-0005-0000-0000-000031190000}"/>
    <cellStyle name="표준 8 5 4 2 2 2 2 2" xfId="7671" xr:uid="{00000000-0005-0000-0000-000032190000}"/>
    <cellStyle name="표준 8 5 4 2 2 2 3" xfId="5559" xr:uid="{00000000-0005-0000-0000-000033190000}"/>
    <cellStyle name="표준 8 5 4 2 2 2 3 2" xfId="8708" xr:uid="{00000000-0005-0000-0000-000034190000}"/>
    <cellStyle name="표준 8 5 4 2 2 2 4" xfId="6624" xr:uid="{00000000-0005-0000-0000-000035190000}"/>
    <cellStyle name="표준 8 5 4 2 2 3" xfId="3992" xr:uid="{00000000-0005-0000-0000-000036190000}"/>
    <cellStyle name="표준 8 5 4 2 2 3 2" xfId="7142" xr:uid="{00000000-0005-0000-0000-000037190000}"/>
    <cellStyle name="표준 8 5 4 2 2 4" xfId="5039" xr:uid="{00000000-0005-0000-0000-000038190000}"/>
    <cellStyle name="표준 8 5 4 2 2 4 2" xfId="8189" xr:uid="{00000000-0005-0000-0000-000039190000}"/>
    <cellStyle name="표준 8 5 4 2 2 5" xfId="6095" xr:uid="{00000000-0005-0000-0000-00003A190000}"/>
    <cellStyle name="표준 8 5 4 2 3" xfId="3179" xr:uid="{00000000-0005-0000-0000-00003B190000}"/>
    <cellStyle name="표준 8 5 4 2 3 2" xfId="4226" xr:uid="{00000000-0005-0000-0000-00003C190000}"/>
    <cellStyle name="표준 8 5 4 2 3 2 2" xfId="7376" xr:uid="{00000000-0005-0000-0000-00003D190000}"/>
    <cellStyle name="표준 8 5 4 2 3 3" xfId="5264" xr:uid="{00000000-0005-0000-0000-00003E190000}"/>
    <cellStyle name="표준 8 5 4 2 3 3 2" xfId="8413" xr:uid="{00000000-0005-0000-0000-00003F190000}"/>
    <cellStyle name="표준 8 5 4 2 3 4" xfId="6329" xr:uid="{00000000-0005-0000-0000-000040190000}"/>
    <cellStyle name="표준 8 5 4 2 4" xfId="3697" xr:uid="{00000000-0005-0000-0000-000041190000}"/>
    <cellStyle name="표준 8 5 4 2 4 2" xfId="6847" xr:uid="{00000000-0005-0000-0000-000042190000}"/>
    <cellStyle name="표준 8 5 4 2 5" xfId="4744" xr:uid="{00000000-0005-0000-0000-000043190000}"/>
    <cellStyle name="표준 8 5 4 2 5 2" xfId="7894" xr:uid="{00000000-0005-0000-0000-000044190000}"/>
    <cellStyle name="표준 8 5 4 2 6" xfId="5800" xr:uid="{00000000-0005-0000-0000-000045190000}"/>
    <cellStyle name="표준 8 5 4 3" xfId="2770" xr:uid="{00000000-0005-0000-0000-000046190000}"/>
    <cellStyle name="표준 8 5 4 3 2" xfId="3308" xr:uid="{00000000-0005-0000-0000-000047190000}"/>
    <cellStyle name="표준 8 5 4 3 2 2" xfId="4355" xr:uid="{00000000-0005-0000-0000-000048190000}"/>
    <cellStyle name="표준 8 5 4 3 2 2 2" xfId="7505" xr:uid="{00000000-0005-0000-0000-000049190000}"/>
    <cellStyle name="표준 8 5 4 3 2 3" xfId="5393" xr:uid="{00000000-0005-0000-0000-00004A190000}"/>
    <cellStyle name="표준 8 5 4 3 2 3 2" xfId="8542" xr:uid="{00000000-0005-0000-0000-00004B190000}"/>
    <cellStyle name="표준 8 5 4 3 2 4" xfId="6458" xr:uid="{00000000-0005-0000-0000-00004C190000}"/>
    <cellStyle name="표준 8 5 4 3 3" xfId="3826" xr:uid="{00000000-0005-0000-0000-00004D190000}"/>
    <cellStyle name="표준 8 5 4 3 3 2" xfId="6976" xr:uid="{00000000-0005-0000-0000-00004E190000}"/>
    <cellStyle name="표준 8 5 4 3 4" xfId="4873" xr:uid="{00000000-0005-0000-0000-00004F190000}"/>
    <cellStyle name="표준 8 5 4 3 4 2" xfId="8023" xr:uid="{00000000-0005-0000-0000-000050190000}"/>
    <cellStyle name="표준 8 5 4 3 5" xfId="5929" xr:uid="{00000000-0005-0000-0000-000051190000}"/>
    <cellStyle name="표준 8 5 4 4" xfId="3050" xr:uid="{00000000-0005-0000-0000-000052190000}"/>
    <cellStyle name="표준 8 5 4 4 2" xfId="4097" xr:uid="{00000000-0005-0000-0000-000053190000}"/>
    <cellStyle name="표준 8 5 4 4 2 2" xfId="7247" xr:uid="{00000000-0005-0000-0000-000054190000}"/>
    <cellStyle name="표준 8 5 4 4 3" xfId="5135" xr:uid="{00000000-0005-0000-0000-000055190000}"/>
    <cellStyle name="표준 8 5 4 4 3 2" xfId="8284" xr:uid="{00000000-0005-0000-0000-000056190000}"/>
    <cellStyle name="표준 8 5 4 4 4" xfId="6200" xr:uid="{00000000-0005-0000-0000-000057190000}"/>
    <cellStyle name="표준 8 5 4 5" xfId="3568" xr:uid="{00000000-0005-0000-0000-000058190000}"/>
    <cellStyle name="표준 8 5 4 5 2" xfId="6718" xr:uid="{00000000-0005-0000-0000-000059190000}"/>
    <cellStyle name="표준 8 5 4 6" xfId="4615" xr:uid="{00000000-0005-0000-0000-00005A190000}"/>
    <cellStyle name="표준 8 5 4 6 2" xfId="7765" xr:uid="{00000000-0005-0000-0000-00005B190000}"/>
    <cellStyle name="표준 8 5 4 7" xfId="5671" xr:uid="{00000000-0005-0000-0000-00005C190000}"/>
    <cellStyle name="표준 8 5 5" xfId="2612" xr:uid="{00000000-0005-0000-0000-00005D190000}"/>
    <cellStyle name="표준 8 5 5 2" xfId="2937" xr:uid="{00000000-0005-0000-0000-00005E190000}"/>
    <cellStyle name="표준 8 5 5 2 2" xfId="3475" xr:uid="{00000000-0005-0000-0000-00005F190000}"/>
    <cellStyle name="표준 8 5 5 2 2 2" xfId="4522" xr:uid="{00000000-0005-0000-0000-000060190000}"/>
    <cellStyle name="표준 8 5 5 2 2 2 2" xfId="7672" xr:uid="{00000000-0005-0000-0000-000061190000}"/>
    <cellStyle name="표준 8 5 5 2 2 3" xfId="5560" xr:uid="{00000000-0005-0000-0000-000062190000}"/>
    <cellStyle name="표준 8 5 5 2 2 3 2" xfId="8709" xr:uid="{00000000-0005-0000-0000-000063190000}"/>
    <cellStyle name="표준 8 5 5 2 2 4" xfId="6625" xr:uid="{00000000-0005-0000-0000-000064190000}"/>
    <cellStyle name="표준 8 5 5 2 3" xfId="3993" xr:uid="{00000000-0005-0000-0000-000065190000}"/>
    <cellStyle name="표준 8 5 5 2 3 2" xfId="7143" xr:uid="{00000000-0005-0000-0000-000066190000}"/>
    <cellStyle name="표준 8 5 5 2 4" xfId="5040" xr:uid="{00000000-0005-0000-0000-000067190000}"/>
    <cellStyle name="표준 8 5 5 2 4 2" xfId="8190" xr:uid="{00000000-0005-0000-0000-000068190000}"/>
    <cellStyle name="표준 8 5 5 2 5" xfId="6096" xr:uid="{00000000-0005-0000-0000-000069190000}"/>
    <cellStyle name="표준 8 5 5 3" xfId="3150" xr:uid="{00000000-0005-0000-0000-00006A190000}"/>
    <cellStyle name="표준 8 5 5 3 2" xfId="4197" xr:uid="{00000000-0005-0000-0000-00006B190000}"/>
    <cellStyle name="표준 8 5 5 3 2 2" xfId="7347" xr:uid="{00000000-0005-0000-0000-00006C190000}"/>
    <cellStyle name="표준 8 5 5 3 3" xfId="5235" xr:uid="{00000000-0005-0000-0000-00006D190000}"/>
    <cellStyle name="표준 8 5 5 3 3 2" xfId="8384" xr:uid="{00000000-0005-0000-0000-00006E190000}"/>
    <cellStyle name="표준 8 5 5 3 4" xfId="6300" xr:uid="{00000000-0005-0000-0000-00006F190000}"/>
    <cellStyle name="표준 8 5 5 4" xfId="3668" xr:uid="{00000000-0005-0000-0000-000070190000}"/>
    <cellStyle name="표준 8 5 5 4 2" xfId="6818" xr:uid="{00000000-0005-0000-0000-000071190000}"/>
    <cellStyle name="표준 8 5 5 5" xfId="4715" xr:uid="{00000000-0005-0000-0000-000072190000}"/>
    <cellStyle name="표준 8 5 5 5 2" xfId="7865" xr:uid="{00000000-0005-0000-0000-000073190000}"/>
    <cellStyle name="표준 8 5 5 6" xfId="5771" xr:uid="{00000000-0005-0000-0000-000074190000}"/>
    <cellStyle name="표준 8 5 6" xfId="2741" xr:uid="{00000000-0005-0000-0000-000075190000}"/>
    <cellStyle name="표준 8 5 6 2" xfId="3279" xr:uid="{00000000-0005-0000-0000-000076190000}"/>
    <cellStyle name="표준 8 5 6 2 2" xfId="4326" xr:uid="{00000000-0005-0000-0000-000077190000}"/>
    <cellStyle name="표준 8 5 6 2 2 2" xfId="7476" xr:uid="{00000000-0005-0000-0000-000078190000}"/>
    <cellStyle name="표준 8 5 6 2 3" xfId="5364" xr:uid="{00000000-0005-0000-0000-000079190000}"/>
    <cellStyle name="표준 8 5 6 2 3 2" xfId="8513" xr:uid="{00000000-0005-0000-0000-00007A190000}"/>
    <cellStyle name="표준 8 5 6 2 4" xfId="6429" xr:uid="{00000000-0005-0000-0000-00007B190000}"/>
    <cellStyle name="표준 8 5 6 3" xfId="3797" xr:uid="{00000000-0005-0000-0000-00007C190000}"/>
    <cellStyle name="표준 8 5 6 3 2" xfId="6947" xr:uid="{00000000-0005-0000-0000-00007D190000}"/>
    <cellStyle name="표준 8 5 6 4" xfId="4844" xr:uid="{00000000-0005-0000-0000-00007E190000}"/>
    <cellStyle name="표준 8 5 6 4 2" xfId="7994" xr:uid="{00000000-0005-0000-0000-00007F190000}"/>
    <cellStyle name="표준 8 5 6 5" xfId="5900" xr:uid="{00000000-0005-0000-0000-000080190000}"/>
    <cellStyle name="표준 8 5 7" xfId="3021" xr:uid="{00000000-0005-0000-0000-000081190000}"/>
    <cellStyle name="표준 8 5 7 2" xfId="4068" xr:uid="{00000000-0005-0000-0000-000082190000}"/>
    <cellStyle name="표준 8 5 7 2 2" xfId="7218" xr:uid="{00000000-0005-0000-0000-000083190000}"/>
    <cellStyle name="표준 8 5 7 3" xfId="5106" xr:uid="{00000000-0005-0000-0000-000084190000}"/>
    <cellStyle name="표준 8 5 7 3 2" xfId="8255" xr:uid="{00000000-0005-0000-0000-000085190000}"/>
    <cellStyle name="표준 8 5 7 4" xfId="6171" xr:uid="{00000000-0005-0000-0000-000086190000}"/>
    <cellStyle name="표준 8 5 8" xfId="3539" xr:uid="{00000000-0005-0000-0000-000087190000}"/>
    <cellStyle name="표준 8 5 8 2" xfId="6689" xr:uid="{00000000-0005-0000-0000-000088190000}"/>
    <cellStyle name="표준 8 5 9" xfId="4586" xr:uid="{00000000-0005-0000-0000-000089190000}"/>
    <cellStyle name="표준 8 5 9 2" xfId="7736" xr:uid="{00000000-0005-0000-0000-00008A190000}"/>
    <cellStyle name="표준 8 6" xfId="1827" xr:uid="{00000000-0005-0000-0000-00008B190000}"/>
    <cellStyle name="표준 8 6 10" xfId="5647" xr:uid="{00000000-0005-0000-0000-00008C190000}"/>
    <cellStyle name="표준 8 6 2" xfId="1889" xr:uid="{00000000-0005-0000-0000-00008D190000}"/>
    <cellStyle name="표준 8 6 2 2" xfId="2679" xr:uid="{00000000-0005-0000-0000-00008E190000}"/>
    <cellStyle name="표준 8 6 2 2 2" xfId="2938" xr:uid="{00000000-0005-0000-0000-00008F190000}"/>
    <cellStyle name="표준 8 6 2 2 2 2" xfId="3476" xr:uid="{00000000-0005-0000-0000-000090190000}"/>
    <cellStyle name="표준 8 6 2 2 2 2 2" xfId="4523" xr:uid="{00000000-0005-0000-0000-000091190000}"/>
    <cellStyle name="표준 8 6 2 2 2 2 2 2" xfId="7673" xr:uid="{00000000-0005-0000-0000-000092190000}"/>
    <cellStyle name="표준 8 6 2 2 2 2 3" xfId="5561" xr:uid="{00000000-0005-0000-0000-000093190000}"/>
    <cellStyle name="표준 8 6 2 2 2 2 3 2" xfId="8710" xr:uid="{00000000-0005-0000-0000-000094190000}"/>
    <cellStyle name="표준 8 6 2 2 2 2 4" xfId="6626" xr:uid="{00000000-0005-0000-0000-000095190000}"/>
    <cellStyle name="표준 8 6 2 2 2 3" xfId="3994" xr:uid="{00000000-0005-0000-0000-000096190000}"/>
    <cellStyle name="표준 8 6 2 2 2 3 2" xfId="7144" xr:uid="{00000000-0005-0000-0000-000097190000}"/>
    <cellStyle name="표준 8 6 2 2 2 4" xfId="5041" xr:uid="{00000000-0005-0000-0000-000098190000}"/>
    <cellStyle name="표준 8 6 2 2 2 4 2" xfId="8191" xr:uid="{00000000-0005-0000-0000-000099190000}"/>
    <cellStyle name="표준 8 6 2 2 2 5" xfId="6097" xr:uid="{00000000-0005-0000-0000-00009A190000}"/>
    <cellStyle name="표준 8 6 2 2 3" xfId="3217" xr:uid="{00000000-0005-0000-0000-00009B190000}"/>
    <cellStyle name="표준 8 6 2 2 3 2" xfId="4264" xr:uid="{00000000-0005-0000-0000-00009C190000}"/>
    <cellStyle name="표준 8 6 2 2 3 2 2" xfId="7414" xr:uid="{00000000-0005-0000-0000-00009D190000}"/>
    <cellStyle name="표준 8 6 2 2 3 3" xfId="5302" xr:uid="{00000000-0005-0000-0000-00009E190000}"/>
    <cellStyle name="표준 8 6 2 2 3 3 2" xfId="8451" xr:uid="{00000000-0005-0000-0000-00009F190000}"/>
    <cellStyle name="표준 8 6 2 2 3 4" xfId="6367" xr:uid="{00000000-0005-0000-0000-0000A0190000}"/>
    <cellStyle name="표준 8 6 2 2 4" xfId="3735" xr:uid="{00000000-0005-0000-0000-0000A1190000}"/>
    <cellStyle name="표준 8 6 2 2 4 2" xfId="6885" xr:uid="{00000000-0005-0000-0000-0000A2190000}"/>
    <cellStyle name="표준 8 6 2 2 5" xfId="4782" xr:uid="{00000000-0005-0000-0000-0000A3190000}"/>
    <cellStyle name="표준 8 6 2 2 5 2" xfId="7932" xr:uid="{00000000-0005-0000-0000-0000A4190000}"/>
    <cellStyle name="표준 8 6 2 2 6" xfId="5838" xr:uid="{00000000-0005-0000-0000-0000A5190000}"/>
    <cellStyle name="표준 8 6 2 3" xfId="2808" xr:uid="{00000000-0005-0000-0000-0000A6190000}"/>
    <cellStyle name="표준 8 6 2 3 2" xfId="3346" xr:uid="{00000000-0005-0000-0000-0000A7190000}"/>
    <cellStyle name="표준 8 6 2 3 2 2" xfId="4393" xr:uid="{00000000-0005-0000-0000-0000A8190000}"/>
    <cellStyle name="표준 8 6 2 3 2 2 2" xfId="7543" xr:uid="{00000000-0005-0000-0000-0000A9190000}"/>
    <cellStyle name="표준 8 6 2 3 2 3" xfId="5431" xr:uid="{00000000-0005-0000-0000-0000AA190000}"/>
    <cellStyle name="표준 8 6 2 3 2 3 2" xfId="8580" xr:uid="{00000000-0005-0000-0000-0000AB190000}"/>
    <cellStyle name="표준 8 6 2 3 2 4" xfId="6496" xr:uid="{00000000-0005-0000-0000-0000AC190000}"/>
    <cellStyle name="표준 8 6 2 3 3" xfId="3864" xr:uid="{00000000-0005-0000-0000-0000AD190000}"/>
    <cellStyle name="표준 8 6 2 3 3 2" xfId="7014" xr:uid="{00000000-0005-0000-0000-0000AE190000}"/>
    <cellStyle name="표준 8 6 2 3 4" xfId="4911" xr:uid="{00000000-0005-0000-0000-0000AF190000}"/>
    <cellStyle name="표준 8 6 2 3 4 2" xfId="8061" xr:uid="{00000000-0005-0000-0000-0000B0190000}"/>
    <cellStyle name="표준 8 6 2 3 5" xfId="5967" xr:uid="{00000000-0005-0000-0000-0000B1190000}"/>
    <cellStyle name="표준 8 6 2 4" xfId="3088" xr:uid="{00000000-0005-0000-0000-0000B2190000}"/>
    <cellStyle name="표준 8 6 2 4 2" xfId="4135" xr:uid="{00000000-0005-0000-0000-0000B3190000}"/>
    <cellStyle name="표준 8 6 2 4 2 2" xfId="7285" xr:uid="{00000000-0005-0000-0000-0000B4190000}"/>
    <cellStyle name="표준 8 6 2 4 3" xfId="5173" xr:uid="{00000000-0005-0000-0000-0000B5190000}"/>
    <cellStyle name="표준 8 6 2 4 3 2" xfId="8322" xr:uid="{00000000-0005-0000-0000-0000B6190000}"/>
    <cellStyle name="표준 8 6 2 4 4" xfId="6238" xr:uid="{00000000-0005-0000-0000-0000B7190000}"/>
    <cellStyle name="표준 8 6 2 5" xfId="3606" xr:uid="{00000000-0005-0000-0000-0000B8190000}"/>
    <cellStyle name="표준 8 6 2 5 2" xfId="6756" xr:uid="{00000000-0005-0000-0000-0000B9190000}"/>
    <cellStyle name="표준 8 6 2 6" xfId="4653" xr:uid="{00000000-0005-0000-0000-0000BA190000}"/>
    <cellStyle name="표준 8 6 2 6 2" xfId="7803" xr:uid="{00000000-0005-0000-0000-0000BB190000}"/>
    <cellStyle name="표준 8 6 2 7" xfId="5709" xr:uid="{00000000-0005-0000-0000-0000BC190000}"/>
    <cellStyle name="표준 8 6 3" xfId="1922" xr:uid="{00000000-0005-0000-0000-0000BD190000}"/>
    <cellStyle name="표준 8 6 3 2" xfId="2712" xr:uid="{00000000-0005-0000-0000-0000BE190000}"/>
    <cellStyle name="표준 8 6 3 2 2" xfId="2939" xr:uid="{00000000-0005-0000-0000-0000BF190000}"/>
    <cellStyle name="표준 8 6 3 2 2 2" xfId="3477" xr:uid="{00000000-0005-0000-0000-0000C0190000}"/>
    <cellStyle name="표준 8 6 3 2 2 2 2" xfId="4524" xr:uid="{00000000-0005-0000-0000-0000C1190000}"/>
    <cellStyle name="표준 8 6 3 2 2 2 2 2" xfId="7674" xr:uid="{00000000-0005-0000-0000-0000C2190000}"/>
    <cellStyle name="표준 8 6 3 2 2 2 3" xfId="5562" xr:uid="{00000000-0005-0000-0000-0000C3190000}"/>
    <cellStyle name="표준 8 6 3 2 2 2 3 2" xfId="8711" xr:uid="{00000000-0005-0000-0000-0000C4190000}"/>
    <cellStyle name="표준 8 6 3 2 2 2 4" xfId="6627" xr:uid="{00000000-0005-0000-0000-0000C5190000}"/>
    <cellStyle name="표준 8 6 3 2 2 3" xfId="3995" xr:uid="{00000000-0005-0000-0000-0000C6190000}"/>
    <cellStyle name="표준 8 6 3 2 2 3 2" xfId="7145" xr:uid="{00000000-0005-0000-0000-0000C7190000}"/>
    <cellStyle name="표준 8 6 3 2 2 4" xfId="5042" xr:uid="{00000000-0005-0000-0000-0000C8190000}"/>
    <cellStyle name="표준 8 6 3 2 2 4 2" xfId="8192" xr:uid="{00000000-0005-0000-0000-0000C9190000}"/>
    <cellStyle name="표준 8 6 3 2 2 5" xfId="6098" xr:uid="{00000000-0005-0000-0000-0000CA190000}"/>
    <cellStyle name="표준 8 6 3 2 3" xfId="3250" xr:uid="{00000000-0005-0000-0000-0000CB190000}"/>
    <cellStyle name="표준 8 6 3 2 3 2" xfId="4297" xr:uid="{00000000-0005-0000-0000-0000CC190000}"/>
    <cellStyle name="표준 8 6 3 2 3 2 2" xfId="7447" xr:uid="{00000000-0005-0000-0000-0000CD190000}"/>
    <cellStyle name="표준 8 6 3 2 3 3" xfId="5335" xr:uid="{00000000-0005-0000-0000-0000CE190000}"/>
    <cellStyle name="표준 8 6 3 2 3 3 2" xfId="8484" xr:uid="{00000000-0005-0000-0000-0000CF190000}"/>
    <cellStyle name="표준 8 6 3 2 3 4" xfId="6400" xr:uid="{00000000-0005-0000-0000-0000D0190000}"/>
    <cellStyle name="표준 8 6 3 2 4" xfId="3768" xr:uid="{00000000-0005-0000-0000-0000D1190000}"/>
    <cellStyle name="표준 8 6 3 2 4 2" xfId="6918" xr:uid="{00000000-0005-0000-0000-0000D2190000}"/>
    <cellStyle name="표준 8 6 3 2 5" xfId="4815" xr:uid="{00000000-0005-0000-0000-0000D3190000}"/>
    <cellStyle name="표준 8 6 3 2 5 2" xfId="7965" xr:uid="{00000000-0005-0000-0000-0000D4190000}"/>
    <cellStyle name="표준 8 6 3 2 6" xfId="5871" xr:uid="{00000000-0005-0000-0000-0000D5190000}"/>
    <cellStyle name="표준 8 6 3 3" xfId="2841" xr:uid="{00000000-0005-0000-0000-0000D6190000}"/>
    <cellStyle name="표준 8 6 3 3 2" xfId="3379" xr:uid="{00000000-0005-0000-0000-0000D7190000}"/>
    <cellStyle name="표준 8 6 3 3 2 2" xfId="4426" xr:uid="{00000000-0005-0000-0000-0000D8190000}"/>
    <cellStyle name="표준 8 6 3 3 2 2 2" xfId="7576" xr:uid="{00000000-0005-0000-0000-0000D9190000}"/>
    <cellStyle name="표준 8 6 3 3 2 3" xfId="5464" xr:uid="{00000000-0005-0000-0000-0000DA190000}"/>
    <cellStyle name="표준 8 6 3 3 2 3 2" xfId="8613" xr:uid="{00000000-0005-0000-0000-0000DB190000}"/>
    <cellStyle name="표준 8 6 3 3 2 4" xfId="6529" xr:uid="{00000000-0005-0000-0000-0000DC190000}"/>
    <cellStyle name="표준 8 6 3 3 3" xfId="3897" xr:uid="{00000000-0005-0000-0000-0000DD190000}"/>
    <cellStyle name="표준 8 6 3 3 3 2" xfId="7047" xr:uid="{00000000-0005-0000-0000-0000DE190000}"/>
    <cellStyle name="표준 8 6 3 3 4" xfId="4944" xr:uid="{00000000-0005-0000-0000-0000DF190000}"/>
    <cellStyle name="표준 8 6 3 3 4 2" xfId="8094" xr:uid="{00000000-0005-0000-0000-0000E0190000}"/>
    <cellStyle name="표준 8 6 3 3 5" xfId="6000" xr:uid="{00000000-0005-0000-0000-0000E1190000}"/>
    <cellStyle name="표준 8 6 3 4" xfId="3121" xr:uid="{00000000-0005-0000-0000-0000E2190000}"/>
    <cellStyle name="표준 8 6 3 4 2" xfId="4168" xr:uid="{00000000-0005-0000-0000-0000E3190000}"/>
    <cellStyle name="표준 8 6 3 4 2 2" xfId="7318" xr:uid="{00000000-0005-0000-0000-0000E4190000}"/>
    <cellStyle name="표준 8 6 3 4 3" xfId="5206" xr:uid="{00000000-0005-0000-0000-0000E5190000}"/>
    <cellStyle name="표준 8 6 3 4 3 2" xfId="8355" xr:uid="{00000000-0005-0000-0000-0000E6190000}"/>
    <cellStyle name="표준 8 6 3 4 4" xfId="6271" xr:uid="{00000000-0005-0000-0000-0000E7190000}"/>
    <cellStyle name="표준 8 6 3 5" xfId="3639" xr:uid="{00000000-0005-0000-0000-0000E8190000}"/>
    <cellStyle name="표준 8 6 3 5 2" xfId="6789" xr:uid="{00000000-0005-0000-0000-0000E9190000}"/>
    <cellStyle name="표준 8 6 3 6" xfId="4686" xr:uid="{00000000-0005-0000-0000-0000EA190000}"/>
    <cellStyle name="표준 8 6 3 6 2" xfId="7836" xr:uid="{00000000-0005-0000-0000-0000EB190000}"/>
    <cellStyle name="표준 8 6 3 7" xfId="5742" xr:uid="{00000000-0005-0000-0000-0000EC190000}"/>
    <cellStyle name="표준 8 6 4" xfId="1856" xr:uid="{00000000-0005-0000-0000-0000ED190000}"/>
    <cellStyle name="표준 8 6 4 2" xfId="2646" xr:uid="{00000000-0005-0000-0000-0000EE190000}"/>
    <cellStyle name="표준 8 6 4 2 2" xfId="2940" xr:uid="{00000000-0005-0000-0000-0000EF190000}"/>
    <cellStyle name="표준 8 6 4 2 2 2" xfId="3478" xr:uid="{00000000-0005-0000-0000-0000F0190000}"/>
    <cellStyle name="표준 8 6 4 2 2 2 2" xfId="4525" xr:uid="{00000000-0005-0000-0000-0000F1190000}"/>
    <cellStyle name="표준 8 6 4 2 2 2 2 2" xfId="7675" xr:uid="{00000000-0005-0000-0000-0000F2190000}"/>
    <cellStyle name="표준 8 6 4 2 2 2 3" xfId="5563" xr:uid="{00000000-0005-0000-0000-0000F3190000}"/>
    <cellStyle name="표준 8 6 4 2 2 2 3 2" xfId="8712" xr:uid="{00000000-0005-0000-0000-0000F4190000}"/>
    <cellStyle name="표준 8 6 4 2 2 2 4" xfId="6628" xr:uid="{00000000-0005-0000-0000-0000F5190000}"/>
    <cellStyle name="표준 8 6 4 2 2 3" xfId="3996" xr:uid="{00000000-0005-0000-0000-0000F6190000}"/>
    <cellStyle name="표준 8 6 4 2 2 3 2" xfId="7146" xr:uid="{00000000-0005-0000-0000-0000F7190000}"/>
    <cellStyle name="표준 8 6 4 2 2 4" xfId="5043" xr:uid="{00000000-0005-0000-0000-0000F8190000}"/>
    <cellStyle name="표준 8 6 4 2 2 4 2" xfId="8193" xr:uid="{00000000-0005-0000-0000-0000F9190000}"/>
    <cellStyle name="표준 8 6 4 2 2 5" xfId="6099" xr:uid="{00000000-0005-0000-0000-0000FA190000}"/>
    <cellStyle name="표준 8 6 4 2 3" xfId="3184" xr:uid="{00000000-0005-0000-0000-0000FB190000}"/>
    <cellStyle name="표준 8 6 4 2 3 2" xfId="4231" xr:uid="{00000000-0005-0000-0000-0000FC190000}"/>
    <cellStyle name="표준 8 6 4 2 3 2 2" xfId="7381" xr:uid="{00000000-0005-0000-0000-0000FD190000}"/>
    <cellStyle name="표준 8 6 4 2 3 3" xfId="5269" xr:uid="{00000000-0005-0000-0000-0000FE190000}"/>
    <cellStyle name="표준 8 6 4 2 3 3 2" xfId="8418" xr:uid="{00000000-0005-0000-0000-0000FF190000}"/>
    <cellStyle name="표준 8 6 4 2 3 4" xfId="6334" xr:uid="{00000000-0005-0000-0000-0000001A0000}"/>
    <cellStyle name="표준 8 6 4 2 4" xfId="3702" xr:uid="{00000000-0005-0000-0000-0000011A0000}"/>
    <cellStyle name="표준 8 6 4 2 4 2" xfId="6852" xr:uid="{00000000-0005-0000-0000-0000021A0000}"/>
    <cellStyle name="표준 8 6 4 2 5" xfId="4749" xr:uid="{00000000-0005-0000-0000-0000031A0000}"/>
    <cellStyle name="표준 8 6 4 2 5 2" xfId="7899" xr:uid="{00000000-0005-0000-0000-0000041A0000}"/>
    <cellStyle name="표준 8 6 4 2 6" xfId="5805" xr:uid="{00000000-0005-0000-0000-0000051A0000}"/>
    <cellStyle name="표준 8 6 4 3" xfId="2775" xr:uid="{00000000-0005-0000-0000-0000061A0000}"/>
    <cellStyle name="표준 8 6 4 3 2" xfId="3313" xr:uid="{00000000-0005-0000-0000-0000071A0000}"/>
    <cellStyle name="표준 8 6 4 3 2 2" xfId="4360" xr:uid="{00000000-0005-0000-0000-0000081A0000}"/>
    <cellStyle name="표준 8 6 4 3 2 2 2" xfId="7510" xr:uid="{00000000-0005-0000-0000-0000091A0000}"/>
    <cellStyle name="표준 8 6 4 3 2 3" xfId="5398" xr:uid="{00000000-0005-0000-0000-00000A1A0000}"/>
    <cellStyle name="표준 8 6 4 3 2 3 2" xfId="8547" xr:uid="{00000000-0005-0000-0000-00000B1A0000}"/>
    <cellStyle name="표준 8 6 4 3 2 4" xfId="6463" xr:uid="{00000000-0005-0000-0000-00000C1A0000}"/>
    <cellStyle name="표준 8 6 4 3 3" xfId="3831" xr:uid="{00000000-0005-0000-0000-00000D1A0000}"/>
    <cellStyle name="표준 8 6 4 3 3 2" xfId="6981" xr:uid="{00000000-0005-0000-0000-00000E1A0000}"/>
    <cellStyle name="표준 8 6 4 3 4" xfId="4878" xr:uid="{00000000-0005-0000-0000-00000F1A0000}"/>
    <cellStyle name="표준 8 6 4 3 4 2" xfId="8028" xr:uid="{00000000-0005-0000-0000-0000101A0000}"/>
    <cellStyle name="표준 8 6 4 3 5" xfId="5934" xr:uid="{00000000-0005-0000-0000-0000111A0000}"/>
    <cellStyle name="표준 8 6 4 4" xfId="3055" xr:uid="{00000000-0005-0000-0000-0000121A0000}"/>
    <cellStyle name="표준 8 6 4 4 2" xfId="4102" xr:uid="{00000000-0005-0000-0000-0000131A0000}"/>
    <cellStyle name="표준 8 6 4 4 2 2" xfId="7252" xr:uid="{00000000-0005-0000-0000-0000141A0000}"/>
    <cellStyle name="표준 8 6 4 4 3" xfId="5140" xr:uid="{00000000-0005-0000-0000-0000151A0000}"/>
    <cellStyle name="표준 8 6 4 4 3 2" xfId="8289" xr:uid="{00000000-0005-0000-0000-0000161A0000}"/>
    <cellStyle name="표준 8 6 4 4 4" xfId="6205" xr:uid="{00000000-0005-0000-0000-0000171A0000}"/>
    <cellStyle name="표준 8 6 4 5" xfId="3573" xr:uid="{00000000-0005-0000-0000-0000181A0000}"/>
    <cellStyle name="표준 8 6 4 5 2" xfId="6723" xr:uid="{00000000-0005-0000-0000-0000191A0000}"/>
    <cellStyle name="표준 8 6 4 6" xfId="4620" xr:uid="{00000000-0005-0000-0000-00001A1A0000}"/>
    <cellStyle name="표준 8 6 4 6 2" xfId="7770" xr:uid="{00000000-0005-0000-0000-00001B1A0000}"/>
    <cellStyle name="표준 8 6 4 7" xfId="5676" xr:uid="{00000000-0005-0000-0000-00001C1A0000}"/>
    <cellStyle name="표준 8 6 5" xfId="2617" xr:uid="{00000000-0005-0000-0000-00001D1A0000}"/>
    <cellStyle name="표준 8 6 5 2" xfId="2941" xr:uid="{00000000-0005-0000-0000-00001E1A0000}"/>
    <cellStyle name="표준 8 6 5 2 2" xfId="3479" xr:uid="{00000000-0005-0000-0000-00001F1A0000}"/>
    <cellStyle name="표준 8 6 5 2 2 2" xfId="4526" xr:uid="{00000000-0005-0000-0000-0000201A0000}"/>
    <cellStyle name="표준 8 6 5 2 2 2 2" xfId="7676" xr:uid="{00000000-0005-0000-0000-0000211A0000}"/>
    <cellStyle name="표준 8 6 5 2 2 3" xfId="5564" xr:uid="{00000000-0005-0000-0000-0000221A0000}"/>
    <cellStyle name="표준 8 6 5 2 2 3 2" xfId="8713" xr:uid="{00000000-0005-0000-0000-0000231A0000}"/>
    <cellStyle name="표준 8 6 5 2 2 4" xfId="6629" xr:uid="{00000000-0005-0000-0000-0000241A0000}"/>
    <cellStyle name="표준 8 6 5 2 3" xfId="3997" xr:uid="{00000000-0005-0000-0000-0000251A0000}"/>
    <cellStyle name="표준 8 6 5 2 3 2" xfId="7147" xr:uid="{00000000-0005-0000-0000-0000261A0000}"/>
    <cellStyle name="표준 8 6 5 2 4" xfId="5044" xr:uid="{00000000-0005-0000-0000-0000271A0000}"/>
    <cellStyle name="표준 8 6 5 2 4 2" xfId="8194" xr:uid="{00000000-0005-0000-0000-0000281A0000}"/>
    <cellStyle name="표준 8 6 5 2 5" xfId="6100" xr:uid="{00000000-0005-0000-0000-0000291A0000}"/>
    <cellStyle name="표준 8 6 5 3" xfId="3155" xr:uid="{00000000-0005-0000-0000-00002A1A0000}"/>
    <cellStyle name="표준 8 6 5 3 2" xfId="4202" xr:uid="{00000000-0005-0000-0000-00002B1A0000}"/>
    <cellStyle name="표준 8 6 5 3 2 2" xfId="7352" xr:uid="{00000000-0005-0000-0000-00002C1A0000}"/>
    <cellStyle name="표준 8 6 5 3 3" xfId="5240" xr:uid="{00000000-0005-0000-0000-00002D1A0000}"/>
    <cellStyle name="표준 8 6 5 3 3 2" xfId="8389" xr:uid="{00000000-0005-0000-0000-00002E1A0000}"/>
    <cellStyle name="표준 8 6 5 3 4" xfId="6305" xr:uid="{00000000-0005-0000-0000-00002F1A0000}"/>
    <cellStyle name="표준 8 6 5 4" xfId="3673" xr:uid="{00000000-0005-0000-0000-0000301A0000}"/>
    <cellStyle name="표준 8 6 5 4 2" xfId="6823" xr:uid="{00000000-0005-0000-0000-0000311A0000}"/>
    <cellStyle name="표준 8 6 5 5" xfId="4720" xr:uid="{00000000-0005-0000-0000-0000321A0000}"/>
    <cellStyle name="표준 8 6 5 5 2" xfId="7870" xr:uid="{00000000-0005-0000-0000-0000331A0000}"/>
    <cellStyle name="표준 8 6 5 6" xfId="5776" xr:uid="{00000000-0005-0000-0000-0000341A0000}"/>
    <cellStyle name="표준 8 6 6" xfId="2746" xr:uid="{00000000-0005-0000-0000-0000351A0000}"/>
    <cellStyle name="표준 8 6 6 2" xfId="3284" xr:uid="{00000000-0005-0000-0000-0000361A0000}"/>
    <cellStyle name="표준 8 6 6 2 2" xfId="4331" xr:uid="{00000000-0005-0000-0000-0000371A0000}"/>
    <cellStyle name="표준 8 6 6 2 2 2" xfId="7481" xr:uid="{00000000-0005-0000-0000-0000381A0000}"/>
    <cellStyle name="표준 8 6 6 2 3" xfId="5369" xr:uid="{00000000-0005-0000-0000-0000391A0000}"/>
    <cellStyle name="표준 8 6 6 2 3 2" xfId="8518" xr:uid="{00000000-0005-0000-0000-00003A1A0000}"/>
    <cellStyle name="표준 8 6 6 2 4" xfId="6434" xr:uid="{00000000-0005-0000-0000-00003B1A0000}"/>
    <cellStyle name="표준 8 6 6 3" xfId="3802" xr:uid="{00000000-0005-0000-0000-00003C1A0000}"/>
    <cellStyle name="표준 8 6 6 3 2" xfId="6952" xr:uid="{00000000-0005-0000-0000-00003D1A0000}"/>
    <cellStyle name="표준 8 6 6 4" xfId="4849" xr:uid="{00000000-0005-0000-0000-00003E1A0000}"/>
    <cellStyle name="표준 8 6 6 4 2" xfId="7999" xr:uid="{00000000-0005-0000-0000-00003F1A0000}"/>
    <cellStyle name="표준 8 6 6 5" xfId="5905" xr:uid="{00000000-0005-0000-0000-0000401A0000}"/>
    <cellStyle name="표준 8 6 7" xfId="3026" xr:uid="{00000000-0005-0000-0000-0000411A0000}"/>
    <cellStyle name="표준 8 6 7 2" xfId="4073" xr:uid="{00000000-0005-0000-0000-0000421A0000}"/>
    <cellStyle name="표준 8 6 7 2 2" xfId="7223" xr:uid="{00000000-0005-0000-0000-0000431A0000}"/>
    <cellStyle name="표준 8 6 7 3" xfId="5111" xr:uid="{00000000-0005-0000-0000-0000441A0000}"/>
    <cellStyle name="표준 8 6 7 3 2" xfId="8260" xr:uid="{00000000-0005-0000-0000-0000451A0000}"/>
    <cellStyle name="표준 8 6 7 4" xfId="6176" xr:uid="{00000000-0005-0000-0000-0000461A0000}"/>
    <cellStyle name="표준 8 6 8" xfId="3544" xr:uid="{00000000-0005-0000-0000-0000471A0000}"/>
    <cellStyle name="표준 8 6 8 2" xfId="6694" xr:uid="{00000000-0005-0000-0000-0000481A0000}"/>
    <cellStyle name="표준 8 6 9" xfId="4591" xr:uid="{00000000-0005-0000-0000-0000491A0000}"/>
    <cellStyle name="표준 8 6 9 2" xfId="7741" xr:uid="{00000000-0005-0000-0000-00004A1A0000}"/>
    <cellStyle name="표준 8 7" xfId="1831" xr:uid="{00000000-0005-0000-0000-00004B1A0000}"/>
    <cellStyle name="표준 8 7 10" xfId="5651" xr:uid="{00000000-0005-0000-0000-00004C1A0000}"/>
    <cellStyle name="표준 8 7 2" xfId="1893" xr:uid="{00000000-0005-0000-0000-00004D1A0000}"/>
    <cellStyle name="표준 8 7 2 2" xfId="2683" xr:uid="{00000000-0005-0000-0000-00004E1A0000}"/>
    <cellStyle name="표준 8 7 2 2 2" xfId="2942" xr:uid="{00000000-0005-0000-0000-00004F1A0000}"/>
    <cellStyle name="표준 8 7 2 2 2 2" xfId="3480" xr:uid="{00000000-0005-0000-0000-0000501A0000}"/>
    <cellStyle name="표준 8 7 2 2 2 2 2" xfId="4527" xr:uid="{00000000-0005-0000-0000-0000511A0000}"/>
    <cellStyle name="표준 8 7 2 2 2 2 2 2" xfId="7677" xr:uid="{00000000-0005-0000-0000-0000521A0000}"/>
    <cellStyle name="표준 8 7 2 2 2 2 3" xfId="5565" xr:uid="{00000000-0005-0000-0000-0000531A0000}"/>
    <cellStyle name="표준 8 7 2 2 2 2 3 2" xfId="8714" xr:uid="{00000000-0005-0000-0000-0000541A0000}"/>
    <cellStyle name="표준 8 7 2 2 2 2 4" xfId="6630" xr:uid="{00000000-0005-0000-0000-0000551A0000}"/>
    <cellStyle name="표준 8 7 2 2 2 3" xfId="3998" xr:uid="{00000000-0005-0000-0000-0000561A0000}"/>
    <cellStyle name="표준 8 7 2 2 2 3 2" xfId="7148" xr:uid="{00000000-0005-0000-0000-0000571A0000}"/>
    <cellStyle name="표준 8 7 2 2 2 4" xfId="5045" xr:uid="{00000000-0005-0000-0000-0000581A0000}"/>
    <cellStyle name="표준 8 7 2 2 2 4 2" xfId="8195" xr:uid="{00000000-0005-0000-0000-0000591A0000}"/>
    <cellStyle name="표준 8 7 2 2 2 5" xfId="6101" xr:uid="{00000000-0005-0000-0000-00005A1A0000}"/>
    <cellStyle name="표준 8 7 2 2 3" xfId="3221" xr:uid="{00000000-0005-0000-0000-00005B1A0000}"/>
    <cellStyle name="표준 8 7 2 2 3 2" xfId="4268" xr:uid="{00000000-0005-0000-0000-00005C1A0000}"/>
    <cellStyle name="표준 8 7 2 2 3 2 2" xfId="7418" xr:uid="{00000000-0005-0000-0000-00005D1A0000}"/>
    <cellStyle name="표준 8 7 2 2 3 3" xfId="5306" xr:uid="{00000000-0005-0000-0000-00005E1A0000}"/>
    <cellStyle name="표준 8 7 2 2 3 3 2" xfId="8455" xr:uid="{00000000-0005-0000-0000-00005F1A0000}"/>
    <cellStyle name="표준 8 7 2 2 3 4" xfId="6371" xr:uid="{00000000-0005-0000-0000-0000601A0000}"/>
    <cellStyle name="표준 8 7 2 2 4" xfId="3739" xr:uid="{00000000-0005-0000-0000-0000611A0000}"/>
    <cellStyle name="표준 8 7 2 2 4 2" xfId="6889" xr:uid="{00000000-0005-0000-0000-0000621A0000}"/>
    <cellStyle name="표준 8 7 2 2 5" xfId="4786" xr:uid="{00000000-0005-0000-0000-0000631A0000}"/>
    <cellStyle name="표준 8 7 2 2 5 2" xfId="7936" xr:uid="{00000000-0005-0000-0000-0000641A0000}"/>
    <cellStyle name="표준 8 7 2 2 6" xfId="5842" xr:uid="{00000000-0005-0000-0000-0000651A0000}"/>
    <cellStyle name="표준 8 7 2 3" xfId="2812" xr:uid="{00000000-0005-0000-0000-0000661A0000}"/>
    <cellStyle name="표준 8 7 2 3 2" xfId="3350" xr:uid="{00000000-0005-0000-0000-0000671A0000}"/>
    <cellStyle name="표준 8 7 2 3 2 2" xfId="4397" xr:uid="{00000000-0005-0000-0000-0000681A0000}"/>
    <cellStyle name="표준 8 7 2 3 2 2 2" xfId="7547" xr:uid="{00000000-0005-0000-0000-0000691A0000}"/>
    <cellStyle name="표준 8 7 2 3 2 3" xfId="5435" xr:uid="{00000000-0005-0000-0000-00006A1A0000}"/>
    <cellStyle name="표준 8 7 2 3 2 3 2" xfId="8584" xr:uid="{00000000-0005-0000-0000-00006B1A0000}"/>
    <cellStyle name="표준 8 7 2 3 2 4" xfId="6500" xr:uid="{00000000-0005-0000-0000-00006C1A0000}"/>
    <cellStyle name="표준 8 7 2 3 3" xfId="3868" xr:uid="{00000000-0005-0000-0000-00006D1A0000}"/>
    <cellStyle name="표준 8 7 2 3 3 2" xfId="7018" xr:uid="{00000000-0005-0000-0000-00006E1A0000}"/>
    <cellStyle name="표준 8 7 2 3 4" xfId="4915" xr:uid="{00000000-0005-0000-0000-00006F1A0000}"/>
    <cellStyle name="표준 8 7 2 3 4 2" xfId="8065" xr:uid="{00000000-0005-0000-0000-0000701A0000}"/>
    <cellStyle name="표준 8 7 2 3 5" xfId="5971" xr:uid="{00000000-0005-0000-0000-0000711A0000}"/>
    <cellStyle name="표준 8 7 2 4" xfId="3092" xr:uid="{00000000-0005-0000-0000-0000721A0000}"/>
    <cellStyle name="표준 8 7 2 4 2" xfId="4139" xr:uid="{00000000-0005-0000-0000-0000731A0000}"/>
    <cellStyle name="표준 8 7 2 4 2 2" xfId="7289" xr:uid="{00000000-0005-0000-0000-0000741A0000}"/>
    <cellStyle name="표준 8 7 2 4 3" xfId="5177" xr:uid="{00000000-0005-0000-0000-0000751A0000}"/>
    <cellStyle name="표준 8 7 2 4 3 2" xfId="8326" xr:uid="{00000000-0005-0000-0000-0000761A0000}"/>
    <cellStyle name="표준 8 7 2 4 4" xfId="6242" xr:uid="{00000000-0005-0000-0000-0000771A0000}"/>
    <cellStyle name="표준 8 7 2 5" xfId="3610" xr:uid="{00000000-0005-0000-0000-0000781A0000}"/>
    <cellStyle name="표준 8 7 2 5 2" xfId="6760" xr:uid="{00000000-0005-0000-0000-0000791A0000}"/>
    <cellStyle name="표준 8 7 2 6" xfId="4657" xr:uid="{00000000-0005-0000-0000-00007A1A0000}"/>
    <cellStyle name="표준 8 7 2 6 2" xfId="7807" xr:uid="{00000000-0005-0000-0000-00007B1A0000}"/>
    <cellStyle name="표준 8 7 2 7" xfId="5713" xr:uid="{00000000-0005-0000-0000-00007C1A0000}"/>
    <cellStyle name="표준 8 7 3" xfId="1926" xr:uid="{00000000-0005-0000-0000-00007D1A0000}"/>
    <cellStyle name="표준 8 7 3 2" xfId="2716" xr:uid="{00000000-0005-0000-0000-00007E1A0000}"/>
    <cellStyle name="표준 8 7 3 2 2" xfId="2943" xr:uid="{00000000-0005-0000-0000-00007F1A0000}"/>
    <cellStyle name="표준 8 7 3 2 2 2" xfId="3481" xr:uid="{00000000-0005-0000-0000-0000801A0000}"/>
    <cellStyle name="표준 8 7 3 2 2 2 2" xfId="4528" xr:uid="{00000000-0005-0000-0000-0000811A0000}"/>
    <cellStyle name="표준 8 7 3 2 2 2 2 2" xfId="7678" xr:uid="{00000000-0005-0000-0000-0000821A0000}"/>
    <cellStyle name="표준 8 7 3 2 2 2 3" xfId="5566" xr:uid="{00000000-0005-0000-0000-0000831A0000}"/>
    <cellStyle name="표준 8 7 3 2 2 2 3 2" xfId="8715" xr:uid="{00000000-0005-0000-0000-0000841A0000}"/>
    <cellStyle name="표준 8 7 3 2 2 2 4" xfId="6631" xr:uid="{00000000-0005-0000-0000-0000851A0000}"/>
    <cellStyle name="표준 8 7 3 2 2 3" xfId="3999" xr:uid="{00000000-0005-0000-0000-0000861A0000}"/>
    <cellStyle name="표준 8 7 3 2 2 3 2" xfId="7149" xr:uid="{00000000-0005-0000-0000-0000871A0000}"/>
    <cellStyle name="표준 8 7 3 2 2 4" xfId="5046" xr:uid="{00000000-0005-0000-0000-0000881A0000}"/>
    <cellStyle name="표준 8 7 3 2 2 4 2" xfId="8196" xr:uid="{00000000-0005-0000-0000-0000891A0000}"/>
    <cellStyle name="표준 8 7 3 2 2 5" xfId="6102" xr:uid="{00000000-0005-0000-0000-00008A1A0000}"/>
    <cellStyle name="표준 8 7 3 2 3" xfId="3254" xr:uid="{00000000-0005-0000-0000-00008B1A0000}"/>
    <cellStyle name="표준 8 7 3 2 3 2" xfId="4301" xr:uid="{00000000-0005-0000-0000-00008C1A0000}"/>
    <cellStyle name="표준 8 7 3 2 3 2 2" xfId="7451" xr:uid="{00000000-0005-0000-0000-00008D1A0000}"/>
    <cellStyle name="표준 8 7 3 2 3 3" xfId="5339" xr:uid="{00000000-0005-0000-0000-00008E1A0000}"/>
    <cellStyle name="표준 8 7 3 2 3 3 2" xfId="8488" xr:uid="{00000000-0005-0000-0000-00008F1A0000}"/>
    <cellStyle name="표준 8 7 3 2 3 4" xfId="6404" xr:uid="{00000000-0005-0000-0000-0000901A0000}"/>
    <cellStyle name="표준 8 7 3 2 4" xfId="3772" xr:uid="{00000000-0005-0000-0000-0000911A0000}"/>
    <cellStyle name="표준 8 7 3 2 4 2" xfId="6922" xr:uid="{00000000-0005-0000-0000-0000921A0000}"/>
    <cellStyle name="표준 8 7 3 2 5" xfId="4819" xr:uid="{00000000-0005-0000-0000-0000931A0000}"/>
    <cellStyle name="표준 8 7 3 2 5 2" xfId="7969" xr:uid="{00000000-0005-0000-0000-0000941A0000}"/>
    <cellStyle name="표준 8 7 3 2 6" xfId="5875" xr:uid="{00000000-0005-0000-0000-0000951A0000}"/>
    <cellStyle name="표준 8 7 3 3" xfId="2845" xr:uid="{00000000-0005-0000-0000-0000961A0000}"/>
    <cellStyle name="표준 8 7 3 3 2" xfId="3383" xr:uid="{00000000-0005-0000-0000-0000971A0000}"/>
    <cellStyle name="표준 8 7 3 3 2 2" xfId="4430" xr:uid="{00000000-0005-0000-0000-0000981A0000}"/>
    <cellStyle name="표준 8 7 3 3 2 2 2" xfId="7580" xr:uid="{00000000-0005-0000-0000-0000991A0000}"/>
    <cellStyle name="표준 8 7 3 3 2 3" xfId="5468" xr:uid="{00000000-0005-0000-0000-00009A1A0000}"/>
    <cellStyle name="표준 8 7 3 3 2 3 2" xfId="8617" xr:uid="{00000000-0005-0000-0000-00009B1A0000}"/>
    <cellStyle name="표준 8 7 3 3 2 4" xfId="6533" xr:uid="{00000000-0005-0000-0000-00009C1A0000}"/>
    <cellStyle name="표준 8 7 3 3 3" xfId="3901" xr:uid="{00000000-0005-0000-0000-00009D1A0000}"/>
    <cellStyle name="표준 8 7 3 3 3 2" xfId="7051" xr:uid="{00000000-0005-0000-0000-00009E1A0000}"/>
    <cellStyle name="표준 8 7 3 3 4" xfId="4948" xr:uid="{00000000-0005-0000-0000-00009F1A0000}"/>
    <cellStyle name="표준 8 7 3 3 4 2" xfId="8098" xr:uid="{00000000-0005-0000-0000-0000A01A0000}"/>
    <cellStyle name="표준 8 7 3 3 5" xfId="6004" xr:uid="{00000000-0005-0000-0000-0000A11A0000}"/>
    <cellStyle name="표준 8 7 3 4" xfId="3125" xr:uid="{00000000-0005-0000-0000-0000A21A0000}"/>
    <cellStyle name="표준 8 7 3 4 2" xfId="4172" xr:uid="{00000000-0005-0000-0000-0000A31A0000}"/>
    <cellStyle name="표준 8 7 3 4 2 2" xfId="7322" xr:uid="{00000000-0005-0000-0000-0000A41A0000}"/>
    <cellStyle name="표준 8 7 3 4 3" xfId="5210" xr:uid="{00000000-0005-0000-0000-0000A51A0000}"/>
    <cellStyle name="표준 8 7 3 4 3 2" xfId="8359" xr:uid="{00000000-0005-0000-0000-0000A61A0000}"/>
    <cellStyle name="표준 8 7 3 4 4" xfId="6275" xr:uid="{00000000-0005-0000-0000-0000A71A0000}"/>
    <cellStyle name="표준 8 7 3 5" xfId="3643" xr:uid="{00000000-0005-0000-0000-0000A81A0000}"/>
    <cellStyle name="표준 8 7 3 5 2" xfId="6793" xr:uid="{00000000-0005-0000-0000-0000A91A0000}"/>
    <cellStyle name="표준 8 7 3 6" xfId="4690" xr:uid="{00000000-0005-0000-0000-0000AA1A0000}"/>
    <cellStyle name="표준 8 7 3 6 2" xfId="7840" xr:uid="{00000000-0005-0000-0000-0000AB1A0000}"/>
    <cellStyle name="표준 8 7 3 7" xfId="5746" xr:uid="{00000000-0005-0000-0000-0000AC1A0000}"/>
    <cellStyle name="표준 8 7 4" xfId="1860" xr:uid="{00000000-0005-0000-0000-0000AD1A0000}"/>
    <cellStyle name="표준 8 7 4 2" xfId="2650" xr:uid="{00000000-0005-0000-0000-0000AE1A0000}"/>
    <cellStyle name="표준 8 7 4 2 2" xfId="2944" xr:uid="{00000000-0005-0000-0000-0000AF1A0000}"/>
    <cellStyle name="표준 8 7 4 2 2 2" xfId="3482" xr:uid="{00000000-0005-0000-0000-0000B01A0000}"/>
    <cellStyle name="표준 8 7 4 2 2 2 2" xfId="4529" xr:uid="{00000000-0005-0000-0000-0000B11A0000}"/>
    <cellStyle name="표준 8 7 4 2 2 2 2 2" xfId="7679" xr:uid="{00000000-0005-0000-0000-0000B21A0000}"/>
    <cellStyle name="표준 8 7 4 2 2 2 3" xfId="5567" xr:uid="{00000000-0005-0000-0000-0000B31A0000}"/>
    <cellStyle name="표준 8 7 4 2 2 2 3 2" xfId="8716" xr:uid="{00000000-0005-0000-0000-0000B41A0000}"/>
    <cellStyle name="표준 8 7 4 2 2 2 4" xfId="6632" xr:uid="{00000000-0005-0000-0000-0000B51A0000}"/>
    <cellStyle name="표준 8 7 4 2 2 3" xfId="4000" xr:uid="{00000000-0005-0000-0000-0000B61A0000}"/>
    <cellStyle name="표준 8 7 4 2 2 3 2" xfId="7150" xr:uid="{00000000-0005-0000-0000-0000B71A0000}"/>
    <cellStyle name="표준 8 7 4 2 2 4" xfId="5047" xr:uid="{00000000-0005-0000-0000-0000B81A0000}"/>
    <cellStyle name="표준 8 7 4 2 2 4 2" xfId="8197" xr:uid="{00000000-0005-0000-0000-0000B91A0000}"/>
    <cellStyle name="표준 8 7 4 2 2 5" xfId="6103" xr:uid="{00000000-0005-0000-0000-0000BA1A0000}"/>
    <cellStyle name="표준 8 7 4 2 3" xfId="3188" xr:uid="{00000000-0005-0000-0000-0000BB1A0000}"/>
    <cellStyle name="표준 8 7 4 2 3 2" xfId="4235" xr:uid="{00000000-0005-0000-0000-0000BC1A0000}"/>
    <cellStyle name="표준 8 7 4 2 3 2 2" xfId="7385" xr:uid="{00000000-0005-0000-0000-0000BD1A0000}"/>
    <cellStyle name="표준 8 7 4 2 3 3" xfId="5273" xr:uid="{00000000-0005-0000-0000-0000BE1A0000}"/>
    <cellStyle name="표준 8 7 4 2 3 3 2" xfId="8422" xr:uid="{00000000-0005-0000-0000-0000BF1A0000}"/>
    <cellStyle name="표준 8 7 4 2 3 4" xfId="6338" xr:uid="{00000000-0005-0000-0000-0000C01A0000}"/>
    <cellStyle name="표준 8 7 4 2 4" xfId="3706" xr:uid="{00000000-0005-0000-0000-0000C11A0000}"/>
    <cellStyle name="표준 8 7 4 2 4 2" xfId="6856" xr:uid="{00000000-0005-0000-0000-0000C21A0000}"/>
    <cellStyle name="표준 8 7 4 2 5" xfId="4753" xr:uid="{00000000-0005-0000-0000-0000C31A0000}"/>
    <cellStyle name="표준 8 7 4 2 5 2" xfId="7903" xr:uid="{00000000-0005-0000-0000-0000C41A0000}"/>
    <cellStyle name="표준 8 7 4 2 6" xfId="5809" xr:uid="{00000000-0005-0000-0000-0000C51A0000}"/>
    <cellStyle name="표준 8 7 4 3" xfId="2779" xr:uid="{00000000-0005-0000-0000-0000C61A0000}"/>
    <cellStyle name="표준 8 7 4 3 2" xfId="3317" xr:uid="{00000000-0005-0000-0000-0000C71A0000}"/>
    <cellStyle name="표준 8 7 4 3 2 2" xfId="4364" xr:uid="{00000000-0005-0000-0000-0000C81A0000}"/>
    <cellStyle name="표준 8 7 4 3 2 2 2" xfId="7514" xr:uid="{00000000-0005-0000-0000-0000C91A0000}"/>
    <cellStyle name="표준 8 7 4 3 2 3" xfId="5402" xr:uid="{00000000-0005-0000-0000-0000CA1A0000}"/>
    <cellStyle name="표준 8 7 4 3 2 3 2" xfId="8551" xr:uid="{00000000-0005-0000-0000-0000CB1A0000}"/>
    <cellStyle name="표준 8 7 4 3 2 4" xfId="6467" xr:uid="{00000000-0005-0000-0000-0000CC1A0000}"/>
    <cellStyle name="표준 8 7 4 3 3" xfId="3835" xr:uid="{00000000-0005-0000-0000-0000CD1A0000}"/>
    <cellStyle name="표준 8 7 4 3 3 2" xfId="6985" xr:uid="{00000000-0005-0000-0000-0000CE1A0000}"/>
    <cellStyle name="표준 8 7 4 3 4" xfId="4882" xr:uid="{00000000-0005-0000-0000-0000CF1A0000}"/>
    <cellStyle name="표준 8 7 4 3 4 2" xfId="8032" xr:uid="{00000000-0005-0000-0000-0000D01A0000}"/>
    <cellStyle name="표준 8 7 4 3 5" xfId="5938" xr:uid="{00000000-0005-0000-0000-0000D11A0000}"/>
    <cellStyle name="표준 8 7 4 4" xfId="3059" xr:uid="{00000000-0005-0000-0000-0000D21A0000}"/>
    <cellStyle name="표준 8 7 4 4 2" xfId="4106" xr:uid="{00000000-0005-0000-0000-0000D31A0000}"/>
    <cellStyle name="표준 8 7 4 4 2 2" xfId="7256" xr:uid="{00000000-0005-0000-0000-0000D41A0000}"/>
    <cellStyle name="표준 8 7 4 4 3" xfId="5144" xr:uid="{00000000-0005-0000-0000-0000D51A0000}"/>
    <cellStyle name="표준 8 7 4 4 3 2" xfId="8293" xr:uid="{00000000-0005-0000-0000-0000D61A0000}"/>
    <cellStyle name="표준 8 7 4 4 4" xfId="6209" xr:uid="{00000000-0005-0000-0000-0000D71A0000}"/>
    <cellStyle name="표준 8 7 4 5" xfId="3577" xr:uid="{00000000-0005-0000-0000-0000D81A0000}"/>
    <cellStyle name="표준 8 7 4 5 2" xfId="6727" xr:uid="{00000000-0005-0000-0000-0000D91A0000}"/>
    <cellStyle name="표준 8 7 4 6" xfId="4624" xr:uid="{00000000-0005-0000-0000-0000DA1A0000}"/>
    <cellStyle name="표준 8 7 4 6 2" xfId="7774" xr:uid="{00000000-0005-0000-0000-0000DB1A0000}"/>
    <cellStyle name="표준 8 7 4 7" xfId="5680" xr:uid="{00000000-0005-0000-0000-0000DC1A0000}"/>
    <cellStyle name="표준 8 7 5" xfId="2621" xr:uid="{00000000-0005-0000-0000-0000DD1A0000}"/>
    <cellStyle name="표준 8 7 5 2" xfId="2945" xr:uid="{00000000-0005-0000-0000-0000DE1A0000}"/>
    <cellStyle name="표준 8 7 5 2 2" xfId="3483" xr:uid="{00000000-0005-0000-0000-0000DF1A0000}"/>
    <cellStyle name="표준 8 7 5 2 2 2" xfId="4530" xr:uid="{00000000-0005-0000-0000-0000E01A0000}"/>
    <cellStyle name="표준 8 7 5 2 2 2 2" xfId="7680" xr:uid="{00000000-0005-0000-0000-0000E11A0000}"/>
    <cellStyle name="표준 8 7 5 2 2 3" xfId="5568" xr:uid="{00000000-0005-0000-0000-0000E21A0000}"/>
    <cellStyle name="표준 8 7 5 2 2 3 2" xfId="8717" xr:uid="{00000000-0005-0000-0000-0000E31A0000}"/>
    <cellStyle name="표준 8 7 5 2 2 4" xfId="6633" xr:uid="{00000000-0005-0000-0000-0000E41A0000}"/>
    <cellStyle name="표준 8 7 5 2 3" xfId="4001" xr:uid="{00000000-0005-0000-0000-0000E51A0000}"/>
    <cellStyle name="표준 8 7 5 2 3 2" xfId="7151" xr:uid="{00000000-0005-0000-0000-0000E61A0000}"/>
    <cellStyle name="표준 8 7 5 2 4" xfId="5048" xr:uid="{00000000-0005-0000-0000-0000E71A0000}"/>
    <cellStyle name="표준 8 7 5 2 4 2" xfId="8198" xr:uid="{00000000-0005-0000-0000-0000E81A0000}"/>
    <cellStyle name="표준 8 7 5 2 5" xfId="6104" xr:uid="{00000000-0005-0000-0000-0000E91A0000}"/>
    <cellStyle name="표준 8 7 5 3" xfId="3159" xr:uid="{00000000-0005-0000-0000-0000EA1A0000}"/>
    <cellStyle name="표준 8 7 5 3 2" xfId="4206" xr:uid="{00000000-0005-0000-0000-0000EB1A0000}"/>
    <cellStyle name="표준 8 7 5 3 2 2" xfId="7356" xr:uid="{00000000-0005-0000-0000-0000EC1A0000}"/>
    <cellStyle name="표준 8 7 5 3 3" xfId="5244" xr:uid="{00000000-0005-0000-0000-0000ED1A0000}"/>
    <cellStyle name="표준 8 7 5 3 3 2" xfId="8393" xr:uid="{00000000-0005-0000-0000-0000EE1A0000}"/>
    <cellStyle name="표준 8 7 5 3 4" xfId="6309" xr:uid="{00000000-0005-0000-0000-0000EF1A0000}"/>
    <cellStyle name="표준 8 7 5 4" xfId="3677" xr:uid="{00000000-0005-0000-0000-0000F01A0000}"/>
    <cellStyle name="표준 8 7 5 4 2" xfId="6827" xr:uid="{00000000-0005-0000-0000-0000F11A0000}"/>
    <cellStyle name="표준 8 7 5 5" xfId="4724" xr:uid="{00000000-0005-0000-0000-0000F21A0000}"/>
    <cellStyle name="표준 8 7 5 5 2" xfId="7874" xr:uid="{00000000-0005-0000-0000-0000F31A0000}"/>
    <cellStyle name="표준 8 7 5 6" xfId="5780" xr:uid="{00000000-0005-0000-0000-0000F41A0000}"/>
    <cellStyle name="표준 8 7 6" xfId="2750" xr:uid="{00000000-0005-0000-0000-0000F51A0000}"/>
    <cellStyle name="표준 8 7 6 2" xfId="3288" xr:uid="{00000000-0005-0000-0000-0000F61A0000}"/>
    <cellStyle name="표준 8 7 6 2 2" xfId="4335" xr:uid="{00000000-0005-0000-0000-0000F71A0000}"/>
    <cellStyle name="표준 8 7 6 2 2 2" xfId="7485" xr:uid="{00000000-0005-0000-0000-0000F81A0000}"/>
    <cellStyle name="표준 8 7 6 2 3" xfId="5373" xr:uid="{00000000-0005-0000-0000-0000F91A0000}"/>
    <cellStyle name="표준 8 7 6 2 3 2" xfId="8522" xr:uid="{00000000-0005-0000-0000-0000FA1A0000}"/>
    <cellStyle name="표준 8 7 6 2 4" xfId="6438" xr:uid="{00000000-0005-0000-0000-0000FB1A0000}"/>
    <cellStyle name="표준 8 7 6 3" xfId="3806" xr:uid="{00000000-0005-0000-0000-0000FC1A0000}"/>
    <cellStyle name="표준 8 7 6 3 2" xfId="6956" xr:uid="{00000000-0005-0000-0000-0000FD1A0000}"/>
    <cellStyle name="표준 8 7 6 4" xfId="4853" xr:uid="{00000000-0005-0000-0000-0000FE1A0000}"/>
    <cellStyle name="표준 8 7 6 4 2" xfId="8003" xr:uid="{00000000-0005-0000-0000-0000FF1A0000}"/>
    <cellStyle name="표준 8 7 6 5" xfId="5909" xr:uid="{00000000-0005-0000-0000-0000001B0000}"/>
    <cellStyle name="표준 8 7 7" xfId="3030" xr:uid="{00000000-0005-0000-0000-0000011B0000}"/>
    <cellStyle name="표준 8 7 7 2" xfId="4077" xr:uid="{00000000-0005-0000-0000-0000021B0000}"/>
    <cellStyle name="표준 8 7 7 2 2" xfId="7227" xr:uid="{00000000-0005-0000-0000-0000031B0000}"/>
    <cellStyle name="표준 8 7 7 3" xfId="5115" xr:uid="{00000000-0005-0000-0000-0000041B0000}"/>
    <cellStyle name="표준 8 7 7 3 2" xfId="8264" xr:uid="{00000000-0005-0000-0000-0000051B0000}"/>
    <cellStyle name="표준 8 7 7 4" xfId="6180" xr:uid="{00000000-0005-0000-0000-0000061B0000}"/>
    <cellStyle name="표준 8 7 8" xfId="3548" xr:uid="{00000000-0005-0000-0000-0000071B0000}"/>
    <cellStyle name="표준 8 7 8 2" xfId="6698" xr:uid="{00000000-0005-0000-0000-0000081B0000}"/>
    <cellStyle name="표준 8 7 9" xfId="4595" xr:uid="{00000000-0005-0000-0000-0000091B0000}"/>
    <cellStyle name="표준 8 7 9 2" xfId="7745" xr:uid="{00000000-0005-0000-0000-00000A1B0000}"/>
    <cellStyle name="표준 8 8" xfId="1835" xr:uid="{00000000-0005-0000-0000-00000B1B0000}"/>
    <cellStyle name="표준 8 8 10" xfId="5655" xr:uid="{00000000-0005-0000-0000-00000C1B0000}"/>
    <cellStyle name="표준 8 8 2" xfId="1897" xr:uid="{00000000-0005-0000-0000-00000D1B0000}"/>
    <cellStyle name="표준 8 8 2 2" xfId="2687" xr:uid="{00000000-0005-0000-0000-00000E1B0000}"/>
    <cellStyle name="표준 8 8 2 2 2" xfId="2946" xr:uid="{00000000-0005-0000-0000-00000F1B0000}"/>
    <cellStyle name="표준 8 8 2 2 2 2" xfId="3484" xr:uid="{00000000-0005-0000-0000-0000101B0000}"/>
    <cellStyle name="표준 8 8 2 2 2 2 2" xfId="4531" xr:uid="{00000000-0005-0000-0000-0000111B0000}"/>
    <cellStyle name="표준 8 8 2 2 2 2 2 2" xfId="7681" xr:uid="{00000000-0005-0000-0000-0000121B0000}"/>
    <cellStyle name="표준 8 8 2 2 2 2 3" xfId="5569" xr:uid="{00000000-0005-0000-0000-0000131B0000}"/>
    <cellStyle name="표준 8 8 2 2 2 2 3 2" xfId="8718" xr:uid="{00000000-0005-0000-0000-0000141B0000}"/>
    <cellStyle name="표준 8 8 2 2 2 2 4" xfId="6634" xr:uid="{00000000-0005-0000-0000-0000151B0000}"/>
    <cellStyle name="표준 8 8 2 2 2 3" xfId="4002" xr:uid="{00000000-0005-0000-0000-0000161B0000}"/>
    <cellStyle name="표준 8 8 2 2 2 3 2" xfId="7152" xr:uid="{00000000-0005-0000-0000-0000171B0000}"/>
    <cellStyle name="표준 8 8 2 2 2 4" xfId="5049" xr:uid="{00000000-0005-0000-0000-0000181B0000}"/>
    <cellStyle name="표준 8 8 2 2 2 4 2" xfId="8199" xr:uid="{00000000-0005-0000-0000-0000191B0000}"/>
    <cellStyle name="표준 8 8 2 2 2 5" xfId="6105" xr:uid="{00000000-0005-0000-0000-00001A1B0000}"/>
    <cellStyle name="표준 8 8 2 2 3" xfId="3225" xr:uid="{00000000-0005-0000-0000-00001B1B0000}"/>
    <cellStyle name="표준 8 8 2 2 3 2" xfId="4272" xr:uid="{00000000-0005-0000-0000-00001C1B0000}"/>
    <cellStyle name="표준 8 8 2 2 3 2 2" xfId="7422" xr:uid="{00000000-0005-0000-0000-00001D1B0000}"/>
    <cellStyle name="표준 8 8 2 2 3 3" xfId="5310" xr:uid="{00000000-0005-0000-0000-00001E1B0000}"/>
    <cellStyle name="표준 8 8 2 2 3 3 2" xfId="8459" xr:uid="{00000000-0005-0000-0000-00001F1B0000}"/>
    <cellStyle name="표준 8 8 2 2 3 4" xfId="6375" xr:uid="{00000000-0005-0000-0000-0000201B0000}"/>
    <cellStyle name="표준 8 8 2 2 4" xfId="3743" xr:uid="{00000000-0005-0000-0000-0000211B0000}"/>
    <cellStyle name="표준 8 8 2 2 4 2" xfId="6893" xr:uid="{00000000-0005-0000-0000-0000221B0000}"/>
    <cellStyle name="표준 8 8 2 2 5" xfId="4790" xr:uid="{00000000-0005-0000-0000-0000231B0000}"/>
    <cellStyle name="표준 8 8 2 2 5 2" xfId="7940" xr:uid="{00000000-0005-0000-0000-0000241B0000}"/>
    <cellStyle name="표준 8 8 2 2 6" xfId="5846" xr:uid="{00000000-0005-0000-0000-0000251B0000}"/>
    <cellStyle name="표준 8 8 2 3" xfId="2816" xr:uid="{00000000-0005-0000-0000-0000261B0000}"/>
    <cellStyle name="표준 8 8 2 3 2" xfId="3354" xr:uid="{00000000-0005-0000-0000-0000271B0000}"/>
    <cellStyle name="표준 8 8 2 3 2 2" xfId="4401" xr:uid="{00000000-0005-0000-0000-0000281B0000}"/>
    <cellStyle name="표준 8 8 2 3 2 2 2" xfId="7551" xr:uid="{00000000-0005-0000-0000-0000291B0000}"/>
    <cellStyle name="표준 8 8 2 3 2 3" xfId="5439" xr:uid="{00000000-0005-0000-0000-00002A1B0000}"/>
    <cellStyle name="표준 8 8 2 3 2 3 2" xfId="8588" xr:uid="{00000000-0005-0000-0000-00002B1B0000}"/>
    <cellStyle name="표준 8 8 2 3 2 4" xfId="6504" xr:uid="{00000000-0005-0000-0000-00002C1B0000}"/>
    <cellStyle name="표준 8 8 2 3 3" xfId="3872" xr:uid="{00000000-0005-0000-0000-00002D1B0000}"/>
    <cellStyle name="표준 8 8 2 3 3 2" xfId="7022" xr:uid="{00000000-0005-0000-0000-00002E1B0000}"/>
    <cellStyle name="표준 8 8 2 3 4" xfId="4919" xr:uid="{00000000-0005-0000-0000-00002F1B0000}"/>
    <cellStyle name="표준 8 8 2 3 4 2" xfId="8069" xr:uid="{00000000-0005-0000-0000-0000301B0000}"/>
    <cellStyle name="표준 8 8 2 3 5" xfId="5975" xr:uid="{00000000-0005-0000-0000-0000311B0000}"/>
    <cellStyle name="표준 8 8 2 4" xfId="3096" xr:uid="{00000000-0005-0000-0000-0000321B0000}"/>
    <cellStyle name="표준 8 8 2 4 2" xfId="4143" xr:uid="{00000000-0005-0000-0000-0000331B0000}"/>
    <cellStyle name="표준 8 8 2 4 2 2" xfId="7293" xr:uid="{00000000-0005-0000-0000-0000341B0000}"/>
    <cellStyle name="표준 8 8 2 4 3" xfId="5181" xr:uid="{00000000-0005-0000-0000-0000351B0000}"/>
    <cellStyle name="표준 8 8 2 4 3 2" xfId="8330" xr:uid="{00000000-0005-0000-0000-0000361B0000}"/>
    <cellStyle name="표준 8 8 2 4 4" xfId="6246" xr:uid="{00000000-0005-0000-0000-0000371B0000}"/>
    <cellStyle name="표준 8 8 2 5" xfId="3614" xr:uid="{00000000-0005-0000-0000-0000381B0000}"/>
    <cellStyle name="표준 8 8 2 5 2" xfId="6764" xr:uid="{00000000-0005-0000-0000-0000391B0000}"/>
    <cellStyle name="표준 8 8 2 6" xfId="4661" xr:uid="{00000000-0005-0000-0000-00003A1B0000}"/>
    <cellStyle name="표준 8 8 2 6 2" xfId="7811" xr:uid="{00000000-0005-0000-0000-00003B1B0000}"/>
    <cellStyle name="표준 8 8 2 7" xfId="5717" xr:uid="{00000000-0005-0000-0000-00003C1B0000}"/>
    <cellStyle name="표준 8 8 3" xfId="1930" xr:uid="{00000000-0005-0000-0000-00003D1B0000}"/>
    <cellStyle name="표준 8 8 3 2" xfId="2720" xr:uid="{00000000-0005-0000-0000-00003E1B0000}"/>
    <cellStyle name="표준 8 8 3 2 2" xfId="2947" xr:uid="{00000000-0005-0000-0000-00003F1B0000}"/>
    <cellStyle name="표준 8 8 3 2 2 2" xfId="3485" xr:uid="{00000000-0005-0000-0000-0000401B0000}"/>
    <cellStyle name="표준 8 8 3 2 2 2 2" xfId="4532" xr:uid="{00000000-0005-0000-0000-0000411B0000}"/>
    <cellStyle name="표준 8 8 3 2 2 2 2 2" xfId="7682" xr:uid="{00000000-0005-0000-0000-0000421B0000}"/>
    <cellStyle name="표준 8 8 3 2 2 2 3" xfId="5570" xr:uid="{00000000-0005-0000-0000-0000431B0000}"/>
    <cellStyle name="표준 8 8 3 2 2 2 3 2" xfId="8719" xr:uid="{00000000-0005-0000-0000-0000441B0000}"/>
    <cellStyle name="표준 8 8 3 2 2 2 4" xfId="6635" xr:uid="{00000000-0005-0000-0000-0000451B0000}"/>
    <cellStyle name="표준 8 8 3 2 2 3" xfId="4003" xr:uid="{00000000-0005-0000-0000-0000461B0000}"/>
    <cellStyle name="표준 8 8 3 2 2 3 2" xfId="7153" xr:uid="{00000000-0005-0000-0000-0000471B0000}"/>
    <cellStyle name="표준 8 8 3 2 2 4" xfId="5050" xr:uid="{00000000-0005-0000-0000-0000481B0000}"/>
    <cellStyle name="표준 8 8 3 2 2 4 2" xfId="8200" xr:uid="{00000000-0005-0000-0000-0000491B0000}"/>
    <cellStyle name="표준 8 8 3 2 2 5" xfId="6106" xr:uid="{00000000-0005-0000-0000-00004A1B0000}"/>
    <cellStyle name="표준 8 8 3 2 3" xfId="3258" xr:uid="{00000000-0005-0000-0000-00004B1B0000}"/>
    <cellStyle name="표준 8 8 3 2 3 2" xfId="4305" xr:uid="{00000000-0005-0000-0000-00004C1B0000}"/>
    <cellStyle name="표준 8 8 3 2 3 2 2" xfId="7455" xr:uid="{00000000-0005-0000-0000-00004D1B0000}"/>
    <cellStyle name="표준 8 8 3 2 3 3" xfId="5343" xr:uid="{00000000-0005-0000-0000-00004E1B0000}"/>
    <cellStyle name="표준 8 8 3 2 3 3 2" xfId="8492" xr:uid="{00000000-0005-0000-0000-00004F1B0000}"/>
    <cellStyle name="표준 8 8 3 2 3 4" xfId="6408" xr:uid="{00000000-0005-0000-0000-0000501B0000}"/>
    <cellStyle name="표준 8 8 3 2 4" xfId="3776" xr:uid="{00000000-0005-0000-0000-0000511B0000}"/>
    <cellStyle name="표준 8 8 3 2 4 2" xfId="6926" xr:uid="{00000000-0005-0000-0000-0000521B0000}"/>
    <cellStyle name="표준 8 8 3 2 5" xfId="4823" xr:uid="{00000000-0005-0000-0000-0000531B0000}"/>
    <cellStyle name="표준 8 8 3 2 5 2" xfId="7973" xr:uid="{00000000-0005-0000-0000-0000541B0000}"/>
    <cellStyle name="표준 8 8 3 2 6" xfId="5879" xr:uid="{00000000-0005-0000-0000-0000551B0000}"/>
    <cellStyle name="표준 8 8 3 3" xfId="2849" xr:uid="{00000000-0005-0000-0000-0000561B0000}"/>
    <cellStyle name="표준 8 8 3 3 2" xfId="3387" xr:uid="{00000000-0005-0000-0000-0000571B0000}"/>
    <cellStyle name="표준 8 8 3 3 2 2" xfId="4434" xr:uid="{00000000-0005-0000-0000-0000581B0000}"/>
    <cellStyle name="표준 8 8 3 3 2 2 2" xfId="7584" xr:uid="{00000000-0005-0000-0000-0000591B0000}"/>
    <cellStyle name="표준 8 8 3 3 2 3" xfId="5472" xr:uid="{00000000-0005-0000-0000-00005A1B0000}"/>
    <cellStyle name="표준 8 8 3 3 2 3 2" xfId="8621" xr:uid="{00000000-0005-0000-0000-00005B1B0000}"/>
    <cellStyle name="표준 8 8 3 3 2 4" xfId="6537" xr:uid="{00000000-0005-0000-0000-00005C1B0000}"/>
    <cellStyle name="표준 8 8 3 3 3" xfId="3905" xr:uid="{00000000-0005-0000-0000-00005D1B0000}"/>
    <cellStyle name="표준 8 8 3 3 3 2" xfId="7055" xr:uid="{00000000-0005-0000-0000-00005E1B0000}"/>
    <cellStyle name="표준 8 8 3 3 4" xfId="4952" xr:uid="{00000000-0005-0000-0000-00005F1B0000}"/>
    <cellStyle name="표준 8 8 3 3 4 2" xfId="8102" xr:uid="{00000000-0005-0000-0000-0000601B0000}"/>
    <cellStyle name="표준 8 8 3 3 5" xfId="6008" xr:uid="{00000000-0005-0000-0000-0000611B0000}"/>
    <cellStyle name="표준 8 8 3 4" xfId="3129" xr:uid="{00000000-0005-0000-0000-0000621B0000}"/>
    <cellStyle name="표준 8 8 3 4 2" xfId="4176" xr:uid="{00000000-0005-0000-0000-0000631B0000}"/>
    <cellStyle name="표준 8 8 3 4 2 2" xfId="7326" xr:uid="{00000000-0005-0000-0000-0000641B0000}"/>
    <cellStyle name="표준 8 8 3 4 3" xfId="5214" xr:uid="{00000000-0005-0000-0000-0000651B0000}"/>
    <cellStyle name="표준 8 8 3 4 3 2" xfId="8363" xr:uid="{00000000-0005-0000-0000-0000661B0000}"/>
    <cellStyle name="표준 8 8 3 4 4" xfId="6279" xr:uid="{00000000-0005-0000-0000-0000671B0000}"/>
    <cellStyle name="표준 8 8 3 5" xfId="3647" xr:uid="{00000000-0005-0000-0000-0000681B0000}"/>
    <cellStyle name="표준 8 8 3 5 2" xfId="6797" xr:uid="{00000000-0005-0000-0000-0000691B0000}"/>
    <cellStyle name="표준 8 8 3 6" xfId="4694" xr:uid="{00000000-0005-0000-0000-00006A1B0000}"/>
    <cellStyle name="표준 8 8 3 6 2" xfId="7844" xr:uid="{00000000-0005-0000-0000-00006B1B0000}"/>
    <cellStyle name="표준 8 8 3 7" xfId="5750" xr:uid="{00000000-0005-0000-0000-00006C1B0000}"/>
    <cellStyle name="표준 8 8 4" xfId="1864" xr:uid="{00000000-0005-0000-0000-00006D1B0000}"/>
    <cellStyle name="표준 8 8 4 2" xfId="2654" xr:uid="{00000000-0005-0000-0000-00006E1B0000}"/>
    <cellStyle name="표준 8 8 4 2 2" xfId="2948" xr:uid="{00000000-0005-0000-0000-00006F1B0000}"/>
    <cellStyle name="표준 8 8 4 2 2 2" xfId="3486" xr:uid="{00000000-0005-0000-0000-0000701B0000}"/>
    <cellStyle name="표준 8 8 4 2 2 2 2" xfId="4533" xr:uid="{00000000-0005-0000-0000-0000711B0000}"/>
    <cellStyle name="표준 8 8 4 2 2 2 2 2" xfId="7683" xr:uid="{00000000-0005-0000-0000-0000721B0000}"/>
    <cellStyle name="표준 8 8 4 2 2 2 3" xfId="5571" xr:uid="{00000000-0005-0000-0000-0000731B0000}"/>
    <cellStyle name="표준 8 8 4 2 2 2 3 2" xfId="8720" xr:uid="{00000000-0005-0000-0000-0000741B0000}"/>
    <cellStyle name="표준 8 8 4 2 2 2 4" xfId="6636" xr:uid="{00000000-0005-0000-0000-0000751B0000}"/>
    <cellStyle name="표준 8 8 4 2 2 3" xfId="4004" xr:uid="{00000000-0005-0000-0000-0000761B0000}"/>
    <cellStyle name="표준 8 8 4 2 2 3 2" xfId="7154" xr:uid="{00000000-0005-0000-0000-0000771B0000}"/>
    <cellStyle name="표준 8 8 4 2 2 4" xfId="5051" xr:uid="{00000000-0005-0000-0000-0000781B0000}"/>
    <cellStyle name="표준 8 8 4 2 2 4 2" xfId="8201" xr:uid="{00000000-0005-0000-0000-0000791B0000}"/>
    <cellStyle name="표준 8 8 4 2 2 5" xfId="6107" xr:uid="{00000000-0005-0000-0000-00007A1B0000}"/>
    <cellStyle name="표준 8 8 4 2 3" xfId="3192" xr:uid="{00000000-0005-0000-0000-00007B1B0000}"/>
    <cellStyle name="표준 8 8 4 2 3 2" xfId="4239" xr:uid="{00000000-0005-0000-0000-00007C1B0000}"/>
    <cellStyle name="표준 8 8 4 2 3 2 2" xfId="7389" xr:uid="{00000000-0005-0000-0000-00007D1B0000}"/>
    <cellStyle name="표준 8 8 4 2 3 3" xfId="5277" xr:uid="{00000000-0005-0000-0000-00007E1B0000}"/>
    <cellStyle name="표준 8 8 4 2 3 3 2" xfId="8426" xr:uid="{00000000-0005-0000-0000-00007F1B0000}"/>
    <cellStyle name="표준 8 8 4 2 3 4" xfId="6342" xr:uid="{00000000-0005-0000-0000-0000801B0000}"/>
    <cellStyle name="표준 8 8 4 2 4" xfId="3710" xr:uid="{00000000-0005-0000-0000-0000811B0000}"/>
    <cellStyle name="표준 8 8 4 2 4 2" xfId="6860" xr:uid="{00000000-0005-0000-0000-0000821B0000}"/>
    <cellStyle name="표준 8 8 4 2 5" xfId="4757" xr:uid="{00000000-0005-0000-0000-0000831B0000}"/>
    <cellStyle name="표준 8 8 4 2 5 2" xfId="7907" xr:uid="{00000000-0005-0000-0000-0000841B0000}"/>
    <cellStyle name="표준 8 8 4 2 6" xfId="5813" xr:uid="{00000000-0005-0000-0000-0000851B0000}"/>
    <cellStyle name="표준 8 8 4 3" xfId="2783" xr:uid="{00000000-0005-0000-0000-0000861B0000}"/>
    <cellStyle name="표준 8 8 4 3 2" xfId="3321" xr:uid="{00000000-0005-0000-0000-0000871B0000}"/>
    <cellStyle name="표준 8 8 4 3 2 2" xfId="4368" xr:uid="{00000000-0005-0000-0000-0000881B0000}"/>
    <cellStyle name="표준 8 8 4 3 2 2 2" xfId="7518" xr:uid="{00000000-0005-0000-0000-0000891B0000}"/>
    <cellStyle name="표준 8 8 4 3 2 3" xfId="5406" xr:uid="{00000000-0005-0000-0000-00008A1B0000}"/>
    <cellStyle name="표준 8 8 4 3 2 3 2" xfId="8555" xr:uid="{00000000-0005-0000-0000-00008B1B0000}"/>
    <cellStyle name="표준 8 8 4 3 2 4" xfId="6471" xr:uid="{00000000-0005-0000-0000-00008C1B0000}"/>
    <cellStyle name="표준 8 8 4 3 3" xfId="3839" xr:uid="{00000000-0005-0000-0000-00008D1B0000}"/>
    <cellStyle name="표준 8 8 4 3 3 2" xfId="6989" xr:uid="{00000000-0005-0000-0000-00008E1B0000}"/>
    <cellStyle name="표준 8 8 4 3 4" xfId="4886" xr:uid="{00000000-0005-0000-0000-00008F1B0000}"/>
    <cellStyle name="표준 8 8 4 3 4 2" xfId="8036" xr:uid="{00000000-0005-0000-0000-0000901B0000}"/>
    <cellStyle name="표준 8 8 4 3 5" xfId="5942" xr:uid="{00000000-0005-0000-0000-0000911B0000}"/>
    <cellStyle name="표준 8 8 4 4" xfId="3063" xr:uid="{00000000-0005-0000-0000-0000921B0000}"/>
    <cellStyle name="표준 8 8 4 4 2" xfId="4110" xr:uid="{00000000-0005-0000-0000-0000931B0000}"/>
    <cellStyle name="표준 8 8 4 4 2 2" xfId="7260" xr:uid="{00000000-0005-0000-0000-0000941B0000}"/>
    <cellStyle name="표준 8 8 4 4 3" xfId="5148" xr:uid="{00000000-0005-0000-0000-0000951B0000}"/>
    <cellStyle name="표준 8 8 4 4 3 2" xfId="8297" xr:uid="{00000000-0005-0000-0000-0000961B0000}"/>
    <cellStyle name="표준 8 8 4 4 4" xfId="6213" xr:uid="{00000000-0005-0000-0000-0000971B0000}"/>
    <cellStyle name="표준 8 8 4 5" xfId="3581" xr:uid="{00000000-0005-0000-0000-0000981B0000}"/>
    <cellStyle name="표준 8 8 4 5 2" xfId="6731" xr:uid="{00000000-0005-0000-0000-0000991B0000}"/>
    <cellStyle name="표준 8 8 4 6" xfId="4628" xr:uid="{00000000-0005-0000-0000-00009A1B0000}"/>
    <cellStyle name="표준 8 8 4 6 2" xfId="7778" xr:uid="{00000000-0005-0000-0000-00009B1B0000}"/>
    <cellStyle name="표준 8 8 4 7" xfId="5684" xr:uid="{00000000-0005-0000-0000-00009C1B0000}"/>
    <cellStyle name="표준 8 8 5" xfId="2625" xr:uid="{00000000-0005-0000-0000-00009D1B0000}"/>
    <cellStyle name="표준 8 8 5 2" xfId="2949" xr:uid="{00000000-0005-0000-0000-00009E1B0000}"/>
    <cellStyle name="표준 8 8 5 2 2" xfId="3487" xr:uid="{00000000-0005-0000-0000-00009F1B0000}"/>
    <cellStyle name="표준 8 8 5 2 2 2" xfId="4534" xr:uid="{00000000-0005-0000-0000-0000A01B0000}"/>
    <cellStyle name="표준 8 8 5 2 2 2 2" xfId="7684" xr:uid="{00000000-0005-0000-0000-0000A11B0000}"/>
    <cellStyle name="표준 8 8 5 2 2 3" xfId="5572" xr:uid="{00000000-0005-0000-0000-0000A21B0000}"/>
    <cellStyle name="표준 8 8 5 2 2 3 2" xfId="8721" xr:uid="{00000000-0005-0000-0000-0000A31B0000}"/>
    <cellStyle name="표준 8 8 5 2 2 4" xfId="6637" xr:uid="{00000000-0005-0000-0000-0000A41B0000}"/>
    <cellStyle name="표준 8 8 5 2 3" xfId="4005" xr:uid="{00000000-0005-0000-0000-0000A51B0000}"/>
    <cellStyle name="표준 8 8 5 2 3 2" xfId="7155" xr:uid="{00000000-0005-0000-0000-0000A61B0000}"/>
    <cellStyle name="표준 8 8 5 2 4" xfId="5052" xr:uid="{00000000-0005-0000-0000-0000A71B0000}"/>
    <cellStyle name="표준 8 8 5 2 4 2" xfId="8202" xr:uid="{00000000-0005-0000-0000-0000A81B0000}"/>
    <cellStyle name="표준 8 8 5 2 5" xfId="6108" xr:uid="{00000000-0005-0000-0000-0000A91B0000}"/>
    <cellStyle name="표준 8 8 5 3" xfId="3163" xr:uid="{00000000-0005-0000-0000-0000AA1B0000}"/>
    <cellStyle name="표준 8 8 5 3 2" xfId="4210" xr:uid="{00000000-0005-0000-0000-0000AB1B0000}"/>
    <cellStyle name="표준 8 8 5 3 2 2" xfId="7360" xr:uid="{00000000-0005-0000-0000-0000AC1B0000}"/>
    <cellStyle name="표준 8 8 5 3 3" xfId="5248" xr:uid="{00000000-0005-0000-0000-0000AD1B0000}"/>
    <cellStyle name="표준 8 8 5 3 3 2" xfId="8397" xr:uid="{00000000-0005-0000-0000-0000AE1B0000}"/>
    <cellStyle name="표준 8 8 5 3 4" xfId="6313" xr:uid="{00000000-0005-0000-0000-0000AF1B0000}"/>
    <cellStyle name="표준 8 8 5 4" xfId="3681" xr:uid="{00000000-0005-0000-0000-0000B01B0000}"/>
    <cellStyle name="표준 8 8 5 4 2" xfId="6831" xr:uid="{00000000-0005-0000-0000-0000B11B0000}"/>
    <cellStyle name="표준 8 8 5 5" xfId="4728" xr:uid="{00000000-0005-0000-0000-0000B21B0000}"/>
    <cellStyle name="표준 8 8 5 5 2" xfId="7878" xr:uid="{00000000-0005-0000-0000-0000B31B0000}"/>
    <cellStyle name="표준 8 8 5 6" xfId="5784" xr:uid="{00000000-0005-0000-0000-0000B41B0000}"/>
    <cellStyle name="표준 8 8 6" xfId="2754" xr:uid="{00000000-0005-0000-0000-0000B51B0000}"/>
    <cellStyle name="표준 8 8 6 2" xfId="3292" xr:uid="{00000000-0005-0000-0000-0000B61B0000}"/>
    <cellStyle name="표준 8 8 6 2 2" xfId="4339" xr:uid="{00000000-0005-0000-0000-0000B71B0000}"/>
    <cellStyle name="표준 8 8 6 2 2 2" xfId="7489" xr:uid="{00000000-0005-0000-0000-0000B81B0000}"/>
    <cellStyle name="표준 8 8 6 2 3" xfId="5377" xr:uid="{00000000-0005-0000-0000-0000B91B0000}"/>
    <cellStyle name="표준 8 8 6 2 3 2" xfId="8526" xr:uid="{00000000-0005-0000-0000-0000BA1B0000}"/>
    <cellStyle name="표준 8 8 6 2 4" xfId="6442" xr:uid="{00000000-0005-0000-0000-0000BB1B0000}"/>
    <cellStyle name="표준 8 8 6 3" xfId="3810" xr:uid="{00000000-0005-0000-0000-0000BC1B0000}"/>
    <cellStyle name="표준 8 8 6 3 2" xfId="6960" xr:uid="{00000000-0005-0000-0000-0000BD1B0000}"/>
    <cellStyle name="표준 8 8 6 4" xfId="4857" xr:uid="{00000000-0005-0000-0000-0000BE1B0000}"/>
    <cellStyle name="표준 8 8 6 4 2" xfId="8007" xr:uid="{00000000-0005-0000-0000-0000BF1B0000}"/>
    <cellStyle name="표준 8 8 6 5" xfId="5913" xr:uid="{00000000-0005-0000-0000-0000C01B0000}"/>
    <cellStyle name="표준 8 8 7" xfId="3034" xr:uid="{00000000-0005-0000-0000-0000C11B0000}"/>
    <cellStyle name="표준 8 8 7 2" xfId="4081" xr:uid="{00000000-0005-0000-0000-0000C21B0000}"/>
    <cellStyle name="표준 8 8 7 2 2" xfId="7231" xr:uid="{00000000-0005-0000-0000-0000C31B0000}"/>
    <cellStyle name="표준 8 8 7 3" xfId="5119" xr:uid="{00000000-0005-0000-0000-0000C41B0000}"/>
    <cellStyle name="표준 8 8 7 3 2" xfId="8268" xr:uid="{00000000-0005-0000-0000-0000C51B0000}"/>
    <cellStyle name="표준 8 8 7 4" xfId="6184" xr:uid="{00000000-0005-0000-0000-0000C61B0000}"/>
    <cellStyle name="표준 8 8 8" xfId="3552" xr:uid="{00000000-0005-0000-0000-0000C71B0000}"/>
    <cellStyle name="표준 8 8 8 2" xfId="6702" xr:uid="{00000000-0005-0000-0000-0000C81B0000}"/>
    <cellStyle name="표준 8 8 9" xfId="4599" xr:uid="{00000000-0005-0000-0000-0000C91B0000}"/>
    <cellStyle name="표준 8 8 9 2" xfId="7749" xr:uid="{00000000-0005-0000-0000-0000CA1B0000}"/>
    <cellStyle name="표준 8 9" xfId="455" xr:uid="{00000000-0005-0000-0000-0000CB1B0000}"/>
    <cellStyle name="표준 8 9 2" xfId="1905" xr:uid="{00000000-0005-0000-0000-0000CC1B0000}"/>
    <cellStyle name="표준 8 9 2 2" xfId="2695" xr:uid="{00000000-0005-0000-0000-0000CD1B0000}"/>
    <cellStyle name="표준 8 9 2 2 2" xfId="2950" xr:uid="{00000000-0005-0000-0000-0000CE1B0000}"/>
    <cellStyle name="표준 8 9 2 2 2 2" xfId="3488" xr:uid="{00000000-0005-0000-0000-0000CF1B0000}"/>
    <cellStyle name="표준 8 9 2 2 2 2 2" xfId="4535" xr:uid="{00000000-0005-0000-0000-0000D01B0000}"/>
    <cellStyle name="표준 8 9 2 2 2 2 2 2" xfId="7685" xr:uid="{00000000-0005-0000-0000-0000D11B0000}"/>
    <cellStyle name="표준 8 9 2 2 2 2 3" xfId="5573" xr:uid="{00000000-0005-0000-0000-0000D21B0000}"/>
    <cellStyle name="표준 8 9 2 2 2 2 3 2" xfId="8722" xr:uid="{00000000-0005-0000-0000-0000D31B0000}"/>
    <cellStyle name="표준 8 9 2 2 2 2 4" xfId="6638" xr:uid="{00000000-0005-0000-0000-0000D41B0000}"/>
    <cellStyle name="표준 8 9 2 2 2 3" xfId="4006" xr:uid="{00000000-0005-0000-0000-0000D51B0000}"/>
    <cellStyle name="표준 8 9 2 2 2 3 2" xfId="7156" xr:uid="{00000000-0005-0000-0000-0000D61B0000}"/>
    <cellStyle name="표준 8 9 2 2 2 4" xfId="5053" xr:uid="{00000000-0005-0000-0000-0000D71B0000}"/>
    <cellStyle name="표준 8 9 2 2 2 4 2" xfId="8203" xr:uid="{00000000-0005-0000-0000-0000D81B0000}"/>
    <cellStyle name="표준 8 9 2 2 2 5" xfId="6109" xr:uid="{00000000-0005-0000-0000-0000D91B0000}"/>
    <cellStyle name="표준 8 9 2 2 3" xfId="3233" xr:uid="{00000000-0005-0000-0000-0000DA1B0000}"/>
    <cellStyle name="표준 8 9 2 2 3 2" xfId="4280" xr:uid="{00000000-0005-0000-0000-0000DB1B0000}"/>
    <cellStyle name="표준 8 9 2 2 3 2 2" xfId="7430" xr:uid="{00000000-0005-0000-0000-0000DC1B0000}"/>
    <cellStyle name="표준 8 9 2 2 3 3" xfId="5318" xr:uid="{00000000-0005-0000-0000-0000DD1B0000}"/>
    <cellStyle name="표준 8 9 2 2 3 3 2" xfId="8467" xr:uid="{00000000-0005-0000-0000-0000DE1B0000}"/>
    <cellStyle name="표준 8 9 2 2 3 4" xfId="6383" xr:uid="{00000000-0005-0000-0000-0000DF1B0000}"/>
    <cellStyle name="표준 8 9 2 2 4" xfId="3751" xr:uid="{00000000-0005-0000-0000-0000E01B0000}"/>
    <cellStyle name="표준 8 9 2 2 4 2" xfId="6901" xr:uid="{00000000-0005-0000-0000-0000E11B0000}"/>
    <cellStyle name="표준 8 9 2 2 5" xfId="4798" xr:uid="{00000000-0005-0000-0000-0000E21B0000}"/>
    <cellStyle name="표준 8 9 2 2 5 2" xfId="7948" xr:uid="{00000000-0005-0000-0000-0000E31B0000}"/>
    <cellStyle name="표준 8 9 2 2 6" xfId="5854" xr:uid="{00000000-0005-0000-0000-0000E41B0000}"/>
    <cellStyle name="표준 8 9 2 3" xfId="2824" xr:uid="{00000000-0005-0000-0000-0000E51B0000}"/>
    <cellStyle name="표준 8 9 2 3 2" xfId="3362" xr:uid="{00000000-0005-0000-0000-0000E61B0000}"/>
    <cellStyle name="표준 8 9 2 3 2 2" xfId="4409" xr:uid="{00000000-0005-0000-0000-0000E71B0000}"/>
    <cellStyle name="표준 8 9 2 3 2 2 2" xfId="7559" xr:uid="{00000000-0005-0000-0000-0000E81B0000}"/>
    <cellStyle name="표준 8 9 2 3 2 3" xfId="5447" xr:uid="{00000000-0005-0000-0000-0000E91B0000}"/>
    <cellStyle name="표준 8 9 2 3 2 3 2" xfId="8596" xr:uid="{00000000-0005-0000-0000-0000EA1B0000}"/>
    <cellStyle name="표준 8 9 2 3 2 4" xfId="6512" xr:uid="{00000000-0005-0000-0000-0000EB1B0000}"/>
    <cellStyle name="표준 8 9 2 3 3" xfId="3880" xr:uid="{00000000-0005-0000-0000-0000EC1B0000}"/>
    <cellStyle name="표준 8 9 2 3 3 2" xfId="7030" xr:uid="{00000000-0005-0000-0000-0000ED1B0000}"/>
    <cellStyle name="표준 8 9 2 3 4" xfId="4927" xr:uid="{00000000-0005-0000-0000-0000EE1B0000}"/>
    <cellStyle name="표준 8 9 2 3 4 2" xfId="8077" xr:uid="{00000000-0005-0000-0000-0000EF1B0000}"/>
    <cellStyle name="표준 8 9 2 3 5" xfId="5983" xr:uid="{00000000-0005-0000-0000-0000F01B0000}"/>
    <cellStyle name="표준 8 9 2 4" xfId="3104" xr:uid="{00000000-0005-0000-0000-0000F11B0000}"/>
    <cellStyle name="표준 8 9 2 4 2" xfId="4151" xr:uid="{00000000-0005-0000-0000-0000F21B0000}"/>
    <cellStyle name="표준 8 9 2 4 2 2" xfId="7301" xr:uid="{00000000-0005-0000-0000-0000F31B0000}"/>
    <cellStyle name="표준 8 9 2 4 3" xfId="5189" xr:uid="{00000000-0005-0000-0000-0000F41B0000}"/>
    <cellStyle name="표준 8 9 2 4 3 2" xfId="8338" xr:uid="{00000000-0005-0000-0000-0000F51B0000}"/>
    <cellStyle name="표준 8 9 2 4 4" xfId="6254" xr:uid="{00000000-0005-0000-0000-0000F61B0000}"/>
    <cellStyle name="표준 8 9 2 5" xfId="3622" xr:uid="{00000000-0005-0000-0000-0000F71B0000}"/>
    <cellStyle name="표준 8 9 2 5 2" xfId="6772" xr:uid="{00000000-0005-0000-0000-0000F81B0000}"/>
    <cellStyle name="표준 8 9 2 6" xfId="4669" xr:uid="{00000000-0005-0000-0000-0000F91B0000}"/>
    <cellStyle name="표준 8 9 2 6 2" xfId="7819" xr:uid="{00000000-0005-0000-0000-0000FA1B0000}"/>
    <cellStyle name="표준 8 9 2 7" xfId="5725" xr:uid="{00000000-0005-0000-0000-0000FB1B0000}"/>
    <cellStyle name="표준 8 9 3" xfId="1872" xr:uid="{00000000-0005-0000-0000-0000FC1B0000}"/>
    <cellStyle name="표준 8 9 3 2" xfId="2662" xr:uid="{00000000-0005-0000-0000-0000FD1B0000}"/>
    <cellStyle name="표준 8 9 3 2 2" xfId="2951" xr:uid="{00000000-0005-0000-0000-0000FE1B0000}"/>
    <cellStyle name="표준 8 9 3 2 2 2" xfId="3489" xr:uid="{00000000-0005-0000-0000-0000FF1B0000}"/>
    <cellStyle name="표준 8 9 3 2 2 2 2" xfId="4536" xr:uid="{00000000-0005-0000-0000-0000001C0000}"/>
    <cellStyle name="표준 8 9 3 2 2 2 2 2" xfId="7686" xr:uid="{00000000-0005-0000-0000-0000011C0000}"/>
    <cellStyle name="표준 8 9 3 2 2 2 3" xfId="5574" xr:uid="{00000000-0005-0000-0000-0000021C0000}"/>
    <cellStyle name="표준 8 9 3 2 2 2 3 2" xfId="8723" xr:uid="{00000000-0005-0000-0000-0000031C0000}"/>
    <cellStyle name="표준 8 9 3 2 2 2 4" xfId="6639" xr:uid="{00000000-0005-0000-0000-0000041C0000}"/>
    <cellStyle name="표준 8 9 3 2 2 3" xfId="4007" xr:uid="{00000000-0005-0000-0000-0000051C0000}"/>
    <cellStyle name="표준 8 9 3 2 2 3 2" xfId="7157" xr:uid="{00000000-0005-0000-0000-0000061C0000}"/>
    <cellStyle name="표준 8 9 3 2 2 4" xfId="5054" xr:uid="{00000000-0005-0000-0000-0000071C0000}"/>
    <cellStyle name="표준 8 9 3 2 2 4 2" xfId="8204" xr:uid="{00000000-0005-0000-0000-0000081C0000}"/>
    <cellStyle name="표준 8 9 3 2 2 5" xfId="6110" xr:uid="{00000000-0005-0000-0000-0000091C0000}"/>
    <cellStyle name="표준 8 9 3 2 3" xfId="3200" xr:uid="{00000000-0005-0000-0000-00000A1C0000}"/>
    <cellStyle name="표준 8 9 3 2 3 2" xfId="4247" xr:uid="{00000000-0005-0000-0000-00000B1C0000}"/>
    <cellStyle name="표준 8 9 3 2 3 2 2" xfId="7397" xr:uid="{00000000-0005-0000-0000-00000C1C0000}"/>
    <cellStyle name="표준 8 9 3 2 3 3" xfId="5285" xr:uid="{00000000-0005-0000-0000-00000D1C0000}"/>
    <cellStyle name="표준 8 9 3 2 3 3 2" xfId="8434" xr:uid="{00000000-0005-0000-0000-00000E1C0000}"/>
    <cellStyle name="표준 8 9 3 2 3 4" xfId="6350" xr:uid="{00000000-0005-0000-0000-00000F1C0000}"/>
    <cellStyle name="표준 8 9 3 2 4" xfId="3718" xr:uid="{00000000-0005-0000-0000-0000101C0000}"/>
    <cellStyle name="표준 8 9 3 2 4 2" xfId="6868" xr:uid="{00000000-0005-0000-0000-0000111C0000}"/>
    <cellStyle name="표준 8 9 3 2 5" xfId="4765" xr:uid="{00000000-0005-0000-0000-0000121C0000}"/>
    <cellStyle name="표준 8 9 3 2 5 2" xfId="7915" xr:uid="{00000000-0005-0000-0000-0000131C0000}"/>
    <cellStyle name="표준 8 9 3 2 6" xfId="5821" xr:uid="{00000000-0005-0000-0000-0000141C0000}"/>
    <cellStyle name="표준 8 9 3 3" xfId="2791" xr:uid="{00000000-0005-0000-0000-0000151C0000}"/>
    <cellStyle name="표준 8 9 3 3 2" xfId="3329" xr:uid="{00000000-0005-0000-0000-0000161C0000}"/>
    <cellStyle name="표준 8 9 3 3 2 2" xfId="4376" xr:uid="{00000000-0005-0000-0000-0000171C0000}"/>
    <cellStyle name="표준 8 9 3 3 2 2 2" xfId="7526" xr:uid="{00000000-0005-0000-0000-0000181C0000}"/>
    <cellStyle name="표준 8 9 3 3 2 3" xfId="5414" xr:uid="{00000000-0005-0000-0000-0000191C0000}"/>
    <cellStyle name="표준 8 9 3 3 2 3 2" xfId="8563" xr:uid="{00000000-0005-0000-0000-00001A1C0000}"/>
    <cellStyle name="표준 8 9 3 3 2 4" xfId="6479" xr:uid="{00000000-0005-0000-0000-00001B1C0000}"/>
    <cellStyle name="표준 8 9 3 3 3" xfId="3847" xr:uid="{00000000-0005-0000-0000-00001C1C0000}"/>
    <cellStyle name="표준 8 9 3 3 3 2" xfId="6997" xr:uid="{00000000-0005-0000-0000-00001D1C0000}"/>
    <cellStyle name="표준 8 9 3 3 4" xfId="4894" xr:uid="{00000000-0005-0000-0000-00001E1C0000}"/>
    <cellStyle name="표준 8 9 3 3 4 2" xfId="8044" xr:uid="{00000000-0005-0000-0000-00001F1C0000}"/>
    <cellStyle name="표준 8 9 3 3 5" xfId="5950" xr:uid="{00000000-0005-0000-0000-0000201C0000}"/>
    <cellStyle name="표준 8 9 3 4" xfId="3071" xr:uid="{00000000-0005-0000-0000-0000211C0000}"/>
    <cellStyle name="표준 8 9 3 4 2" xfId="4118" xr:uid="{00000000-0005-0000-0000-0000221C0000}"/>
    <cellStyle name="표준 8 9 3 4 2 2" xfId="7268" xr:uid="{00000000-0005-0000-0000-0000231C0000}"/>
    <cellStyle name="표준 8 9 3 4 3" xfId="5156" xr:uid="{00000000-0005-0000-0000-0000241C0000}"/>
    <cellStyle name="표준 8 9 3 4 3 2" xfId="8305" xr:uid="{00000000-0005-0000-0000-0000251C0000}"/>
    <cellStyle name="표준 8 9 3 4 4" xfId="6221" xr:uid="{00000000-0005-0000-0000-0000261C0000}"/>
    <cellStyle name="표준 8 9 3 5" xfId="3589" xr:uid="{00000000-0005-0000-0000-0000271C0000}"/>
    <cellStyle name="표준 8 9 3 5 2" xfId="6739" xr:uid="{00000000-0005-0000-0000-0000281C0000}"/>
    <cellStyle name="표준 8 9 3 6" xfId="4636" xr:uid="{00000000-0005-0000-0000-0000291C0000}"/>
    <cellStyle name="표준 8 9 3 6 2" xfId="7786" xr:uid="{00000000-0005-0000-0000-00002A1C0000}"/>
    <cellStyle name="표준 8 9 3 7" xfId="5692" xr:uid="{00000000-0005-0000-0000-00002B1C0000}"/>
    <cellStyle name="표준 8 9 4" xfId="2600" xr:uid="{00000000-0005-0000-0000-00002C1C0000}"/>
    <cellStyle name="표준 8 9 4 2" xfId="2952" xr:uid="{00000000-0005-0000-0000-00002D1C0000}"/>
    <cellStyle name="표준 8 9 4 2 2" xfId="3490" xr:uid="{00000000-0005-0000-0000-00002E1C0000}"/>
    <cellStyle name="표준 8 9 4 2 2 2" xfId="4537" xr:uid="{00000000-0005-0000-0000-00002F1C0000}"/>
    <cellStyle name="표준 8 9 4 2 2 2 2" xfId="7687" xr:uid="{00000000-0005-0000-0000-0000301C0000}"/>
    <cellStyle name="표준 8 9 4 2 2 3" xfId="5575" xr:uid="{00000000-0005-0000-0000-0000311C0000}"/>
    <cellStyle name="표준 8 9 4 2 2 3 2" xfId="8724" xr:uid="{00000000-0005-0000-0000-0000321C0000}"/>
    <cellStyle name="표준 8 9 4 2 2 4" xfId="6640" xr:uid="{00000000-0005-0000-0000-0000331C0000}"/>
    <cellStyle name="표준 8 9 4 2 3" xfId="4008" xr:uid="{00000000-0005-0000-0000-0000341C0000}"/>
    <cellStyle name="표준 8 9 4 2 3 2" xfId="7158" xr:uid="{00000000-0005-0000-0000-0000351C0000}"/>
    <cellStyle name="표준 8 9 4 2 4" xfId="5055" xr:uid="{00000000-0005-0000-0000-0000361C0000}"/>
    <cellStyle name="표준 8 9 4 2 4 2" xfId="8205" xr:uid="{00000000-0005-0000-0000-0000371C0000}"/>
    <cellStyle name="표준 8 9 4 2 5" xfId="6111" xr:uid="{00000000-0005-0000-0000-0000381C0000}"/>
    <cellStyle name="표준 8 9 4 3" xfId="3138" xr:uid="{00000000-0005-0000-0000-0000391C0000}"/>
    <cellStyle name="표준 8 9 4 3 2" xfId="4185" xr:uid="{00000000-0005-0000-0000-00003A1C0000}"/>
    <cellStyle name="표준 8 9 4 3 2 2" xfId="7335" xr:uid="{00000000-0005-0000-0000-00003B1C0000}"/>
    <cellStyle name="표준 8 9 4 3 3" xfId="5223" xr:uid="{00000000-0005-0000-0000-00003C1C0000}"/>
    <cellStyle name="표준 8 9 4 3 3 2" xfId="8372" xr:uid="{00000000-0005-0000-0000-00003D1C0000}"/>
    <cellStyle name="표준 8 9 4 3 4" xfId="6288" xr:uid="{00000000-0005-0000-0000-00003E1C0000}"/>
    <cellStyle name="표준 8 9 4 4" xfId="3656" xr:uid="{00000000-0005-0000-0000-00003F1C0000}"/>
    <cellStyle name="표준 8 9 4 4 2" xfId="6806" xr:uid="{00000000-0005-0000-0000-0000401C0000}"/>
    <cellStyle name="표준 8 9 4 5" xfId="4703" xr:uid="{00000000-0005-0000-0000-0000411C0000}"/>
    <cellStyle name="표준 8 9 4 5 2" xfId="7853" xr:uid="{00000000-0005-0000-0000-0000421C0000}"/>
    <cellStyle name="표준 8 9 4 6" xfId="5759" xr:uid="{00000000-0005-0000-0000-0000431C0000}"/>
    <cellStyle name="표준 8 9 5" xfId="2729" xr:uid="{00000000-0005-0000-0000-0000441C0000}"/>
    <cellStyle name="표준 8 9 5 2" xfId="3267" xr:uid="{00000000-0005-0000-0000-0000451C0000}"/>
    <cellStyle name="표준 8 9 5 2 2" xfId="4314" xr:uid="{00000000-0005-0000-0000-0000461C0000}"/>
    <cellStyle name="표준 8 9 5 2 2 2" xfId="7464" xr:uid="{00000000-0005-0000-0000-0000471C0000}"/>
    <cellStyle name="표준 8 9 5 2 3" xfId="5352" xr:uid="{00000000-0005-0000-0000-0000481C0000}"/>
    <cellStyle name="표준 8 9 5 2 3 2" xfId="8501" xr:uid="{00000000-0005-0000-0000-0000491C0000}"/>
    <cellStyle name="표준 8 9 5 2 4" xfId="6417" xr:uid="{00000000-0005-0000-0000-00004A1C0000}"/>
    <cellStyle name="표준 8 9 5 3" xfId="3785" xr:uid="{00000000-0005-0000-0000-00004B1C0000}"/>
    <cellStyle name="표준 8 9 5 3 2" xfId="6935" xr:uid="{00000000-0005-0000-0000-00004C1C0000}"/>
    <cellStyle name="표준 8 9 5 4" xfId="4832" xr:uid="{00000000-0005-0000-0000-00004D1C0000}"/>
    <cellStyle name="표준 8 9 5 4 2" xfId="7982" xr:uid="{00000000-0005-0000-0000-00004E1C0000}"/>
    <cellStyle name="표준 8 9 5 5" xfId="5888" xr:uid="{00000000-0005-0000-0000-00004F1C0000}"/>
    <cellStyle name="표준 8 9 6" xfId="3009" xr:uid="{00000000-0005-0000-0000-0000501C0000}"/>
    <cellStyle name="표준 8 9 6 2" xfId="4056" xr:uid="{00000000-0005-0000-0000-0000511C0000}"/>
    <cellStyle name="표준 8 9 6 2 2" xfId="7206" xr:uid="{00000000-0005-0000-0000-0000521C0000}"/>
    <cellStyle name="표준 8 9 6 3" xfId="5094" xr:uid="{00000000-0005-0000-0000-0000531C0000}"/>
    <cellStyle name="표준 8 9 6 3 2" xfId="8243" xr:uid="{00000000-0005-0000-0000-0000541C0000}"/>
    <cellStyle name="표준 8 9 6 4" xfId="6159" xr:uid="{00000000-0005-0000-0000-0000551C0000}"/>
    <cellStyle name="표준 8 9 7" xfId="3527" xr:uid="{00000000-0005-0000-0000-0000561C0000}"/>
    <cellStyle name="표준 8 9 7 2" xfId="6677" xr:uid="{00000000-0005-0000-0000-0000571C0000}"/>
    <cellStyle name="표준 8 9 8" xfId="4574" xr:uid="{00000000-0005-0000-0000-0000581C0000}"/>
    <cellStyle name="표준 8 9 8 2" xfId="7724" xr:uid="{00000000-0005-0000-0000-0000591C0000}"/>
    <cellStyle name="표준 8 9 9" xfId="5630" xr:uid="{00000000-0005-0000-0000-00005A1C0000}"/>
    <cellStyle name="표준 9" xfId="409" xr:uid="{00000000-0005-0000-0000-00005B1C0000}"/>
    <cellStyle name="표준 9 10" xfId="1869" xr:uid="{00000000-0005-0000-0000-00005C1C0000}"/>
    <cellStyle name="표준 9 10 2" xfId="2659" xr:uid="{00000000-0005-0000-0000-00005D1C0000}"/>
    <cellStyle name="표준 9 10 2 2" xfId="2953" xr:uid="{00000000-0005-0000-0000-00005E1C0000}"/>
    <cellStyle name="표준 9 10 2 2 2" xfId="3491" xr:uid="{00000000-0005-0000-0000-00005F1C0000}"/>
    <cellStyle name="표준 9 10 2 2 2 2" xfId="4538" xr:uid="{00000000-0005-0000-0000-0000601C0000}"/>
    <cellStyle name="표준 9 10 2 2 2 2 2" xfId="7688" xr:uid="{00000000-0005-0000-0000-0000611C0000}"/>
    <cellStyle name="표준 9 10 2 2 2 3" xfId="5576" xr:uid="{00000000-0005-0000-0000-0000621C0000}"/>
    <cellStyle name="표준 9 10 2 2 2 3 2" xfId="8725" xr:uid="{00000000-0005-0000-0000-0000631C0000}"/>
    <cellStyle name="표준 9 10 2 2 2 4" xfId="6641" xr:uid="{00000000-0005-0000-0000-0000641C0000}"/>
    <cellStyle name="표준 9 10 2 2 3" xfId="4009" xr:uid="{00000000-0005-0000-0000-0000651C0000}"/>
    <cellStyle name="표준 9 10 2 2 3 2" xfId="7159" xr:uid="{00000000-0005-0000-0000-0000661C0000}"/>
    <cellStyle name="표준 9 10 2 2 4" xfId="5056" xr:uid="{00000000-0005-0000-0000-0000671C0000}"/>
    <cellStyle name="표준 9 10 2 2 4 2" xfId="8206" xr:uid="{00000000-0005-0000-0000-0000681C0000}"/>
    <cellStyle name="표준 9 10 2 2 5" xfId="6112" xr:uid="{00000000-0005-0000-0000-0000691C0000}"/>
    <cellStyle name="표준 9 10 2 3" xfId="3197" xr:uid="{00000000-0005-0000-0000-00006A1C0000}"/>
    <cellStyle name="표준 9 10 2 3 2" xfId="4244" xr:uid="{00000000-0005-0000-0000-00006B1C0000}"/>
    <cellStyle name="표준 9 10 2 3 2 2" xfId="7394" xr:uid="{00000000-0005-0000-0000-00006C1C0000}"/>
    <cellStyle name="표준 9 10 2 3 3" xfId="5282" xr:uid="{00000000-0005-0000-0000-00006D1C0000}"/>
    <cellStyle name="표준 9 10 2 3 3 2" xfId="8431" xr:uid="{00000000-0005-0000-0000-00006E1C0000}"/>
    <cellStyle name="표준 9 10 2 3 4" xfId="6347" xr:uid="{00000000-0005-0000-0000-00006F1C0000}"/>
    <cellStyle name="표준 9 10 2 4" xfId="3715" xr:uid="{00000000-0005-0000-0000-0000701C0000}"/>
    <cellStyle name="표준 9 10 2 4 2" xfId="6865" xr:uid="{00000000-0005-0000-0000-0000711C0000}"/>
    <cellStyle name="표준 9 10 2 5" xfId="4762" xr:uid="{00000000-0005-0000-0000-0000721C0000}"/>
    <cellStyle name="표준 9 10 2 5 2" xfId="7912" xr:uid="{00000000-0005-0000-0000-0000731C0000}"/>
    <cellStyle name="표준 9 10 2 6" xfId="5818" xr:uid="{00000000-0005-0000-0000-0000741C0000}"/>
    <cellStyle name="표준 9 10 3" xfId="2788" xr:uid="{00000000-0005-0000-0000-0000751C0000}"/>
    <cellStyle name="표준 9 10 3 2" xfId="3326" xr:uid="{00000000-0005-0000-0000-0000761C0000}"/>
    <cellStyle name="표준 9 10 3 2 2" xfId="4373" xr:uid="{00000000-0005-0000-0000-0000771C0000}"/>
    <cellStyle name="표준 9 10 3 2 2 2" xfId="7523" xr:uid="{00000000-0005-0000-0000-0000781C0000}"/>
    <cellStyle name="표준 9 10 3 2 3" xfId="5411" xr:uid="{00000000-0005-0000-0000-0000791C0000}"/>
    <cellStyle name="표준 9 10 3 2 3 2" xfId="8560" xr:uid="{00000000-0005-0000-0000-00007A1C0000}"/>
    <cellStyle name="표준 9 10 3 2 4" xfId="6476" xr:uid="{00000000-0005-0000-0000-00007B1C0000}"/>
    <cellStyle name="표준 9 10 3 3" xfId="3844" xr:uid="{00000000-0005-0000-0000-00007C1C0000}"/>
    <cellStyle name="표준 9 10 3 3 2" xfId="6994" xr:uid="{00000000-0005-0000-0000-00007D1C0000}"/>
    <cellStyle name="표준 9 10 3 4" xfId="4891" xr:uid="{00000000-0005-0000-0000-00007E1C0000}"/>
    <cellStyle name="표준 9 10 3 4 2" xfId="8041" xr:uid="{00000000-0005-0000-0000-00007F1C0000}"/>
    <cellStyle name="표준 9 10 3 5" xfId="5947" xr:uid="{00000000-0005-0000-0000-0000801C0000}"/>
    <cellStyle name="표준 9 10 4" xfId="3068" xr:uid="{00000000-0005-0000-0000-0000811C0000}"/>
    <cellStyle name="표준 9 10 4 2" xfId="4115" xr:uid="{00000000-0005-0000-0000-0000821C0000}"/>
    <cellStyle name="표준 9 10 4 2 2" xfId="7265" xr:uid="{00000000-0005-0000-0000-0000831C0000}"/>
    <cellStyle name="표준 9 10 4 3" xfId="5153" xr:uid="{00000000-0005-0000-0000-0000841C0000}"/>
    <cellStyle name="표준 9 10 4 3 2" xfId="8302" xr:uid="{00000000-0005-0000-0000-0000851C0000}"/>
    <cellStyle name="표준 9 10 4 4" xfId="6218" xr:uid="{00000000-0005-0000-0000-0000861C0000}"/>
    <cellStyle name="표준 9 10 5" xfId="3586" xr:uid="{00000000-0005-0000-0000-0000871C0000}"/>
    <cellStyle name="표준 9 10 5 2" xfId="6736" xr:uid="{00000000-0005-0000-0000-0000881C0000}"/>
    <cellStyle name="표준 9 10 6" xfId="4633" xr:uid="{00000000-0005-0000-0000-0000891C0000}"/>
    <cellStyle name="표준 9 10 6 2" xfId="7783" xr:uid="{00000000-0005-0000-0000-00008A1C0000}"/>
    <cellStyle name="표준 9 10 7" xfId="5689" xr:uid="{00000000-0005-0000-0000-00008B1C0000}"/>
    <cellStyle name="표준 9 11" xfId="1902" xr:uid="{00000000-0005-0000-0000-00008C1C0000}"/>
    <cellStyle name="표준 9 11 2" xfId="2692" xr:uid="{00000000-0005-0000-0000-00008D1C0000}"/>
    <cellStyle name="표준 9 11 2 2" xfId="2954" xr:uid="{00000000-0005-0000-0000-00008E1C0000}"/>
    <cellStyle name="표준 9 11 2 2 2" xfId="3492" xr:uid="{00000000-0005-0000-0000-00008F1C0000}"/>
    <cellStyle name="표준 9 11 2 2 2 2" xfId="4539" xr:uid="{00000000-0005-0000-0000-0000901C0000}"/>
    <cellStyle name="표준 9 11 2 2 2 2 2" xfId="7689" xr:uid="{00000000-0005-0000-0000-0000911C0000}"/>
    <cellStyle name="표준 9 11 2 2 2 3" xfId="5577" xr:uid="{00000000-0005-0000-0000-0000921C0000}"/>
    <cellStyle name="표준 9 11 2 2 2 3 2" xfId="8726" xr:uid="{00000000-0005-0000-0000-0000931C0000}"/>
    <cellStyle name="표준 9 11 2 2 2 4" xfId="6642" xr:uid="{00000000-0005-0000-0000-0000941C0000}"/>
    <cellStyle name="표준 9 11 2 2 3" xfId="4010" xr:uid="{00000000-0005-0000-0000-0000951C0000}"/>
    <cellStyle name="표준 9 11 2 2 3 2" xfId="7160" xr:uid="{00000000-0005-0000-0000-0000961C0000}"/>
    <cellStyle name="표준 9 11 2 2 4" xfId="5057" xr:uid="{00000000-0005-0000-0000-0000971C0000}"/>
    <cellStyle name="표준 9 11 2 2 4 2" xfId="8207" xr:uid="{00000000-0005-0000-0000-0000981C0000}"/>
    <cellStyle name="표준 9 11 2 2 5" xfId="6113" xr:uid="{00000000-0005-0000-0000-0000991C0000}"/>
    <cellStyle name="표준 9 11 2 3" xfId="3230" xr:uid="{00000000-0005-0000-0000-00009A1C0000}"/>
    <cellStyle name="표준 9 11 2 3 2" xfId="4277" xr:uid="{00000000-0005-0000-0000-00009B1C0000}"/>
    <cellStyle name="표준 9 11 2 3 2 2" xfId="7427" xr:uid="{00000000-0005-0000-0000-00009C1C0000}"/>
    <cellStyle name="표준 9 11 2 3 3" xfId="5315" xr:uid="{00000000-0005-0000-0000-00009D1C0000}"/>
    <cellStyle name="표준 9 11 2 3 3 2" xfId="8464" xr:uid="{00000000-0005-0000-0000-00009E1C0000}"/>
    <cellStyle name="표준 9 11 2 3 4" xfId="6380" xr:uid="{00000000-0005-0000-0000-00009F1C0000}"/>
    <cellStyle name="표준 9 11 2 4" xfId="3748" xr:uid="{00000000-0005-0000-0000-0000A01C0000}"/>
    <cellStyle name="표준 9 11 2 4 2" xfId="6898" xr:uid="{00000000-0005-0000-0000-0000A11C0000}"/>
    <cellStyle name="표준 9 11 2 5" xfId="4795" xr:uid="{00000000-0005-0000-0000-0000A21C0000}"/>
    <cellStyle name="표준 9 11 2 5 2" xfId="7945" xr:uid="{00000000-0005-0000-0000-0000A31C0000}"/>
    <cellStyle name="표준 9 11 2 6" xfId="5851" xr:uid="{00000000-0005-0000-0000-0000A41C0000}"/>
    <cellStyle name="표준 9 11 3" xfId="2821" xr:uid="{00000000-0005-0000-0000-0000A51C0000}"/>
    <cellStyle name="표준 9 11 3 2" xfId="3359" xr:uid="{00000000-0005-0000-0000-0000A61C0000}"/>
    <cellStyle name="표준 9 11 3 2 2" xfId="4406" xr:uid="{00000000-0005-0000-0000-0000A71C0000}"/>
    <cellStyle name="표준 9 11 3 2 2 2" xfId="7556" xr:uid="{00000000-0005-0000-0000-0000A81C0000}"/>
    <cellStyle name="표준 9 11 3 2 3" xfId="5444" xr:uid="{00000000-0005-0000-0000-0000A91C0000}"/>
    <cellStyle name="표준 9 11 3 2 3 2" xfId="8593" xr:uid="{00000000-0005-0000-0000-0000AA1C0000}"/>
    <cellStyle name="표준 9 11 3 2 4" xfId="6509" xr:uid="{00000000-0005-0000-0000-0000AB1C0000}"/>
    <cellStyle name="표준 9 11 3 3" xfId="3877" xr:uid="{00000000-0005-0000-0000-0000AC1C0000}"/>
    <cellStyle name="표준 9 11 3 3 2" xfId="7027" xr:uid="{00000000-0005-0000-0000-0000AD1C0000}"/>
    <cellStyle name="표준 9 11 3 4" xfId="4924" xr:uid="{00000000-0005-0000-0000-0000AE1C0000}"/>
    <cellStyle name="표준 9 11 3 4 2" xfId="8074" xr:uid="{00000000-0005-0000-0000-0000AF1C0000}"/>
    <cellStyle name="표준 9 11 3 5" xfId="5980" xr:uid="{00000000-0005-0000-0000-0000B01C0000}"/>
    <cellStyle name="표준 9 11 4" xfId="3101" xr:uid="{00000000-0005-0000-0000-0000B11C0000}"/>
    <cellStyle name="표준 9 11 4 2" xfId="4148" xr:uid="{00000000-0005-0000-0000-0000B21C0000}"/>
    <cellStyle name="표준 9 11 4 2 2" xfId="7298" xr:uid="{00000000-0005-0000-0000-0000B31C0000}"/>
    <cellStyle name="표준 9 11 4 3" xfId="5186" xr:uid="{00000000-0005-0000-0000-0000B41C0000}"/>
    <cellStyle name="표준 9 11 4 3 2" xfId="8335" xr:uid="{00000000-0005-0000-0000-0000B51C0000}"/>
    <cellStyle name="표준 9 11 4 4" xfId="6251" xr:uid="{00000000-0005-0000-0000-0000B61C0000}"/>
    <cellStyle name="표준 9 11 5" xfId="3619" xr:uid="{00000000-0005-0000-0000-0000B71C0000}"/>
    <cellStyle name="표준 9 11 5 2" xfId="6769" xr:uid="{00000000-0005-0000-0000-0000B81C0000}"/>
    <cellStyle name="표준 9 11 6" xfId="4666" xr:uid="{00000000-0005-0000-0000-0000B91C0000}"/>
    <cellStyle name="표준 9 11 6 2" xfId="7816" xr:uid="{00000000-0005-0000-0000-0000BA1C0000}"/>
    <cellStyle name="표준 9 11 7" xfId="5722" xr:uid="{00000000-0005-0000-0000-0000BB1C0000}"/>
    <cellStyle name="표준 9 12" xfId="1840" xr:uid="{00000000-0005-0000-0000-0000BC1C0000}"/>
    <cellStyle name="표준 9 12 2" xfId="2630" xr:uid="{00000000-0005-0000-0000-0000BD1C0000}"/>
    <cellStyle name="표준 9 12 2 2" xfId="2955" xr:uid="{00000000-0005-0000-0000-0000BE1C0000}"/>
    <cellStyle name="표준 9 12 2 2 2" xfId="3493" xr:uid="{00000000-0005-0000-0000-0000BF1C0000}"/>
    <cellStyle name="표준 9 12 2 2 2 2" xfId="4540" xr:uid="{00000000-0005-0000-0000-0000C01C0000}"/>
    <cellStyle name="표준 9 12 2 2 2 2 2" xfId="7690" xr:uid="{00000000-0005-0000-0000-0000C11C0000}"/>
    <cellStyle name="표준 9 12 2 2 2 3" xfId="5578" xr:uid="{00000000-0005-0000-0000-0000C21C0000}"/>
    <cellStyle name="표준 9 12 2 2 2 3 2" xfId="8727" xr:uid="{00000000-0005-0000-0000-0000C31C0000}"/>
    <cellStyle name="표준 9 12 2 2 2 4" xfId="6643" xr:uid="{00000000-0005-0000-0000-0000C41C0000}"/>
    <cellStyle name="표준 9 12 2 2 3" xfId="4011" xr:uid="{00000000-0005-0000-0000-0000C51C0000}"/>
    <cellStyle name="표준 9 12 2 2 3 2" xfId="7161" xr:uid="{00000000-0005-0000-0000-0000C61C0000}"/>
    <cellStyle name="표준 9 12 2 2 4" xfId="5058" xr:uid="{00000000-0005-0000-0000-0000C71C0000}"/>
    <cellStyle name="표준 9 12 2 2 4 2" xfId="8208" xr:uid="{00000000-0005-0000-0000-0000C81C0000}"/>
    <cellStyle name="표준 9 12 2 2 5" xfId="6114" xr:uid="{00000000-0005-0000-0000-0000C91C0000}"/>
    <cellStyle name="표준 9 12 2 3" xfId="3168" xr:uid="{00000000-0005-0000-0000-0000CA1C0000}"/>
    <cellStyle name="표준 9 12 2 3 2" xfId="4215" xr:uid="{00000000-0005-0000-0000-0000CB1C0000}"/>
    <cellStyle name="표준 9 12 2 3 2 2" xfId="7365" xr:uid="{00000000-0005-0000-0000-0000CC1C0000}"/>
    <cellStyle name="표준 9 12 2 3 3" xfId="5253" xr:uid="{00000000-0005-0000-0000-0000CD1C0000}"/>
    <cellStyle name="표준 9 12 2 3 3 2" xfId="8402" xr:uid="{00000000-0005-0000-0000-0000CE1C0000}"/>
    <cellStyle name="표준 9 12 2 3 4" xfId="6318" xr:uid="{00000000-0005-0000-0000-0000CF1C0000}"/>
    <cellStyle name="표준 9 12 2 4" xfId="3686" xr:uid="{00000000-0005-0000-0000-0000D01C0000}"/>
    <cellStyle name="표준 9 12 2 4 2" xfId="6836" xr:uid="{00000000-0005-0000-0000-0000D11C0000}"/>
    <cellStyle name="표준 9 12 2 5" xfId="4733" xr:uid="{00000000-0005-0000-0000-0000D21C0000}"/>
    <cellStyle name="표준 9 12 2 5 2" xfId="7883" xr:uid="{00000000-0005-0000-0000-0000D31C0000}"/>
    <cellStyle name="표준 9 12 2 6" xfId="5789" xr:uid="{00000000-0005-0000-0000-0000D41C0000}"/>
    <cellStyle name="표준 9 12 3" xfId="2759" xr:uid="{00000000-0005-0000-0000-0000D51C0000}"/>
    <cellStyle name="표준 9 12 3 2" xfId="3297" xr:uid="{00000000-0005-0000-0000-0000D61C0000}"/>
    <cellStyle name="표준 9 12 3 2 2" xfId="4344" xr:uid="{00000000-0005-0000-0000-0000D71C0000}"/>
    <cellStyle name="표준 9 12 3 2 2 2" xfId="7494" xr:uid="{00000000-0005-0000-0000-0000D81C0000}"/>
    <cellStyle name="표준 9 12 3 2 3" xfId="5382" xr:uid="{00000000-0005-0000-0000-0000D91C0000}"/>
    <cellStyle name="표준 9 12 3 2 3 2" xfId="8531" xr:uid="{00000000-0005-0000-0000-0000DA1C0000}"/>
    <cellStyle name="표준 9 12 3 2 4" xfId="6447" xr:uid="{00000000-0005-0000-0000-0000DB1C0000}"/>
    <cellStyle name="표준 9 12 3 3" xfId="3815" xr:uid="{00000000-0005-0000-0000-0000DC1C0000}"/>
    <cellStyle name="표준 9 12 3 3 2" xfId="6965" xr:uid="{00000000-0005-0000-0000-0000DD1C0000}"/>
    <cellStyle name="표준 9 12 3 4" xfId="4862" xr:uid="{00000000-0005-0000-0000-0000DE1C0000}"/>
    <cellStyle name="표준 9 12 3 4 2" xfId="8012" xr:uid="{00000000-0005-0000-0000-0000DF1C0000}"/>
    <cellStyle name="표준 9 12 3 5" xfId="5918" xr:uid="{00000000-0005-0000-0000-0000E01C0000}"/>
    <cellStyle name="표준 9 12 4" xfId="3039" xr:uid="{00000000-0005-0000-0000-0000E11C0000}"/>
    <cellStyle name="표준 9 12 4 2" xfId="4086" xr:uid="{00000000-0005-0000-0000-0000E21C0000}"/>
    <cellStyle name="표준 9 12 4 2 2" xfId="7236" xr:uid="{00000000-0005-0000-0000-0000E31C0000}"/>
    <cellStyle name="표준 9 12 4 3" xfId="5124" xr:uid="{00000000-0005-0000-0000-0000E41C0000}"/>
    <cellStyle name="표준 9 12 4 3 2" xfId="8273" xr:uid="{00000000-0005-0000-0000-0000E51C0000}"/>
    <cellStyle name="표준 9 12 4 4" xfId="6189" xr:uid="{00000000-0005-0000-0000-0000E61C0000}"/>
    <cellStyle name="표준 9 12 5" xfId="3557" xr:uid="{00000000-0005-0000-0000-0000E71C0000}"/>
    <cellStyle name="표준 9 12 5 2" xfId="6707" xr:uid="{00000000-0005-0000-0000-0000E81C0000}"/>
    <cellStyle name="표준 9 12 6" xfId="4604" xr:uid="{00000000-0005-0000-0000-0000E91C0000}"/>
    <cellStyle name="표준 9 12 6 2" xfId="7754" xr:uid="{00000000-0005-0000-0000-0000EA1C0000}"/>
    <cellStyle name="표준 9 12 7" xfId="5660" xr:uid="{00000000-0005-0000-0000-0000EB1C0000}"/>
    <cellStyle name="표준 9 13" xfId="2593" xr:uid="{00000000-0005-0000-0000-0000EC1C0000}"/>
    <cellStyle name="표준 9 14" xfId="2597" xr:uid="{00000000-0005-0000-0000-0000ED1C0000}"/>
    <cellStyle name="표준 9 14 2" xfId="2956" xr:uid="{00000000-0005-0000-0000-0000EE1C0000}"/>
    <cellStyle name="표준 9 14 2 2" xfId="3494" xr:uid="{00000000-0005-0000-0000-0000EF1C0000}"/>
    <cellStyle name="표준 9 14 2 2 2" xfId="4541" xr:uid="{00000000-0005-0000-0000-0000F01C0000}"/>
    <cellStyle name="표준 9 14 2 2 2 2" xfId="7691" xr:uid="{00000000-0005-0000-0000-0000F11C0000}"/>
    <cellStyle name="표준 9 14 2 2 3" xfId="5579" xr:uid="{00000000-0005-0000-0000-0000F21C0000}"/>
    <cellStyle name="표준 9 14 2 2 3 2" xfId="8728" xr:uid="{00000000-0005-0000-0000-0000F31C0000}"/>
    <cellStyle name="표준 9 14 2 2 4" xfId="6644" xr:uid="{00000000-0005-0000-0000-0000F41C0000}"/>
    <cellStyle name="표준 9 14 2 3" xfId="4012" xr:uid="{00000000-0005-0000-0000-0000F51C0000}"/>
    <cellStyle name="표준 9 14 2 3 2" xfId="7162" xr:uid="{00000000-0005-0000-0000-0000F61C0000}"/>
    <cellStyle name="표준 9 14 2 4" xfId="5059" xr:uid="{00000000-0005-0000-0000-0000F71C0000}"/>
    <cellStyle name="표준 9 14 2 4 2" xfId="8209" xr:uid="{00000000-0005-0000-0000-0000F81C0000}"/>
    <cellStyle name="표준 9 14 2 5" xfId="6115" xr:uid="{00000000-0005-0000-0000-0000F91C0000}"/>
    <cellStyle name="표준 9 14 3" xfId="3135" xr:uid="{00000000-0005-0000-0000-0000FA1C0000}"/>
    <cellStyle name="표준 9 14 3 2" xfId="4182" xr:uid="{00000000-0005-0000-0000-0000FB1C0000}"/>
    <cellStyle name="표준 9 14 3 2 2" xfId="7332" xr:uid="{00000000-0005-0000-0000-0000FC1C0000}"/>
    <cellStyle name="표준 9 14 3 3" xfId="5220" xr:uid="{00000000-0005-0000-0000-0000FD1C0000}"/>
    <cellStyle name="표준 9 14 3 3 2" xfId="8369" xr:uid="{00000000-0005-0000-0000-0000FE1C0000}"/>
    <cellStyle name="표준 9 14 3 4" xfId="6285" xr:uid="{00000000-0005-0000-0000-0000FF1C0000}"/>
    <cellStyle name="표준 9 14 4" xfId="3653" xr:uid="{00000000-0005-0000-0000-0000001D0000}"/>
    <cellStyle name="표준 9 14 4 2" xfId="6803" xr:uid="{00000000-0005-0000-0000-0000011D0000}"/>
    <cellStyle name="표준 9 14 5" xfId="4700" xr:uid="{00000000-0005-0000-0000-0000021D0000}"/>
    <cellStyle name="표준 9 14 5 2" xfId="7850" xr:uid="{00000000-0005-0000-0000-0000031D0000}"/>
    <cellStyle name="표준 9 14 6" xfId="5756" xr:uid="{00000000-0005-0000-0000-0000041D0000}"/>
    <cellStyle name="표준 9 15" xfId="2726" xr:uid="{00000000-0005-0000-0000-0000051D0000}"/>
    <cellStyle name="표준 9 15 2" xfId="3264" xr:uid="{00000000-0005-0000-0000-0000061D0000}"/>
    <cellStyle name="표준 9 15 2 2" xfId="4311" xr:uid="{00000000-0005-0000-0000-0000071D0000}"/>
    <cellStyle name="표준 9 15 2 2 2" xfId="7461" xr:uid="{00000000-0005-0000-0000-0000081D0000}"/>
    <cellStyle name="표준 9 15 2 3" xfId="5349" xr:uid="{00000000-0005-0000-0000-0000091D0000}"/>
    <cellStyle name="표준 9 15 2 3 2" xfId="8498" xr:uid="{00000000-0005-0000-0000-00000A1D0000}"/>
    <cellStyle name="표준 9 15 2 4" xfId="6414" xr:uid="{00000000-0005-0000-0000-00000B1D0000}"/>
    <cellStyle name="표준 9 15 3" xfId="3782" xr:uid="{00000000-0005-0000-0000-00000C1D0000}"/>
    <cellStyle name="표준 9 15 3 2" xfId="6932" xr:uid="{00000000-0005-0000-0000-00000D1D0000}"/>
    <cellStyle name="표준 9 15 4" xfId="4829" xr:uid="{00000000-0005-0000-0000-00000E1D0000}"/>
    <cellStyle name="표준 9 15 4 2" xfId="7979" xr:uid="{00000000-0005-0000-0000-00000F1D0000}"/>
    <cellStyle name="표준 9 15 5" xfId="5885" xr:uid="{00000000-0005-0000-0000-0000101D0000}"/>
    <cellStyle name="표준 9 16" xfId="3006" xr:uid="{00000000-0005-0000-0000-0000111D0000}"/>
    <cellStyle name="표준 9 16 2" xfId="4053" xr:uid="{00000000-0005-0000-0000-0000121D0000}"/>
    <cellStyle name="표준 9 16 2 2" xfId="7203" xr:uid="{00000000-0005-0000-0000-0000131D0000}"/>
    <cellStyle name="표준 9 16 3" xfId="5091" xr:uid="{00000000-0005-0000-0000-0000141D0000}"/>
    <cellStyle name="표준 9 16 3 2" xfId="8240" xr:uid="{00000000-0005-0000-0000-0000151D0000}"/>
    <cellStyle name="표준 9 16 4" xfId="6156" xr:uid="{00000000-0005-0000-0000-0000161D0000}"/>
    <cellStyle name="표준 9 17" xfId="3524" xr:uid="{00000000-0005-0000-0000-0000171D0000}"/>
    <cellStyle name="표준 9 17 2" xfId="6674" xr:uid="{00000000-0005-0000-0000-0000181D0000}"/>
    <cellStyle name="표준 9 18" xfId="4571" xr:uid="{00000000-0005-0000-0000-0000191D0000}"/>
    <cellStyle name="표준 9 18 2" xfId="7721" xr:uid="{00000000-0005-0000-0000-00001A1D0000}"/>
    <cellStyle name="표준 9 19" xfId="5627" xr:uid="{00000000-0005-0000-0000-00001B1D0000}"/>
    <cellStyle name="표준 9 2" xfId="460" xr:uid="{00000000-0005-0000-0000-00001C1D0000}"/>
    <cellStyle name="표준 9 2 10" xfId="5635" xr:uid="{00000000-0005-0000-0000-00001D1D0000}"/>
    <cellStyle name="표준 9 2 2" xfId="1877" xr:uid="{00000000-0005-0000-0000-00001E1D0000}"/>
    <cellStyle name="표준 9 2 2 2" xfId="2667" xr:uid="{00000000-0005-0000-0000-00001F1D0000}"/>
    <cellStyle name="표준 9 2 2 2 2" xfId="2957" xr:uid="{00000000-0005-0000-0000-0000201D0000}"/>
    <cellStyle name="표준 9 2 2 2 2 2" xfId="3495" xr:uid="{00000000-0005-0000-0000-0000211D0000}"/>
    <cellStyle name="표준 9 2 2 2 2 2 2" xfId="4542" xr:uid="{00000000-0005-0000-0000-0000221D0000}"/>
    <cellStyle name="표준 9 2 2 2 2 2 2 2" xfId="7692" xr:uid="{00000000-0005-0000-0000-0000231D0000}"/>
    <cellStyle name="표준 9 2 2 2 2 2 3" xfId="5580" xr:uid="{00000000-0005-0000-0000-0000241D0000}"/>
    <cellStyle name="표준 9 2 2 2 2 2 3 2" xfId="8729" xr:uid="{00000000-0005-0000-0000-0000251D0000}"/>
    <cellStyle name="표준 9 2 2 2 2 2 4" xfId="6645" xr:uid="{00000000-0005-0000-0000-0000261D0000}"/>
    <cellStyle name="표준 9 2 2 2 2 3" xfId="4013" xr:uid="{00000000-0005-0000-0000-0000271D0000}"/>
    <cellStyle name="표준 9 2 2 2 2 3 2" xfId="7163" xr:uid="{00000000-0005-0000-0000-0000281D0000}"/>
    <cellStyle name="표준 9 2 2 2 2 4" xfId="5060" xr:uid="{00000000-0005-0000-0000-0000291D0000}"/>
    <cellStyle name="표준 9 2 2 2 2 4 2" xfId="8210" xr:uid="{00000000-0005-0000-0000-00002A1D0000}"/>
    <cellStyle name="표준 9 2 2 2 2 5" xfId="6116" xr:uid="{00000000-0005-0000-0000-00002B1D0000}"/>
    <cellStyle name="표준 9 2 2 2 3" xfId="3205" xr:uid="{00000000-0005-0000-0000-00002C1D0000}"/>
    <cellStyle name="표준 9 2 2 2 3 2" xfId="4252" xr:uid="{00000000-0005-0000-0000-00002D1D0000}"/>
    <cellStyle name="표준 9 2 2 2 3 2 2" xfId="7402" xr:uid="{00000000-0005-0000-0000-00002E1D0000}"/>
    <cellStyle name="표준 9 2 2 2 3 3" xfId="5290" xr:uid="{00000000-0005-0000-0000-00002F1D0000}"/>
    <cellStyle name="표준 9 2 2 2 3 3 2" xfId="8439" xr:uid="{00000000-0005-0000-0000-0000301D0000}"/>
    <cellStyle name="표준 9 2 2 2 3 4" xfId="6355" xr:uid="{00000000-0005-0000-0000-0000311D0000}"/>
    <cellStyle name="표준 9 2 2 2 4" xfId="3723" xr:uid="{00000000-0005-0000-0000-0000321D0000}"/>
    <cellStyle name="표준 9 2 2 2 4 2" xfId="6873" xr:uid="{00000000-0005-0000-0000-0000331D0000}"/>
    <cellStyle name="표준 9 2 2 2 5" xfId="4770" xr:uid="{00000000-0005-0000-0000-0000341D0000}"/>
    <cellStyle name="표준 9 2 2 2 5 2" xfId="7920" xr:uid="{00000000-0005-0000-0000-0000351D0000}"/>
    <cellStyle name="표준 9 2 2 2 6" xfId="5826" xr:uid="{00000000-0005-0000-0000-0000361D0000}"/>
    <cellStyle name="표준 9 2 2 3" xfId="2796" xr:uid="{00000000-0005-0000-0000-0000371D0000}"/>
    <cellStyle name="표준 9 2 2 3 2" xfId="3334" xr:uid="{00000000-0005-0000-0000-0000381D0000}"/>
    <cellStyle name="표준 9 2 2 3 2 2" xfId="4381" xr:uid="{00000000-0005-0000-0000-0000391D0000}"/>
    <cellStyle name="표준 9 2 2 3 2 2 2" xfId="7531" xr:uid="{00000000-0005-0000-0000-00003A1D0000}"/>
    <cellStyle name="표준 9 2 2 3 2 3" xfId="5419" xr:uid="{00000000-0005-0000-0000-00003B1D0000}"/>
    <cellStyle name="표준 9 2 2 3 2 3 2" xfId="8568" xr:uid="{00000000-0005-0000-0000-00003C1D0000}"/>
    <cellStyle name="표준 9 2 2 3 2 4" xfId="6484" xr:uid="{00000000-0005-0000-0000-00003D1D0000}"/>
    <cellStyle name="표준 9 2 2 3 3" xfId="3852" xr:uid="{00000000-0005-0000-0000-00003E1D0000}"/>
    <cellStyle name="표준 9 2 2 3 3 2" xfId="7002" xr:uid="{00000000-0005-0000-0000-00003F1D0000}"/>
    <cellStyle name="표준 9 2 2 3 4" xfId="4899" xr:uid="{00000000-0005-0000-0000-0000401D0000}"/>
    <cellStyle name="표준 9 2 2 3 4 2" xfId="8049" xr:uid="{00000000-0005-0000-0000-0000411D0000}"/>
    <cellStyle name="표준 9 2 2 3 5" xfId="5955" xr:uid="{00000000-0005-0000-0000-0000421D0000}"/>
    <cellStyle name="표준 9 2 2 4" xfId="3076" xr:uid="{00000000-0005-0000-0000-0000431D0000}"/>
    <cellStyle name="표준 9 2 2 4 2" xfId="4123" xr:uid="{00000000-0005-0000-0000-0000441D0000}"/>
    <cellStyle name="표준 9 2 2 4 2 2" xfId="7273" xr:uid="{00000000-0005-0000-0000-0000451D0000}"/>
    <cellStyle name="표준 9 2 2 4 3" xfId="5161" xr:uid="{00000000-0005-0000-0000-0000461D0000}"/>
    <cellStyle name="표준 9 2 2 4 3 2" xfId="8310" xr:uid="{00000000-0005-0000-0000-0000471D0000}"/>
    <cellStyle name="표준 9 2 2 4 4" xfId="6226" xr:uid="{00000000-0005-0000-0000-0000481D0000}"/>
    <cellStyle name="표준 9 2 2 5" xfId="3594" xr:uid="{00000000-0005-0000-0000-0000491D0000}"/>
    <cellStyle name="표준 9 2 2 5 2" xfId="6744" xr:uid="{00000000-0005-0000-0000-00004A1D0000}"/>
    <cellStyle name="표준 9 2 2 6" xfId="4641" xr:uid="{00000000-0005-0000-0000-00004B1D0000}"/>
    <cellStyle name="표준 9 2 2 6 2" xfId="7791" xr:uid="{00000000-0005-0000-0000-00004C1D0000}"/>
    <cellStyle name="표준 9 2 2 7" xfId="5697" xr:uid="{00000000-0005-0000-0000-00004D1D0000}"/>
    <cellStyle name="표준 9 2 3" xfId="1910" xr:uid="{00000000-0005-0000-0000-00004E1D0000}"/>
    <cellStyle name="표준 9 2 3 2" xfId="2700" xr:uid="{00000000-0005-0000-0000-00004F1D0000}"/>
    <cellStyle name="표준 9 2 3 2 2" xfId="2958" xr:uid="{00000000-0005-0000-0000-0000501D0000}"/>
    <cellStyle name="표준 9 2 3 2 2 2" xfId="3496" xr:uid="{00000000-0005-0000-0000-0000511D0000}"/>
    <cellStyle name="표준 9 2 3 2 2 2 2" xfId="4543" xr:uid="{00000000-0005-0000-0000-0000521D0000}"/>
    <cellStyle name="표준 9 2 3 2 2 2 2 2" xfId="7693" xr:uid="{00000000-0005-0000-0000-0000531D0000}"/>
    <cellStyle name="표준 9 2 3 2 2 2 3" xfId="5581" xr:uid="{00000000-0005-0000-0000-0000541D0000}"/>
    <cellStyle name="표준 9 2 3 2 2 2 3 2" xfId="8730" xr:uid="{00000000-0005-0000-0000-0000551D0000}"/>
    <cellStyle name="표준 9 2 3 2 2 2 4" xfId="6646" xr:uid="{00000000-0005-0000-0000-0000561D0000}"/>
    <cellStyle name="표준 9 2 3 2 2 3" xfId="4014" xr:uid="{00000000-0005-0000-0000-0000571D0000}"/>
    <cellStyle name="표준 9 2 3 2 2 3 2" xfId="7164" xr:uid="{00000000-0005-0000-0000-0000581D0000}"/>
    <cellStyle name="표준 9 2 3 2 2 4" xfId="5061" xr:uid="{00000000-0005-0000-0000-0000591D0000}"/>
    <cellStyle name="표준 9 2 3 2 2 4 2" xfId="8211" xr:uid="{00000000-0005-0000-0000-00005A1D0000}"/>
    <cellStyle name="표준 9 2 3 2 2 5" xfId="6117" xr:uid="{00000000-0005-0000-0000-00005B1D0000}"/>
    <cellStyle name="표준 9 2 3 2 3" xfId="3238" xr:uid="{00000000-0005-0000-0000-00005C1D0000}"/>
    <cellStyle name="표준 9 2 3 2 3 2" xfId="4285" xr:uid="{00000000-0005-0000-0000-00005D1D0000}"/>
    <cellStyle name="표준 9 2 3 2 3 2 2" xfId="7435" xr:uid="{00000000-0005-0000-0000-00005E1D0000}"/>
    <cellStyle name="표준 9 2 3 2 3 3" xfId="5323" xr:uid="{00000000-0005-0000-0000-00005F1D0000}"/>
    <cellStyle name="표준 9 2 3 2 3 3 2" xfId="8472" xr:uid="{00000000-0005-0000-0000-0000601D0000}"/>
    <cellStyle name="표준 9 2 3 2 3 4" xfId="6388" xr:uid="{00000000-0005-0000-0000-0000611D0000}"/>
    <cellStyle name="표준 9 2 3 2 4" xfId="3756" xr:uid="{00000000-0005-0000-0000-0000621D0000}"/>
    <cellStyle name="표준 9 2 3 2 4 2" xfId="6906" xr:uid="{00000000-0005-0000-0000-0000631D0000}"/>
    <cellStyle name="표준 9 2 3 2 5" xfId="4803" xr:uid="{00000000-0005-0000-0000-0000641D0000}"/>
    <cellStyle name="표준 9 2 3 2 5 2" xfId="7953" xr:uid="{00000000-0005-0000-0000-0000651D0000}"/>
    <cellStyle name="표준 9 2 3 2 6" xfId="5859" xr:uid="{00000000-0005-0000-0000-0000661D0000}"/>
    <cellStyle name="표준 9 2 3 3" xfId="2829" xr:uid="{00000000-0005-0000-0000-0000671D0000}"/>
    <cellStyle name="표준 9 2 3 3 2" xfId="3367" xr:uid="{00000000-0005-0000-0000-0000681D0000}"/>
    <cellStyle name="표준 9 2 3 3 2 2" xfId="4414" xr:uid="{00000000-0005-0000-0000-0000691D0000}"/>
    <cellStyle name="표준 9 2 3 3 2 2 2" xfId="7564" xr:uid="{00000000-0005-0000-0000-00006A1D0000}"/>
    <cellStyle name="표준 9 2 3 3 2 3" xfId="5452" xr:uid="{00000000-0005-0000-0000-00006B1D0000}"/>
    <cellStyle name="표준 9 2 3 3 2 3 2" xfId="8601" xr:uid="{00000000-0005-0000-0000-00006C1D0000}"/>
    <cellStyle name="표준 9 2 3 3 2 4" xfId="6517" xr:uid="{00000000-0005-0000-0000-00006D1D0000}"/>
    <cellStyle name="표준 9 2 3 3 3" xfId="3885" xr:uid="{00000000-0005-0000-0000-00006E1D0000}"/>
    <cellStyle name="표준 9 2 3 3 3 2" xfId="7035" xr:uid="{00000000-0005-0000-0000-00006F1D0000}"/>
    <cellStyle name="표준 9 2 3 3 4" xfId="4932" xr:uid="{00000000-0005-0000-0000-0000701D0000}"/>
    <cellStyle name="표준 9 2 3 3 4 2" xfId="8082" xr:uid="{00000000-0005-0000-0000-0000711D0000}"/>
    <cellStyle name="표준 9 2 3 3 5" xfId="5988" xr:uid="{00000000-0005-0000-0000-0000721D0000}"/>
    <cellStyle name="표준 9 2 3 4" xfId="3109" xr:uid="{00000000-0005-0000-0000-0000731D0000}"/>
    <cellStyle name="표준 9 2 3 4 2" xfId="4156" xr:uid="{00000000-0005-0000-0000-0000741D0000}"/>
    <cellStyle name="표준 9 2 3 4 2 2" xfId="7306" xr:uid="{00000000-0005-0000-0000-0000751D0000}"/>
    <cellStyle name="표준 9 2 3 4 3" xfId="5194" xr:uid="{00000000-0005-0000-0000-0000761D0000}"/>
    <cellStyle name="표준 9 2 3 4 3 2" xfId="8343" xr:uid="{00000000-0005-0000-0000-0000771D0000}"/>
    <cellStyle name="표준 9 2 3 4 4" xfId="6259" xr:uid="{00000000-0005-0000-0000-0000781D0000}"/>
    <cellStyle name="표준 9 2 3 5" xfId="3627" xr:uid="{00000000-0005-0000-0000-0000791D0000}"/>
    <cellStyle name="표준 9 2 3 5 2" xfId="6777" xr:uid="{00000000-0005-0000-0000-00007A1D0000}"/>
    <cellStyle name="표준 9 2 3 6" xfId="4674" xr:uid="{00000000-0005-0000-0000-00007B1D0000}"/>
    <cellStyle name="표준 9 2 3 6 2" xfId="7824" xr:uid="{00000000-0005-0000-0000-00007C1D0000}"/>
    <cellStyle name="표준 9 2 3 7" xfId="5730" xr:uid="{00000000-0005-0000-0000-00007D1D0000}"/>
    <cellStyle name="표준 9 2 4" xfId="1844" xr:uid="{00000000-0005-0000-0000-00007E1D0000}"/>
    <cellStyle name="표준 9 2 4 2" xfId="2634" xr:uid="{00000000-0005-0000-0000-00007F1D0000}"/>
    <cellStyle name="표준 9 2 4 2 2" xfId="2959" xr:uid="{00000000-0005-0000-0000-0000801D0000}"/>
    <cellStyle name="표준 9 2 4 2 2 2" xfId="3497" xr:uid="{00000000-0005-0000-0000-0000811D0000}"/>
    <cellStyle name="표준 9 2 4 2 2 2 2" xfId="4544" xr:uid="{00000000-0005-0000-0000-0000821D0000}"/>
    <cellStyle name="표준 9 2 4 2 2 2 2 2" xfId="7694" xr:uid="{00000000-0005-0000-0000-0000831D0000}"/>
    <cellStyle name="표준 9 2 4 2 2 2 3" xfId="5582" xr:uid="{00000000-0005-0000-0000-0000841D0000}"/>
    <cellStyle name="표준 9 2 4 2 2 2 3 2" xfId="8731" xr:uid="{00000000-0005-0000-0000-0000851D0000}"/>
    <cellStyle name="표준 9 2 4 2 2 2 4" xfId="6647" xr:uid="{00000000-0005-0000-0000-0000861D0000}"/>
    <cellStyle name="표준 9 2 4 2 2 3" xfId="4015" xr:uid="{00000000-0005-0000-0000-0000871D0000}"/>
    <cellStyle name="표준 9 2 4 2 2 3 2" xfId="7165" xr:uid="{00000000-0005-0000-0000-0000881D0000}"/>
    <cellStyle name="표준 9 2 4 2 2 4" xfId="5062" xr:uid="{00000000-0005-0000-0000-0000891D0000}"/>
    <cellStyle name="표준 9 2 4 2 2 4 2" xfId="8212" xr:uid="{00000000-0005-0000-0000-00008A1D0000}"/>
    <cellStyle name="표준 9 2 4 2 2 5" xfId="6118" xr:uid="{00000000-0005-0000-0000-00008B1D0000}"/>
    <cellStyle name="표준 9 2 4 2 3" xfId="3172" xr:uid="{00000000-0005-0000-0000-00008C1D0000}"/>
    <cellStyle name="표준 9 2 4 2 3 2" xfId="4219" xr:uid="{00000000-0005-0000-0000-00008D1D0000}"/>
    <cellStyle name="표준 9 2 4 2 3 2 2" xfId="7369" xr:uid="{00000000-0005-0000-0000-00008E1D0000}"/>
    <cellStyle name="표준 9 2 4 2 3 3" xfId="5257" xr:uid="{00000000-0005-0000-0000-00008F1D0000}"/>
    <cellStyle name="표준 9 2 4 2 3 3 2" xfId="8406" xr:uid="{00000000-0005-0000-0000-0000901D0000}"/>
    <cellStyle name="표준 9 2 4 2 3 4" xfId="6322" xr:uid="{00000000-0005-0000-0000-0000911D0000}"/>
    <cellStyle name="표준 9 2 4 2 4" xfId="3690" xr:uid="{00000000-0005-0000-0000-0000921D0000}"/>
    <cellStyle name="표준 9 2 4 2 4 2" xfId="6840" xr:uid="{00000000-0005-0000-0000-0000931D0000}"/>
    <cellStyle name="표준 9 2 4 2 5" xfId="4737" xr:uid="{00000000-0005-0000-0000-0000941D0000}"/>
    <cellStyle name="표준 9 2 4 2 5 2" xfId="7887" xr:uid="{00000000-0005-0000-0000-0000951D0000}"/>
    <cellStyle name="표준 9 2 4 2 6" xfId="5793" xr:uid="{00000000-0005-0000-0000-0000961D0000}"/>
    <cellStyle name="표준 9 2 4 3" xfId="2763" xr:uid="{00000000-0005-0000-0000-0000971D0000}"/>
    <cellStyle name="표준 9 2 4 3 2" xfId="3301" xr:uid="{00000000-0005-0000-0000-0000981D0000}"/>
    <cellStyle name="표준 9 2 4 3 2 2" xfId="4348" xr:uid="{00000000-0005-0000-0000-0000991D0000}"/>
    <cellStyle name="표준 9 2 4 3 2 2 2" xfId="7498" xr:uid="{00000000-0005-0000-0000-00009A1D0000}"/>
    <cellStyle name="표준 9 2 4 3 2 3" xfId="5386" xr:uid="{00000000-0005-0000-0000-00009B1D0000}"/>
    <cellStyle name="표준 9 2 4 3 2 3 2" xfId="8535" xr:uid="{00000000-0005-0000-0000-00009C1D0000}"/>
    <cellStyle name="표준 9 2 4 3 2 4" xfId="6451" xr:uid="{00000000-0005-0000-0000-00009D1D0000}"/>
    <cellStyle name="표준 9 2 4 3 3" xfId="3819" xr:uid="{00000000-0005-0000-0000-00009E1D0000}"/>
    <cellStyle name="표준 9 2 4 3 3 2" xfId="6969" xr:uid="{00000000-0005-0000-0000-00009F1D0000}"/>
    <cellStyle name="표준 9 2 4 3 4" xfId="4866" xr:uid="{00000000-0005-0000-0000-0000A01D0000}"/>
    <cellStyle name="표준 9 2 4 3 4 2" xfId="8016" xr:uid="{00000000-0005-0000-0000-0000A11D0000}"/>
    <cellStyle name="표준 9 2 4 3 5" xfId="5922" xr:uid="{00000000-0005-0000-0000-0000A21D0000}"/>
    <cellStyle name="표준 9 2 4 4" xfId="3043" xr:uid="{00000000-0005-0000-0000-0000A31D0000}"/>
    <cellStyle name="표준 9 2 4 4 2" xfId="4090" xr:uid="{00000000-0005-0000-0000-0000A41D0000}"/>
    <cellStyle name="표준 9 2 4 4 2 2" xfId="7240" xr:uid="{00000000-0005-0000-0000-0000A51D0000}"/>
    <cellStyle name="표준 9 2 4 4 3" xfId="5128" xr:uid="{00000000-0005-0000-0000-0000A61D0000}"/>
    <cellStyle name="표준 9 2 4 4 3 2" xfId="8277" xr:uid="{00000000-0005-0000-0000-0000A71D0000}"/>
    <cellStyle name="표준 9 2 4 4 4" xfId="6193" xr:uid="{00000000-0005-0000-0000-0000A81D0000}"/>
    <cellStyle name="표준 9 2 4 5" xfId="3561" xr:uid="{00000000-0005-0000-0000-0000A91D0000}"/>
    <cellStyle name="표준 9 2 4 5 2" xfId="6711" xr:uid="{00000000-0005-0000-0000-0000AA1D0000}"/>
    <cellStyle name="표준 9 2 4 6" xfId="4608" xr:uid="{00000000-0005-0000-0000-0000AB1D0000}"/>
    <cellStyle name="표준 9 2 4 6 2" xfId="7758" xr:uid="{00000000-0005-0000-0000-0000AC1D0000}"/>
    <cellStyle name="표준 9 2 4 7" xfId="5664" xr:uid="{00000000-0005-0000-0000-0000AD1D0000}"/>
    <cellStyle name="표준 9 2 5" xfId="2605" xr:uid="{00000000-0005-0000-0000-0000AE1D0000}"/>
    <cellStyle name="표준 9 2 5 2" xfId="2960" xr:uid="{00000000-0005-0000-0000-0000AF1D0000}"/>
    <cellStyle name="표준 9 2 5 2 2" xfId="3498" xr:uid="{00000000-0005-0000-0000-0000B01D0000}"/>
    <cellStyle name="표준 9 2 5 2 2 2" xfId="4545" xr:uid="{00000000-0005-0000-0000-0000B11D0000}"/>
    <cellStyle name="표준 9 2 5 2 2 2 2" xfId="7695" xr:uid="{00000000-0005-0000-0000-0000B21D0000}"/>
    <cellStyle name="표준 9 2 5 2 2 3" xfId="5583" xr:uid="{00000000-0005-0000-0000-0000B31D0000}"/>
    <cellStyle name="표준 9 2 5 2 2 3 2" xfId="8732" xr:uid="{00000000-0005-0000-0000-0000B41D0000}"/>
    <cellStyle name="표준 9 2 5 2 2 4" xfId="6648" xr:uid="{00000000-0005-0000-0000-0000B51D0000}"/>
    <cellStyle name="표준 9 2 5 2 3" xfId="4016" xr:uid="{00000000-0005-0000-0000-0000B61D0000}"/>
    <cellStyle name="표준 9 2 5 2 3 2" xfId="7166" xr:uid="{00000000-0005-0000-0000-0000B71D0000}"/>
    <cellStyle name="표준 9 2 5 2 4" xfId="5063" xr:uid="{00000000-0005-0000-0000-0000B81D0000}"/>
    <cellStyle name="표준 9 2 5 2 4 2" xfId="8213" xr:uid="{00000000-0005-0000-0000-0000B91D0000}"/>
    <cellStyle name="표준 9 2 5 2 5" xfId="6119" xr:uid="{00000000-0005-0000-0000-0000BA1D0000}"/>
    <cellStyle name="표준 9 2 5 3" xfId="3143" xr:uid="{00000000-0005-0000-0000-0000BB1D0000}"/>
    <cellStyle name="표준 9 2 5 3 2" xfId="4190" xr:uid="{00000000-0005-0000-0000-0000BC1D0000}"/>
    <cellStyle name="표준 9 2 5 3 2 2" xfId="7340" xr:uid="{00000000-0005-0000-0000-0000BD1D0000}"/>
    <cellStyle name="표준 9 2 5 3 3" xfId="5228" xr:uid="{00000000-0005-0000-0000-0000BE1D0000}"/>
    <cellStyle name="표준 9 2 5 3 3 2" xfId="8377" xr:uid="{00000000-0005-0000-0000-0000BF1D0000}"/>
    <cellStyle name="표준 9 2 5 3 4" xfId="6293" xr:uid="{00000000-0005-0000-0000-0000C01D0000}"/>
    <cellStyle name="표준 9 2 5 4" xfId="3661" xr:uid="{00000000-0005-0000-0000-0000C11D0000}"/>
    <cellStyle name="표준 9 2 5 4 2" xfId="6811" xr:uid="{00000000-0005-0000-0000-0000C21D0000}"/>
    <cellStyle name="표준 9 2 5 5" xfId="4708" xr:uid="{00000000-0005-0000-0000-0000C31D0000}"/>
    <cellStyle name="표준 9 2 5 5 2" xfId="7858" xr:uid="{00000000-0005-0000-0000-0000C41D0000}"/>
    <cellStyle name="표준 9 2 5 6" xfId="5764" xr:uid="{00000000-0005-0000-0000-0000C51D0000}"/>
    <cellStyle name="표준 9 2 6" xfId="2734" xr:uid="{00000000-0005-0000-0000-0000C61D0000}"/>
    <cellStyle name="표준 9 2 6 2" xfId="3272" xr:uid="{00000000-0005-0000-0000-0000C71D0000}"/>
    <cellStyle name="표준 9 2 6 2 2" xfId="4319" xr:uid="{00000000-0005-0000-0000-0000C81D0000}"/>
    <cellStyle name="표준 9 2 6 2 2 2" xfId="7469" xr:uid="{00000000-0005-0000-0000-0000C91D0000}"/>
    <cellStyle name="표준 9 2 6 2 3" xfId="5357" xr:uid="{00000000-0005-0000-0000-0000CA1D0000}"/>
    <cellStyle name="표준 9 2 6 2 3 2" xfId="8506" xr:uid="{00000000-0005-0000-0000-0000CB1D0000}"/>
    <cellStyle name="표준 9 2 6 2 4" xfId="6422" xr:uid="{00000000-0005-0000-0000-0000CC1D0000}"/>
    <cellStyle name="표준 9 2 6 3" xfId="3790" xr:uid="{00000000-0005-0000-0000-0000CD1D0000}"/>
    <cellStyle name="표준 9 2 6 3 2" xfId="6940" xr:uid="{00000000-0005-0000-0000-0000CE1D0000}"/>
    <cellStyle name="표준 9 2 6 4" xfId="4837" xr:uid="{00000000-0005-0000-0000-0000CF1D0000}"/>
    <cellStyle name="표준 9 2 6 4 2" xfId="7987" xr:uid="{00000000-0005-0000-0000-0000D01D0000}"/>
    <cellStyle name="표준 9 2 6 5" xfId="5893" xr:uid="{00000000-0005-0000-0000-0000D11D0000}"/>
    <cellStyle name="표준 9 2 7" xfId="3014" xr:uid="{00000000-0005-0000-0000-0000D21D0000}"/>
    <cellStyle name="표준 9 2 7 2" xfId="4061" xr:uid="{00000000-0005-0000-0000-0000D31D0000}"/>
    <cellStyle name="표준 9 2 7 2 2" xfId="7211" xr:uid="{00000000-0005-0000-0000-0000D41D0000}"/>
    <cellStyle name="표준 9 2 7 3" xfId="5099" xr:uid="{00000000-0005-0000-0000-0000D51D0000}"/>
    <cellStyle name="표준 9 2 7 3 2" xfId="8248" xr:uid="{00000000-0005-0000-0000-0000D61D0000}"/>
    <cellStyle name="표준 9 2 7 4" xfId="6164" xr:uid="{00000000-0005-0000-0000-0000D71D0000}"/>
    <cellStyle name="표준 9 2 8" xfId="3532" xr:uid="{00000000-0005-0000-0000-0000D81D0000}"/>
    <cellStyle name="표준 9 2 8 2" xfId="6682" xr:uid="{00000000-0005-0000-0000-0000D91D0000}"/>
    <cellStyle name="표준 9 2 9" xfId="4579" xr:uid="{00000000-0005-0000-0000-0000DA1D0000}"/>
    <cellStyle name="표준 9 2 9 2" xfId="7729" xr:uid="{00000000-0005-0000-0000-0000DB1D0000}"/>
    <cellStyle name="표준 9 20" xfId="452" xr:uid="{00000000-0005-0000-0000-0000DC1D0000}"/>
    <cellStyle name="표준 9 3" xfId="1809" xr:uid="{00000000-0005-0000-0000-0000DD1D0000}"/>
    <cellStyle name="표준 9 4" xfId="1815" xr:uid="{00000000-0005-0000-0000-0000DE1D0000}"/>
    <cellStyle name="표준 9 4 10" xfId="5639" xr:uid="{00000000-0005-0000-0000-0000DF1D0000}"/>
    <cellStyle name="표준 9 4 2" xfId="1881" xr:uid="{00000000-0005-0000-0000-0000E01D0000}"/>
    <cellStyle name="표준 9 4 2 2" xfId="2671" xr:uid="{00000000-0005-0000-0000-0000E11D0000}"/>
    <cellStyle name="표준 9 4 2 2 2" xfId="2961" xr:uid="{00000000-0005-0000-0000-0000E21D0000}"/>
    <cellStyle name="표준 9 4 2 2 2 2" xfId="3499" xr:uid="{00000000-0005-0000-0000-0000E31D0000}"/>
    <cellStyle name="표준 9 4 2 2 2 2 2" xfId="4546" xr:uid="{00000000-0005-0000-0000-0000E41D0000}"/>
    <cellStyle name="표준 9 4 2 2 2 2 2 2" xfId="7696" xr:uid="{00000000-0005-0000-0000-0000E51D0000}"/>
    <cellStyle name="표준 9 4 2 2 2 2 3" xfId="5584" xr:uid="{00000000-0005-0000-0000-0000E61D0000}"/>
    <cellStyle name="표준 9 4 2 2 2 2 3 2" xfId="8733" xr:uid="{00000000-0005-0000-0000-0000E71D0000}"/>
    <cellStyle name="표준 9 4 2 2 2 2 4" xfId="6649" xr:uid="{00000000-0005-0000-0000-0000E81D0000}"/>
    <cellStyle name="표준 9 4 2 2 2 3" xfId="4017" xr:uid="{00000000-0005-0000-0000-0000E91D0000}"/>
    <cellStyle name="표준 9 4 2 2 2 3 2" xfId="7167" xr:uid="{00000000-0005-0000-0000-0000EA1D0000}"/>
    <cellStyle name="표준 9 4 2 2 2 4" xfId="5064" xr:uid="{00000000-0005-0000-0000-0000EB1D0000}"/>
    <cellStyle name="표준 9 4 2 2 2 4 2" xfId="8214" xr:uid="{00000000-0005-0000-0000-0000EC1D0000}"/>
    <cellStyle name="표준 9 4 2 2 2 5" xfId="6120" xr:uid="{00000000-0005-0000-0000-0000ED1D0000}"/>
    <cellStyle name="표준 9 4 2 2 3" xfId="3209" xr:uid="{00000000-0005-0000-0000-0000EE1D0000}"/>
    <cellStyle name="표준 9 4 2 2 3 2" xfId="4256" xr:uid="{00000000-0005-0000-0000-0000EF1D0000}"/>
    <cellStyle name="표준 9 4 2 2 3 2 2" xfId="7406" xr:uid="{00000000-0005-0000-0000-0000F01D0000}"/>
    <cellStyle name="표준 9 4 2 2 3 3" xfId="5294" xr:uid="{00000000-0005-0000-0000-0000F11D0000}"/>
    <cellStyle name="표준 9 4 2 2 3 3 2" xfId="8443" xr:uid="{00000000-0005-0000-0000-0000F21D0000}"/>
    <cellStyle name="표준 9 4 2 2 3 4" xfId="6359" xr:uid="{00000000-0005-0000-0000-0000F31D0000}"/>
    <cellStyle name="표준 9 4 2 2 4" xfId="3727" xr:uid="{00000000-0005-0000-0000-0000F41D0000}"/>
    <cellStyle name="표준 9 4 2 2 4 2" xfId="6877" xr:uid="{00000000-0005-0000-0000-0000F51D0000}"/>
    <cellStyle name="표준 9 4 2 2 5" xfId="4774" xr:uid="{00000000-0005-0000-0000-0000F61D0000}"/>
    <cellStyle name="표준 9 4 2 2 5 2" xfId="7924" xr:uid="{00000000-0005-0000-0000-0000F71D0000}"/>
    <cellStyle name="표준 9 4 2 2 6" xfId="5830" xr:uid="{00000000-0005-0000-0000-0000F81D0000}"/>
    <cellStyle name="표준 9 4 2 3" xfId="2800" xr:uid="{00000000-0005-0000-0000-0000F91D0000}"/>
    <cellStyle name="표준 9 4 2 3 2" xfId="3338" xr:uid="{00000000-0005-0000-0000-0000FA1D0000}"/>
    <cellStyle name="표준 9 4 2 3 2 2" xfId="4385" xr:uid="{00000000-0005-0000-0000-0000FB1D0000}"/>
    <cellStyle name="표준 9 4 2 3 2 2 2" xfId="7535" xr:uid="{00000000-0005-0000-0000-0000FC1D0000}"/>
    <cellStyle name="표준 9 4 2 3 2 3" xfId="5423" xr:uid="{00000000-0005-0000-0000-0000FD1D0000}"/>
    <cellStyle name="표준 9 4 2 3 2 3 2" xfId="8572" xr:uid="{00000000-0005-0000-0000-0000FE1D0000}"/>
    <cellStyle name="표준 9 4 2 3 2 4" xfId="6488" xr:uid="{00000000-0005-0000-0000-0000FF1D0000}"/>
    <cellStyle name="표준 9 4 2 3 3" xfId="3856" xr:uid="{00000000-0005-0000-0000-0000001E0000}"/>
    <cellStyle name="표준 9 4 2 3 3 2" xfId="7006" xr:uid="{00000000-0005-0000-0000-0000011E0000}"/>
    <cellStyle name="표준 9 4 2 3 4" xfId="4903" xr:uid="{00000000-0005-0000-0000-0000021E0000}"/>
    <cellStyle name="표준 9 4 2 3 4 2" xfId="8053" xr:uid="{00000000-0005-0000-0000-0000031E0000}"/>
    <cellStyle name="표준 9 4 2 3 5" xfId="5959" xr:uid="{00000000-0005-0000-0000-0000041E0000}"/>
    <cellStyle name="표준 9 4 2 4" xfId="3080" xr:uid="{00000000-0005-0000-0000-0000051E0000}"/>
    <cellStyle name="표준 9 4 2 4 2" xfId="4127" xr:uid="{00000000-0005-0000-0000-0000061E0000}"/>
    <cellStyle name="표준 9 4 2 4 2 2" xfId="7277" xr:uid="{00000000-0005-0000-0000-0000071E0000}"/>
    <cellStyle name="표준 9 4 2 4 3" xfId="5165" xr:uid="{00000000-0005-0000-0000-0000081E0000}"/>
    <cellStyle name="표준 9 4 2 4 3 2" xfId="8314" xr:uid="{00000000-0005-0000-0000-0000091E0000}"/>
    <cellStyle name="표준 9 4 2 4 4" xfId="6230" xr:uid="{00000000-0005-0000-0000-00000A1E0000}"/>
    <cellStyle name="표준 9 4 2 5" xfId="3598" xr:uid="{00000000-0005-0000-0000-00000B1E0000}"/>
    <cellStyle name="표준 9 4 2 5 2" xfId="6748" xr:uid="{00000000-0005-0000-0000-00000C1E0000}"/>
    <cellStyle name="표준 9 4 2 6" xfId="4645" xr:uid="{00000000-0005-0000-0000-00000D1E0000}"/>
    <cellStyle name="표준 9 4 2 6 2" xfId="7795" xr:uid="{00000000-0005-0000-0000-00000E1E0000}"/>
    <cellStyle name="표준 9 4 2 7" xfId="5701" xr:uid="{00000000-0005-0000-0000-00000F1E0000}"/>
    <cellStyle name="표준 9 4 3" xfId="1914" xr:uid="{00000000-0005-0000-0000-0000101E0000}"/>
    <cellStyle name="표준 9 4 3 2" xfId="2704" xr:uid="{00000000-0005-0000-0000-0000111E0000}"/>
    <cellStyle name="표준 9 4 3 2 2" xfId="2962" xr:uid="{00000000-0005-0000-0000-0000121E0000}"/>
    <cellStyle name="표준 9 4 3 2 2 2" xfId="3500" xr:uid="{00000000-0005-0000-0000-0000131E0000}"/>
    <cellStyle name="표준 9 4 3 2 2 2 2" xfId="4547" xr:uid="{00000000-0005-0000-0000-0000141E0000}"/>
    <cellStyle name="표준 9 4 3 2 2 2 2 2" xfId="7697" xr:uid="{00000000-0005-0000-0000-0000151E0000}"/>
    <cellStyle name="표준 9 4 3 2 2 2 3" xfId="5585" xr:uid="{00000000-0005-0000-0000-0000161E0000}"/>
    <cellStyle name="표준 9 4 3 2 2 2 3 2" xfId="8734" xr:uid="{00000000-0005-0000-0000-0000171E0000}"/>
    <cellStyle name="표준 9 4 3 2 2 2 4" xfId="6650" xr:uid="{00000000-0005-0000-0000-0000181E0000}"/>
    <cellStyle name="표준 9 4 3 2 2 3" xfId="4018" xr:uid="{00000000-0005-0000-0000-0000191E0000}"/>
    <cellStyle name="표준 9 4 3 2 2 3 2" xfId="7168" xr:uid="{00000000-0005-0000-0000-00001A1E0000}"/>
    <cellStyle name="표준 9 4 3 2 2 4" xfId="5065" xr:uid="{00000000-0005-0000-0000-00001B1E0000}"/>
    <cellStyle name="표준 9 4 3 2 2 4 2" xfId="8215" xr:uid="{00000000-0005-0000-0000-00001C1E0000}"/>
    <cellStyle name="표준 9 4 3 2 2 5" xfId="6121" xr:uid="{00000000-0005-0000-0000-00001D1E0000}"/>
    <cellStyle name="표준 9 4 3 2 3" xfId="3242" xr:uid="{00000000-0005-0000-0000-00001E1E0000}"/>
    <cellStyle name="표준 9 4 3 2 3 2" xfId="4289" xr:uid="{00000000-0005-0000-0000-00001F1E0000}"/>
    <cellStyle name="표준 9 4 3 2 3 2 2" xfId="7439" xr:uid="{00000000-0005-0000-0000-0000201E0000}"/>
    <cellStyle name="표준 9 4 3 2 3 3" xfId="5327" xr:uid="{00000000-0005-0000-0000-0000211E0000}"/>
    <cellStyle name="표준 9 4 3 2 3 3 2" xfId="8476" xr:uid="{00000000-0005-0000-0000-0000221E0000}"/>
    <cellStyle name="표준 9 4 3 2 3 4" xfId="6392" xr:uid="{00000000-0005-0000-0000-0000231E0000}"/>
    <cellStyle name="표준 9 4 3 2 4" xfId="3760" xr:uid="{00000000-0005-0000-0000-0000241E0000}"/>
    <cellStyle name="표준 9 4 3 2 4 2" xfId="6910" xr:uid="{00000000-0005-0000-0000-0000251E0000}"/>
    <cellStyle name="표준 9 4 3 2 5" xfId="4807" xr:uid="{00000000-0005-0000-0000-0000261E0000}"/>
    <cellStyle name="표준 9 4 3 2 5 2" xfId="7957" xr:uid="{00000000-0005-0000-0000-0000271E0000}"/>
    <cellStyle name="표준 9 4 3 2 6" xfId="5863" xr:uid="{00000000-0005-0000-0000-0000281E0000}"/>
    <cellStyle name="표준 9 4 3 3" xfId="2833" xr:uid="{00000000-0005-0000-0000-0000291E0000}"/>
    <cellStyle name="표준 9 4 3 3 2" xfId="3371" xr:uid="{00000000-0005-0000-0000-00002A1E0000}"/>
    <cellStyle name="표준 9 4 3 3 2 2" xfId="4418" xr:uid="{00000000-0005-0000-0000-00002B1E0000}"/>
    <cellStyle name="표준 9 4 3 3 2 2 2" xfId="7568" xr:uid="{00000000-0005-0000-0000-00002C1E0000}"/>
    <cellStyle name="표준 9 4 3 3 2 3" xfId="5456" xr:uid="{00000000-0005-0000-0000-00002D1E0000}"/>
    <cellStyle name="표준 9 4 3 3 2 3 2" xfId="8605" xr:uid="{00000000-0005-0000-0000-00002E1E0000}"/>
    <cellStyle name="표준 9 4 3 3 2 4" xfId="6521" xr:uid="{00000000-0005-0000-0000-00002F1E0000}"/>
    <cellStyle name="표준 9 4 3 3 3" xfId="3889" xr:uid="{00000000-0005-0000-0000-0000301E0000}"/>
    <cellStyle name="표준 9 4 3 3 3 2" xfId="7039" xr:uid="{00000000-0005-0000-0000-0000311E0000}"/>
    <cellStyle name="표준 9 4 3 3 4" xfId="4936" xr:uid="{00000000-0005-0000-0000-0000321E0000}"/>
    <cellStyle name="표준 9 4 3 3 4 2" xfId="8086" xr:uid="{00000000-0005-0000-0000-0000331E0000}"/>
    <cellStyle name="표준 9 4 3 3 5" xfId="5992" xr:uid="{00000000-0005-0000-0000-0000341E0000}"/>
    <cellStyle name="표준 9 4 3 4" xfId="3113" xr:uid="{00000000-0005-0000-0000-0000351E0000}"/>
    <cellStyle name="표준 9 4 3 4 2" xfId="4160" xr:uid="{00000000-0005-0000-0000-0000361E0000}"/>
    <cellStyle name="표준 9 4 3 4 2 2" xfId="7310" xr:uid="{00000000-0005-0000-0000-0000371E0000}"/>
    <cellStyle name="표준 9 4 3 4 3" xfId="5198" xr:uid="{00000000-0005-0000-0000-0000381E0000}"/>
    <cellStyle name="표준 9 4 3 4 3 2" xfId="8347" xr:uid="{00000000-0005-0000-0000-0000391E0000}"/>
    <cellStyle name="표준 9 4 3 4 4" xfId="6263" xr:uid="{00000000-0005-0000-0000-00003A1E0000}"/>
    <cellStyle name="표준 9 4 3 5" xfId="3631" xr:uid="{00000000-0005-0000-0000-00003B1E0000}"/>
    <cellStyle name="표준 9 4 3 5 2" xfId="6781" xr:uid="{00000000-0005-0000-0000-00003C1E0000}"/>
    <cellStyle name="표준 9 4 3 6" xfId="4678" xr:uid="{00000000-0005-0000-0000-00003D1E0000}"/>
    <cellStyle name="표준 9 4 3 6 2" xfId="7828" xr:uid="{00000000-0005-0000-0000-00003E1E0000}"/>
    <cellStyle name="표준 9 4 3 7" xfId="5734" xr:uid="{00000000-0005-0000-0000-00003F1E0000}"/>
    <cellStyle name="표준 9 4 4" xfId="1848" xr:uid="{00000000-0005-0000-0000-0000401E0000}"/>
    <cellStyle name="표준 9 4 4 2" xfId="2638" xr:uid="{00000000-0005-0000-0000-0000411E0000}"/>
    <cellStyle name="표준 9 4 4 2 2" xfId="2963" xr:uid="{00000000-0005-0000-0000-0000421E0000}"/>
    <cellStyle name="표준 9 4 4 2 2 2" xfId="3501" xr:uid="{00000000-0005-0000-0000-0000431E0000}"/>
    <cellStyle name="표준 9 4 4 2 2 2 2" xfId="4548" xr:uid="{00000000-0005-0000-0000-0000441E0000}"/>
    <cellStyle name="표준 9 4 4 2 2 2 2 2" xfId="7698" xr:uid="{00000000-0005-0000-0000-0000451E0000}"/>
    <cellStyle name="표준 9 4 4 2 2 2 3" xfId="5586" xr:uid="{00000000-0005-0000-0000-0000461E0000}"/>
    <cellStyle name="표준 9 4 4 2 2 2 3 2" xfId="8735" xr:uid="{00000000-0005-0000-0000-0000471E0000}"/>
    <cellStyle name="표준 9 4 4 2 2 2 4" xfId="6651" xr:uid="{00000000-0005-0000-0000-0000481E0000}"/>
    <cellStyle name="표준 9 4 4 2 2 3" xfId="4019" xr:uid="{00000000-0005-0000-0000-0000491E0000}"/>
    <cellStyle name="표준 9 4 4 2 2 3 2" xfId="7169" xr:uid="{00000000-0005-0000-0000-00004A1E0000}"/>
    <cellStyle name="표준 9 4 4 2 2 4" xfId="5066" xr:uid="{00000000-0005-0000-0000-00004B1E0000}"/>
    <cellStyle name="표준 9 4 4 2 2 4 2" xfId="8216" xr:uid="{00000000-0005-0000-0000-00004C1E0000}"/>
    <cellStyle name="표준 9 4 4 2 2 5" xfId="6122" xr:uid="{00000000-0005-0000-0000-00004D1E0000}"/>
    <cellStyle name="표준 9 4 4 2 3" xfId="3176" xr:uid="{00000000-0005-0000-0000-00004E1E0000}"/>
    <cellStyle name="표준 9 4 4 2 3 2" xfId="4223" xr:uid="{00000000-0005-0000-0000-00004F1E0000}"/>
    <cellStyle name="표준 9 4 4 2 3 2 2" xfId="7373" xr:uid="{00000000-0005-0000-0000-0000501E0000}"/>
    <cellStyle name="표준 9 4 4 2 3 3" xfId="5261" xr:uid="{00000000-0005-0000-0000-0000511E0000}"/>
    <cellStyle name="표준 9 4 4 2 3 3 2" xfId="8410" xr:uid="{00000000-0005-0000-0000-0000521E0000}"/>
    <cellStyle name="표준 9 4 4 2 3 4" xfId="6326" xr:uid="{00000000-0005-0000-0000-0000531E0000}"/>
    <cellStyle name="표준 9 4 4 2 4" xfId="3694" xr:uid="{00000000-0005-0000-0000-0000541E0000}"/>
    <cellStyle name="표준 9 4 4 2 4 2" xfId="6844" xr:uid="{00000000-0005-0000-0000-0000551E0000}"/>
    <cellStyle name="표준 9 4 4 2 5" xfId="4741" xr:uid="{00000000-0005-0000-0000-0000561E0000}"/>
    <cellStyle name="표준 9 4 4 2 5 2" xfId="7891" xr:uid="{00000000-0005-0000-0000-0000571E0000}"/>
    <cellStyle name="표준 9 4 4 2 6" xfId="5797" xr:uid="{00000000-0005-0000-0000-0000581E0000}"/>
    <cellStyle name="표준 9 4 4 3" xfId="2767" xr:uid="{00000000-0005-0000-0000-0000591E0000}"/>
    <cellStyle name="표준 9 4 4 3 2" xfId="3305" xr:uid="{00000000-0005-0000-0000-00005A1E0000}"/>
    <cellStyle name="표준 9 4 4 3 2 2" xfId="4352" xr:uid="{00000000-0005-0000-0000-00005B1E0000}"/>
    <cellStyle name="표준 9 4 4 3 2 2 2" xfId="7502" xr:uid="{00000000-0005-0000-0000-00005C1E0000}"/>
    <cellStyle name="표준 9 4 4 3 2 3" xfId="5390" xr:uid="{00000000-0005-0000-0000-00005D1E0000}"/>
    <cellStyle name="표준 9 4 4 3 2 3 2" xfId="8539" xr:uid="{00000000-0005-0000-0000-00005E1E0000}"/>
    <cellStyle name="표준 9 4 4 3 2 4" xfId="6455" xr:uid="{00000000-0005-0000-0000-00005F1E0000}"/>
    <cellStyle name="표준 9 4 4 3 3" xfId="3823" xr:uid="{00000000-0005-0000-0000-0000601E0000}"/>
    <cellStyle name="표준 9 4 4 3 3 2" xfId="6973" xr:uid="{00000000-0005-0000-0000-0000611E0000}"/>
    <cellStyle name="표준 9 4 4 3 4" xfId="4870" xr:uid="{00000000-0005-0000-0000-0000621E0000}"/>
    <cellStyle name="표준 9 4 4 3 4 2" xfId="8020" xr:uid="{00000000-0005-0000-0000-0000631E0000}"/>
    <cellStyle name="표준 9 4 4 3 5" xfId="5926" xr:uid="{00000000-0005-0000-0000-0000641E0000}"/>
    <cellStyle name="표준 9 4 4 4" xfId="3047" xr:uid="{00000000-0005-0000-0000-0000651E0000}"/>
    <cellStyle name="표준 9 4 4 4 2" xfId="4094" xr:uid="{00000000-0005-0000-0000-0000661E0000}"/>
    <cellStyle name="표준 9 4 4 4 2 2" xfId="7244" xr:uid="{00000000-0005-0000-0000-0000671E0000}"/>
    <cellStyle name="표준 9 4 4 4 3" xfId="5132" xr:uid="{00000000-0005-0000-0000-0000681E0000}"/>
    <cellStyle name="표준 9 4 4 4 3 2" xfId="8281" xr:uid="{00000000-0005-0000-0000-0000691E0000}"/>
    <cellStyle name="표준 9 4 4 4 4" xfId="6197" xr:uid="{00000000-0005-0000-0000-00006A1E0000}"/>
    <cellStyle name="표준 9 4 4 5" xfId="3565" xr:uid="{00000000-0005-0000-0000-00006B1E0000}"/>
    <cellStyle name="표준 9 4 4 5 2" xfId="6715" xr:uid="{00000000-0005-0000-0000-00006C1E0000}"/>
    <cellStyle name="표준 9 4 4 6" xfId="4612" xr:uid="{00000000-0005-0000-0000-00006D1E0000}"/>
    <cellStyle name="표준 9 4 4 6 2" xfId="7762" xr:uid="{00000000-0005-0000-0000-00006E1E0000}"/>
    <cellStyle name="표준 9 4 4 7" xfId="5668" xr:uid="{00000000-0005-0000-0000-00006F1E0000}"/>
    <cellStyle name="표준 9 4 5" xfId="2609" xr:uid="{00000000-0005-0000-0000-0000701E0000}"/>
    <cellStyle name="표준 9 4 5 2" xfId="2964" xr:uid="{00000000-0005-0000-0000-0000711E0000}"/>
    <cellStyle name="표준 9 4 5 2 2" xfId="3502" xr:uid="{00000000-0005-0000-0000-0000721E0000}"/>
    <cellStyle name="표준 9 4 5 2 2 2" xfId="4549" xr:uid="{00000000-0005-0000-0000-0000731E0000}"/>
    <cellStyle name="표준 9 4 5 2 2 2 2" xfId="7699" xr:uid="{00000000-0005-0000-0000-0000741E0000}"/>
    <cellStyle name="표준 9 4 5 2 2 3" xfId="5587" xr:uid="{00000000-0005-0000-0000-0000751E0000}"/>
    <cellStyle name="표준 9 4 5 2 2 3 2" xfId="8736" xr:uid="{00000000-0005-0000-0000-0000761E0000}"/>
    <cellStyle name="표준 9 4 5 2 2 4" xfId="6652" xr:uid="{00000000-0005-0000-0000-0000771E0000}"/>
    <cellStyle name="표준 9 4 5 2 3" xfId="4020" xr:uid="{00000000-0005-0000-0000-0000781E0000}"/>
    <cellStyle name="표준 9 4 5 2 3 2" xfId="7170" xr:uid="{00000000-0005-0000-0000-0000791E0000}"/>
    <cellStyle name="표준 9 4 5 2 4" xfId="5067" xr:uid="{00000000-0005-0000-0000-00007A1E0000}"/>
    <cellStyle name="표준 9 4 5 2 4 2" xfId="8217" xr:uid="{00000000-0005-0000-0000-00007B1E0000}"/>
    <cellStyle name="표준 9 4 5 2 5" xfId="6123" xr:uid="{00000000-0005-0000-0000-00007C1E0000}"/>
    <cellStyle name="표준 9 4 5 3" xfId="3147" xr:uid="{00000000-0005-0000-0000-00007D1E0000}"/>
    <cellStyle name="표준 9 4 5 3 2" xfId="4194" xr:uid="{00000000-0005-0000-0000-00007E1E0000}"/>
    <cellStyle name="표준 9 4 5 3 2 2" xfId="7344" xr:uid="{00000000-0005-0000-0000-00007F1E0000}"/>
    <cellStyle name="표준 9 4 5 3 3" xfId="5232" xr:uid="{00000000-0005-0000-0000-0000801E0000}"/>
    <cellStyle name="표준 9 4 5 3 3 2" xfId="8381" xr:uid="{00000000-0005-0000-0000-0000811E0000}"/>
    <cellStyle name="표준 9 4 5 3 4" xfId="6297" xr:uid="{00000000-0005-0000-0000-0000821E0000}"/>
    <cellStyle name="표준 9 4 5 4" xfId="3665" xr:uid="{00000000-0005-0000-0000-0000831E0000}"/>
    <cellStyle name="표준 9 4 5 4 2" xfId="6815" xr:uid="{00000000-0005-0000-0000-0000841E0000}"/>
    <cellStyle name="표준 9 4 5 5" xfId="4712" xr:uid="{00000000-0005-0000-0000-0000851E0000}"/>
    <cellStyle name="표준 9 4 5 5 2" xfId="7862" xr:uid="{00000000-0005-0000-0000-0000861E0000}"/>
    <cellStyle name="표준 9 4 5 6" xfId="5768" xr:uid="{00000000-0005-0000-0000-0000871E0000}"/>
    <cellStyle name="표준 9 4 6" xfId="2738" xr:uid="{00000000-0005-0000-0000-0000881E0000}"/>
    <cellStyle name="표준 9 4 6 2" xfId="3276" xr:uid="{00000000-0005-0000-0000-0000891E0000}"/>
    <cellStyle name="표준 9 4 6 2 2" xfId="4323" xr:uid="{00000000-0005-0000-0000-00008A1E0000}"/>
    <cellStyle name="표준 9 4 6 2 2 2" xfId="7473" xr:uid="{00000000-0005-0000-0000-00008B1E0000}"/>
    <cellStyle name="표준 9 4 6 2 3" xfId="5361" xr:uid="{00000000-0005-0000-0000-00008C1E0000}"/>
    <cellStyle name="표준 9 4 6 2 3 2" xfId="8510" xr:uid="{00000000-0005-0000-0000-00008D1E0000}"/>
    <cellStyle name="표준 9 4 6 2 4" xfId="6426" xr:uid="{00000000-0005-0000-0000-00008E1E0000}"/>
    <cellStyle name="표준 9 4 6 3" xfId="3794" xr:uid="{00000000-0005-0000-0000-00008F1E0000}"/>
    <cellStyle name="표준 9 4 6 3 2" xfId="6944" xr:uid="{00000000-0005-0000-0000-0000901E0000}"/>
    <cellStyle name="표준 9 4 6 4" xfId="4841" xr:uid="{00000000-0005-0000-0000-0000911E0000}"/>
    <cellStyle name="표준 9 4 6 4 2" xfId="7991" xr:uid="{00000000-0005-0000-0000-0000921E0000}"/>
    <cellStyle name="표준 9 4 6 5" xfId="5897" xr:uid="{00000000-0005-0000-0000-0000931E0000}"/>
    <cellStyle name="표준 9 4 7" xfId="3018" xr:uid="{00000000-0005-0000-0000-0000941E0000}"/>
    <cellStyle name="표준 9 4 7 2" xfId="4065" xr:uid="{00000000-0005-0000-0000-0000951E0000}"/>
    <cellStyle name="표준 9 4 7 2 2" xfId="7215" xr:uid="{00000000-0005-0000-0000-0000961E0000}"/>
    <cellStyle name="표준 9 4 7 3" xfId="5103" xr:uid="{00000000-0005-0000-0000-0000971E0000}"/>
    <cellStyle name="표준 9 4 7 3 2" xfId="8252" xr:uid="{00000000-0005-0000-0000-0000981E0000}"/>
    <cellStyle name="표준 9 4 7 4" xfId="6168" xr:uid="{00000000-0005-0000-0000-0000991E0000}"/>
    <cellStyle name="표준 9 4 8" xfId="3536" xr:uid="{00000000-0005-0000-0000-00009A1E0000}"/>
    <cellStyle name="표준 9 4 8 2" xfId="6686" xr:uid="{00000000-0005-0000-0000-00009B1E0000}"/>
    <cellStyle name="표준 9 4 9" xfId="4583" xr:uid="{00000000-0005-0000-0000-00009C1E0000}"/>
    <cellStyle name="표준 9 4 9 2" xfId="7733" xr:uid="{00000000-0005-0000-0000-00009D1E0000}"/>
    <cellStyle name="표준 9 5" xfId="1819" xr:uid="{00000000-0005-0000-0000-00009E1E0000}"/>
    <cellStyle name="표준 9 5 10" xfId="5643" xr:uid="{00000000-0005-0000-0000-00009F1E0000}"/>
    <cellStyle name="표준 9 5 2" xfId="1885" xr:uid="{00000000-0005-0000-0000-0000A01E0000}"/>
    <cellStyle name="표준 9 5 2 2" xfId="2675" xr:uid="{00000000-0005-0000-0000-0000A11E0000}"/>
    <cellStyle name="표준 9 5 2 2 2" xfId="2965" xr:uid="{00000000-0005-0000-0000-0000A21E0000}"/>
    <cellStyle name="표준 9 5 2 2 2 2" xfId="3503" xr:uid="{00000000-0005-0000-0000-0000A31E0000}"/>
    <cellStyle name="표준 9 5 2 2 2 2 2" xfId="4550" xr:uid="{00000000-0005-0000-0000-0000A41E0000}"/>
    <cellStyle name="표준 9 5 2 2 2 2 2 2" xfId="7700" xr:uid="{00000000-0005-0000-0000-0000A51E0000}"/>
    <cellStyle name="표준 9 5 2 2 2 2 3" xfId="5588" xr:uid="{00000000-0005-0000-0000-0000A61E0000}"/>
    <cellStyle name="표준 9 5 2 2 2 2 3 2" xfId="8737" xr:uid="{00000000-0005-0000-0000-0000A71E0000}"/>
    <cellStyle name="표준 9 5 2 2 2 2 4" xfId="6653" xr:uid="{00000000-0005-0000-0000-0000A81E0000}"/>
    <cellStyle name="표준 9 5 2 2 2 3" xfId="4021" xr:uid="{00000000-0005-0000-0000-0000A91E0000}"/>
    <cellStyle name="표준 9 5 2 2 2 3 2" xfId="7171" xr:uid="{00000000-0005-0000-0000-0000AA1E0000}"/>
    <cellStyle name="표준 9 5 2 2 2 4" xfId="5068" xr:uid="{00000000-0005-0000-0000-0000AB1E0000}"/>
    <cellStyle name="표준 9 5 2 2 2 4 2" xfId="8218" xr:uid="{00000000-0005-0000-0000-0000AC1E0000}"/>
    <cellStyle name="표준 9 5 2 2 2 5" xfId="6124" xr:uid="{00000000-0005-0000-0000-0000AD1E0000}"/>
    <cellStyle name="표준 9 5 2 2 3" xfId="3213" xr:uid="{00000000-0005-0000-0000-0000AE1E0000}"/>
    <cellStyle name="표준 9 5 2 2 3 2" xfId="4260" xr:uid="{00000000-0005-0000-0000-0000AF1E0000}"/>
    <cellStyle name="표준 9 5 2 2 3 2 2" xfId="7410" xr:uid="{00000000-0005-0000-0000-0000B01E0000}"/>
    <cellStyle name="표준 9 5 2 2 3 3" xfId="5298" xr:uid="{00000000-0005-0000-0000-0000B11E0000}"/>
    <cellStyle name="표준 9 5 2 2 3 3 2" xfId="8447" xr:uid="{00000000-0005-0000-0000-0000B21E0000}"/>
    <cellStyle name="표준 9 5 2 2 3 4" xfId="6363" xr:uid="{00000000-0005-0000-0000-0000B31E0000}"/>
    <cellStyle name="표준 9 5 2 2 4" xfId="3731" xr:uid="{00000000-0005-0000-0000-0000B41E0000}"/>
    <cellStyle name="표준 9 5 2 2 4 2" xfId="6881" xr:uid="{00000000-0005-0000-0000-0000B51E0000}"/>
    <cellStyle name="표준 9 5 2 2 5" xfId="4778" xr:uid="{00000000-0005-0000-0000-0000B61E0000}"/>
    <cellStyle name="표준 9 5 2 2 5 2" xfId="7928" xr:uid="{00000000-0005-0000-0000-0000B71E0000}"/>
    <cellStyle name="표준 9 5 2 2 6" xfId="5834" xr:uid="{00000000-0005-0000-0000-0000B81E0000}"/>
    <cellStyle name="표준 9 5 2 3" xfId="2804" xr:uid="{00000000-0005-0000-0000-0000B91E0000}"/>
    <cellStyle name="표준 9 5 2 3 2" xfId="3342" xr:uid="{00000000-0005-0000-0000-0000BA1E0000}"/>
    <cellStyle name="표준 9 5 2 3 2 2" xfId="4389" xr:uid="{00000000-0005-0000-0000-0000BB1E0000}"/>
    <cellStyle name="표준 9 5 2 3 2 2 2" xfId="7539" xr:uid="{00000000-0005-0000-0000-0000BC1E0000}"/>
    <cellStyle name="표준 9 5 2 3 2 3" xfId="5427" xr:uid="{00000000-0005-0000-0000-0000BD1E0000}"/>
    <cellStyle name="표준 9 5 2 3 2 3 2" xfId="8576" xr:uid="{00000000-0005-0000-0000-0000BE1E0000}"/>
    <cellStyle name="표준 9 5 2 3 2 4" xfId="6492" xr:uid="{00000000-0005-0000-0000-0000BF1E0000}"/>
    <cellStyle name="표준 9 5 2 3 3" xfId="3860" xr:uid="{00000000-0005-0000-0000-0000C01E0000}"/>
    <cellStyle name="표준 9 5 2 3 3 2" xfId="7010" xr:uid="{00000000-0005-0000-0000-0000C11E0000}"/>
    <cellStyle name="표준 9 5 2 3 4" xfId="4907" xr:uid="{00000000-0005-0000-0000-0000C21E0000}"/>
    <cellStyle name="표준 9 5 2 3 4 2" xfId="8057" xr:uid="{00000000-0005-0000-0000-0000C31E0000}"/>
    <cellStyle name="표준 9 5 2 3 5" xfId="5963" xr:uid="{00000000-0005-0000-0000-0000C41E0000}"/>
    <cellStyle name="표준 9 5 2 4" xfId="3084" xr:uid="{00000000-0005-0000-0000-0000C51E0000}"/>
    <cellStyle name="표준 9 5 2 4 2" xfId="4131" xr:uid="{00000000-0005-0000-0000-0000C61E0000}"/>
    <cellStyle name="표준 9 5 2 4 2 2" xfId="7281" xr:uid="{00000000-0005-0000-0000-0000C71E0000}"/>
    <cellStyle name="표준 9 5 2 4 3" xfId="5169" xr:uid="{00000000-0005-0000-0000-0000C81E0000}"/>
    <cellStyle name="표준 9 5 2 4 3 2" xfId="8318" xr:uid="{00000000-0005-0000-0000-0000C91E0000}"/>
    <cellStyle name="표준 9 5 2 4 4" xfId="6234" xr:uid="{00000000-0005-0000-0000-0000CA1E0000}"/>
    <cellStyle name="표준 9 5 2 5" xfId="3602" xr:uid="{00000000-0005-0000-0000-0000CB1E0000}"/>
    <cellStyle name="표준 9 5 2 5 2" xfId="6752" xr:uid="{00000000-0005-0000-0000-0000CC1E0000}"/>
    <cellStyle name="표준 9 5 2 6" xfId="4649" xr:uid="{00000000-0005-0000-0000-0000CD1E0000}"/>
    <cellStyle name="표준 9 5 2 6 2" xfId="7799" xr:uid="{00000000-0005-0000-0000-0000CE1E0000}"/>
    <cellStyle name="표준 9 5 2 7" xfId="5705" xr:uid="{00000000-0005-0000-0000-0000CF1E0000}"/>
    <cellStyle name="표준 9 5 3" xfId="1918" xr:uid="{00000000-0005-0000-0000-0000D01E0000}"/>
    <cellStyle name="표준 9 5 3 2" xfId="2708" xr:uid="{00000000-0005-0000-0000-0000D11E0000}"/>
    <cellStyle name="표준 9 5 3 2 2" xfId="2966" xr:uid="{00000000-0005-0000-0000-0000D21E0000}"/>
    <cellStyle name="표준 9 5 3 2 2 2" xfId="3504" xr:uid="{00000000-0005-0000-0000-0000D31E0000}"/>
    <cellStyle name="표준 9 5 3 2 2 2 2" xfId="4551" xr:uid="{00000000-0005-0000-0000-0000D41E0000}"/>
    <cellStyle name="표준 9 5 3 2 2 2 2 2" xfId="7701" xr:uid="{00000000-0005-0000-0000-0000D51E0000}"/>
    <cellStyle name="표준 9 5 3 2 2 2 3" xfId="5589" xr:uid="{00000000-0005-0000-0000-0000D61E0000}"/>
    <cellStyle name="표준 9 5 3 2 2 2 3 2" xfId="8738" xr:uid="{00000000-0005-0000-0000-0000D71E0000}"/>
    <cellStyle name="표준 9 5 3 2 2 2 4" xfId="6654" xr:uid="{00000000-0005-0000-0000-0000D81E0000}"/>
    <cellStyle name="표준 9 5 3 2 2 3" xfId="4022" xr:uid="{00000000-0005-0000-0000-0000D91E0000}"/>
    <cellStyle name="표준 9 5 3 2 2 3 2" xfId="7172" xr:uid="{00000000-0005-0000-0000-0000DA1E0000}"/>
    <cellStyle name="표준 9 5 3 2 2 4" xfId="5069" xr:uid="{00000000-0005-0000-0000-0000DB1E0000}"/>
    <cellStyle name="표준 9 5 3 2 2 4 2" xfId="8219" xr:uid="{00000000-0005-0000-0000-0000DC1E0000}"/>
    <cellStyle name="표준 9 5 3 2 2 5" xfId="6125" xr:uid="{00000000-0005-0000-0000-0000DD1E0000}"/>
    <cellStyle name="표준 9 5 3 2 3" xfId="3246" xr:uid="{00000000-0005-0000-0000-0000DE1E0000}"/>
    <cellStyle name="표준 9 5 3 2 3 2" xfId="4293" xr:uid="{00000000-0005-0000-0000-0000DF1E0000}"/>
    <cellStyle name="표준 9 5 3 2 3 2 2" xfId="7443" xr:uid="{00000000-0005-0000-0000-0000E01E0000}"/>
    <cellStyle name="표준 9 5 3 2 3 3" xfId="5331" xr:uid="{00000000-0005-0000-0000-0000E11E0000}"/>
    <cellStyle name="표준 9 5 3 2 3 3 2" xfId="8480" xr:uid="{00000000-0005-0000-0000-0000E21E0000}"/>
    <cellStyle name="표준 9 5 3 2 3 4" xfId="6396" xr:uid="{00000000-0005-0000-0000-0000E31E0000}"/>
    <cellStyle name="표준 9 5 3 2 4" xfId="3764" xr:uid="{00000000-0005-0000-0000-0000E41E0000}"/>
    <cellStyle name="표준 9 5 3 2 4 2" xfId="6914" xr:uid="{00000000-0005-0000-0000-0000E51E0000}"/>
    <cellStyle name="표준 9 5 3 2 5" xfId="4811" xr:uid="{00000000-0005-0000-0000-0000E61E0000}"/>
    <cellStyle name="표준 9 5 3 2 5 2" xfId="7961" xr:uid="{00000000-0005-0000-0000-0000E71E0000}"/>
    <cellStyle name="표준 9 5 3 2 6" xfId="5867" xr:uid="{00000000-0005-0000-0000-0000E81E0000}"/>
    <cellStyle name="표준 9 5 3 3" xfId="2837" xr:uid="{00000000-0005-0000-0000-0000E91E0000}"/>
    <cellStyle name="표준 9 5 3 3 2" xfId="3375" xr:uid="{00000000-0005-0000-0000-0000EA1E0000}"/>
    <cellStyle name="표준 9 5 3 3 2 2" xfId="4422" xr:uid="{00000000-0005-0000-0000-0000EB1E0000}"/>
    <cellStyle name="표준 9 5 3 3 2 2 2" xfId="7572" xr:uid="{00000000-0005-0000-0000-0000EC1E0000}"/>
    <cellStyle name="표준 9 5 3 3 2 3" xfId="5460" xr:uid="{00000000-0005-0000-0000-0000ED1E0000}"/>
    <cellStyle name="표준 9 5 3 3 2 3 2" xfId="8609" xr:uid="{00000000-0005-0000-0000-0000EE1E0000}"/>
    <cellStyle name="표준 9 5 3 3 2 4" xfId="6525" xr:uid="{00000000-0005-0000-0000-0000EF1E0000}"/>
    <cellStyle name="표준 9 5 3 3 3" xfId="3893" xr:uid="{00000000-0005-0000-0000-0000F01E0000}"/>
    <cellStyle name="표준 9 5 3 3 3 2" xfId="7043" xr:uid="{00000000-0005-0000-0000-0000F11E0000}"/>
    <cellStyle name="표준 9 5 3 3 4" xfId="4940" xr:uid="{00000000-0005-0000-0000-0000F21E0000}"/>
    <cellStyle name="표준 9 5 3 3 4 2" xfId="8090" xr:uid="{00000000-0005-0000-0000-0000F31E0000}"/>
    <cellStyle name="표준 9 5 3 3 5" xfId="5996" xr:uid="{00000000-0005-0000-0000-0000F41E0000}"/>
    <cellStyle name="표준 9 5 3 4" xfId="3117" xr:uid="{00000000-0005-0000-0000-0000F51E0000}"/>
    <cellStyle name="표준 9 5 3 4 2" xfId="4164" xr:uid="{00000000-0005-0000-0000-0000F61E0000}"/>
    <cellStyle name="표준 9 5 3 4 2 2" xfId="7314" xr:uid="{00000000-0005-0000-0000-0000F71E0000}"/>
    <cellStyle name="표준 9 5 3 4 3" xfId="5202" xr:uid="{00000000-0005-0000-0000-0000F81E0000}"/>
    <cellStyle name="표준 9 5 3 4 3 2" xfId="8351" xr:uid="{00000000-0005-0000-0000-0000F91E0000}"/>
    <cellStyle name="표준 9 5 3 4 4" xfId="6267" xr:uid="{00000000-0005-0000-0000-0000FA1E0000}"/>
    <cellStyle name="표준 9 5 3 5" xfId="3635" xr:uid="{00000000-0005-0000-0000-0000FB1E0000}"/>
    <cellStyle name="표준 9 5 3 5 2" xfId="6785" xr:uid="{00000000-0005-0000-0000-0000FC1E0000}"/>
    <cellStyle name="표준 9 5 3 6" xfId="4682" xr:uid="{00000000-0005-0000-0000-0000FD1E0000}"/>
    <cellStyle name="표준 9 5 3 6 2" xfId="7832" xr:uid="{00000000-0005-0000-0000-0000FE1E0000}"/>
    <cellStyle name="표준 9 5 3 7" xfId="5738" xr:uid="{00000000-0005-0000-0000-0000FF1E0000}"/>
    <cellStyle name="표준 9 5 4" xfId="1852" xr:uid="{00000000-0005-0000-0000-0000001F0000}"/>
    <cellStyle name="표준 9 5 4 2" xfId="2642" xr:uid="{00000000-0005-0000-0000-0000011F0000}"/>
    <cellStyle name="표준 9 5 4 2 2" xfId="2967" xr:uid="{00000000-0005-0000-0000-0000021F0000}"/>
    <cellStyle name="표준 9 5 4 2 2 2" xfId="3505" xr:uid="{00000000-0005-0000-0000-0000031F0000}"/>
    <cellStyle name="표준 9 5 4 2 2 2 2" xfId="4552" xr:uid="{00000000-0005-0000-0000-0000041F0000}"/>
    <cellStyle name="표준 9 5 4 2 2 2 2 2" xfId="7702" xr:uid="{00000000-0005-0000-0000-0000051F0000}"/>
    <cellStyle name="표준 9 5 4 2 2 2 3" xfId="5590" xr:uid="{00000000-0005-0000-0000-0000061F0000}"/>
    <cellStyle name="표준 9 5 4 2 2 2 3 2" xfId="8739" xr:uid="{00000000-0005-0000-0000-0000071F0000}"/>
    <cellStyle name="표준 9 5 4 2 2 2 4" xfId="6655" xr:uid="{00000000-0005-0000-0000-0000081F0000}"/>
    <cellStyle name="표준 9 5 4 2 2 3" xfId="4023" xr:uid="{00000000-0005-0000-0000-0000091F0000}"/>
    <cellStyle name="표준 9 5 4 2 2 3 2" xfId="7173" xr:uid="{00000000-0005-0000-0000-00000A1F0000}"/>
    <cellStyle name="표준 9 5 4 2 2 4" xfId="5070" xr:uid="{00000000-0005-0000-0000-00000B1F0000}"/>
    <cellStyle name="표준 9 5 4 2 2 4 2" xfId="8220" xr:uid="{00000000-0005-0000-0000-00000C1F0000}"/>
    <cellStyle name="표준 9 5 4 2 2 5" xfId="6126" xr:uid="{00000000-0005-0000-0000-00000D1F0000}"/>
    <cellStyle name="표준 9 5 4 2 3" xfId="3180" xr:uid="{00000000-0005-0000-0000-00000E1F0000}"/>
    <cellStyle name="표준 9 5 4 2 3 2" xfId="4227" xr:uid="{00000000-0005-0000-0000-00000F1F0000}"/>
    <cellStyle name="표준 9 5 4 2 3 2 2" xfId="7377" xr:uid="{00000000-0005-0000-0000-0000101F0000}"/>
    <cellStyle name="표준 9 5 4 2 3 3" xfId="5265" xr:uid="{00000000-0005-0000-0000-0000111F0000}"/>
    <cellStyle name="표준 9 5 4 2 3 3 2" xfId="8414" xr:uid="{00000000-0005-0000-0000-0000121F0000}"/>
    <cellStyle name="표준 9 5 4 2 3 4" xfId="6330" xr:uid="{00000000-0005-0000-0000-0000131F0000}"/>
    <cellStyle name="표준 9 5 4 2 4" xfId="3698" xr:uid="{00000000-0005-0000-0000-0000141F0000}"/>
    <cellStyle name="표준 9 5 4 2 4 2" xfId="6848" xr:uid="{00000000-0005-0000-0000-0000151F0000}"/>
    <cellStyle name="표준 9 5 4 2 5" xfId="4745" xr:uid="{00000000-0005-0000-0000-0000161F0000}"/>
    <cellStyle name="표준 9 5 4 2 5 2" xfId="7895" xr:uid="{00000000-0005-0000-0000-0000171F0000}"/>
    <cellStyle name="표준 9 5 4 2 6" xfId="5801" xr:uid="{00000000-0005-0000-0000-0000181F0000}"/>
    <cellStyle name="표준 9 5 4 3" xfId="2771" xr:uid="{00000000-0005-0000-0000-0000191F0000}"/>
    <cellStyle name="표준 9 5 4 3 2" xfId="3309" xr:uid="{00000000-0005-0000-0000-00001A1F0000}"/>
    <cellStyle name="표준 9 5 4 3 2 2" xfId="4356" xr:uid="{00000000-0005-0000-0000-00001B1F0000}"/>
    <cellStyle name="표준 9 5 4 3 2 2 2" xfId="7506" xr:uid="{00000000-0005-0000-0000-00001C1F0000}"/>
    <cellStyle name="표준 9 5 4 3 2 3" xfId="5394" xr:uid="{00000000-0005-0000-0000-00001D1F0000}"/>
    <cellStyle name="표준 9 5 4 3 2 3 2" xfId="8543" xr:uid="{00000000-0005-0000-0000-00001E1F0000}"/>
    <cellStyle name="표준 9 5 4 3 2 4" xfId="6459" xr:uid="{00000000-0005-0000-0000-00001F1F0000}"/>
    <cellStyle name="표준 9 5 4 3 3" xfId="3827" xr:uid="{00000000-0005-0000-0000-0000201F0000}"/>
    <cellStyle name="표준 9 5 4 3 3 2" xfId="6977" xr:uid="{00000000-0005-0000-0000-0000211F0000}"/>
    <cellStyle name="표준 9 5 4 3 4" xfId="4874" xr:uid="{00000000-0005-0000-0000-0000221F0000}"/>
    <cellStyle name="표준 9 5 4 3 4 2" xfId="8024" xr:uid="{00000000-0005-0000-0000-0000231F0000}"/>
    <cellStyle name="표준 9 5 4 3 5" xfId="5930" xr:uid="{00000000-0005-0000-0000-0000241F0000}"/>
    <cellStyle name="표준 9 5 4 4" xfId="3051" xr:uid="{00000000-0005-0000-0000-0000251F0000}"/>
    <cellStyle name="표준 9 5 4 4 2" xfId="4098" xr:uid="{00000000-0005-0000-0000-0000261F0000}"/>
    <cellStyle name="표준 9 5 4 4 2 2" xfId="7248" xr:uid="{00000000-0005-0000-0000-0000271F0000}"/>
    <cellStyle name="표준 9 5 4 4 3" xfId="5136" xr:uid="{00000000-0005-0000-0000-0000281F0000}"/>
    <cellStyle name="표준 9 5 4 4 3 2" xfId="8285" xr:uid="{00000000-0005-0000-0000-0000291F0000}"/>
    <cellStyle name="표준 9 5 4 4 4" xfId="6201" xr:uid="{00000000-0005-0000-0000-00002A1F0000}"/>
    <cellStyle name="표준 9 5 4 5" xfId="3569" xr:uid="{00000000-0005-0000-0000-00002B1F0000}"/>
    <cellStyle name="표준 9 5 4 5 2" xfId="6719" xr:uid="{00000000-0005-0000-0000-00002C1F0000}"/>
    <cellStyle name="표준 9 5 4 6" xfId="4616" xr:uid="{00000000-0005-0000-0000-00002D1F0000}"/>
    <cellStyle name="표준 9 5 4 6 2" xfId="7766" xr:uid="{00000000-0005-0000-0000-00002E1F0000}"/>
    <cellStyle name="표준 9 5 4 7" xfId="5672" xr:uid="{00000000-0005-0000-0000-00002F1F0000}"/>
    <cellStyle name="표준 9 5 5" xfId="2613" xr:uid="{00000000-0005-0000-0000-0000301F0000}"/>
    <cellStyle name="표준 9 5 5 2" xfId="2968" xr:uid="{00000000-0005-0000-0000-0000311F0000}"/>
    <cellStyle name="표준 9 5 5 2 2" xfId="3506" xr:uid="{00000000-0005-0000-0000-0000321F0000}"/>
    <cellStyle name="표준 9 5 5 2 2 2" xfId="4553" xr:uid="{00000000-0005-0000-0000-0000331F0000}"/>
    <cellStyle name="표준 9 5 5 2 2 2 2" xfId="7703" xr:uid="{00000000-0005-0000-0000-0000341F0000}"/>
    <cellStyle name="표준 9 5 5 2 2 3" xfId="5591" xr:uid="{00000000-0005-0000-0000-0000351F0000}"/>
    <cellStyle name="표준 9 5 5 2 2 3 2" xfId="8740" xr:uid="{00000000-0005-0000-0000-0000361F0000}"/>
    <cellStyle name="표준 9 5 5 2 2 4" xfId="6656" xr:uid="{00000000-0005-0000-0000-0000371F0000}"/>
    <cellStyle name="표준 9 5 5 2 3" xfId="4024" xr:uid="{00000000-0005-0000-0000-0000381F0000}"/>
    <cellStyle name="표준 9 5 5 2 3 2" xfId="7174" xr:uid="{00000000-0005-0000-0000-0000391F0000}"/>
    <cellStyle name="표준 9 5 5 2 4" xfId="5071" xr:uid="{00000000-0005-0000-0000-00003A1F0000}"/>
    <cellStyle name="표준 9 5 5 2 4 2" xfId="8221" xr:uid="{00000000-0005-0000-0000-00003B1F0000}"/>
    <cellStyle name="표준 9 5 5 2 5" xfId="6127" xr:uid="{00000000-0005-0000-0000-00003C1F0000}"/>
    <cellStyle name="표준 9 5 5 3" xfId="3151" xr:uid="{00000000-0005-0000-0000-00003D1F0000}"/>
    <cellStyle name="표준 9 5 5 3 2" xfId="4198" xr:uid="{00000000-0005-0000-0000-00003E1F0000}"/>
    <cellStyle name="표준 9 5 5 3 2 2" xfId="7348" xr:uid="{00000000-0005-0000-0000-00003F1F0000}"/>
    <cellStyle name="표준 9 5 5 3 3" xfId="5236" xr:uid="{00000000-0005-0000-0000-0000401F0000}"/>
    <cellStyle name="표준 9 5 5 3 3 2" xfId="8385" xr:uid="{00000000-0005-0000-0000-0000411F0000}"/>
    <cellStyle name="표준 9 5 5 3 4" xfId="6301" xr:uid="{00000000-0005-0000-0000-0000421F0000}"/>
    <cellStyle name="표준 9 5 5 4" xfId="3669" xr:uid="{00000000-0005-0000-0000-0000431F0000}"/>
    <cellStyle name="표준 9 5 5 4 2" xfId="6819" xr:uid="{00000000-0005-0000-0000-0000441F0000}"/>
    <cellStyle name="표준 9 5 5 5" xfId="4716" xr:uid="{00000000-0005-0000-0000-0000451F0000}"/>
    <cellStyle name="표준 9 5 5 5 2" xfId="7866" xr:uid="{00000000-0005-0000-0000-0000461F0000}"/>
    <cellStyle name="표준 9 5 5 6" xfId="5772" xr:uid="{00000000-0005-0000-0000-0000471F0000}"/>
    <cellStyle name="표준 9 5 6" xfId="2742" xr:uid="{00000000-0005-0000-0000-0000481F0000}"/>
    <cellStyle name="표준 9 5 6 2" xfId="3280" xr:uid="{00000000-0005-0000-0000-0000491F0000}"/>
    <cellStyle name="표준 9 5 6 2 2" xfId="4327" xr:uid="{00000000-0005-0000-0000-00004A1F0000}"/>
    <cellStyle name="표준 9 5 6 2 2 2" xfId="7477" xr:uid="{00000000-0005-0000-0000-00004B1F0000}"/>
    <cellStyle name="표준 9 5 6 2 3" xfId="5365" xr:uid="{00000000-0005-0000-0000-00004C1F0000}"/>
    <cellStyle name="표준 9 5 6 2 3 2" xfId="8514" xr:uid="{00000000-0005-0000-0000-00004D1F0000}"/>
    <cellStyle name="표준 9 5 6 2 4" xfId="6430" xr:uid="{00000000-0005-0000-0000-00004E1F0000}"/>
    <cellStyle name="표준 9 5 6 3" xfId="3798" xr:uid="{00000000-0005-0000-0000-00004F1F0000}"/>
    <cellStyle name="표준 9 5 6 3 2" xfId="6948" xr:uid="{00000000-0005-0000-0000-0000501F0000}"/>
    <cellStyle name="표준 9 5 6 4" xfId="4845" xr:uid="{00000000-0005-0000-0000-0000511F0000}"/>
    <cellStyle name="표준 9 5 6 4 2" xfId="7995" xr:uid="{00000000-0005-0000-0000-0000521F0000}"/>
    <cellStyle name="표준 9 5 6 5" xfId="5901" xr:uid="{00000000-0005-0000-0000-0000531F0000}"/>
    <cellStyle name="표준 9 5 7" xfId="3022" xr:uid="{00000000-0005-0000-0000-0000541F0000}"/>
    <cellStyle name="표준 9 5 7 2" xfId="4069" xr:uid="{00000000-0005-0000-0000-0000551F0000}"/>
    <cellStyle name="표준 9 5 7 2 2" xfId="7219" xr:uid="{00000000-0005-0000-0000-0000561F0000}"/>
    <cellStyle name="표준 9 5 7 3" xfId="5107" xr:uid="{00000000-0005-0000-0000-0000571F0000}"/>
    <cellStyle name="표준 9 5 7 3 2" xfId="8256" xr:uid="{00000000-0005-0000-0000-0000581F0000}"/>
    <cellStyle name="표준 9 5 7 4" xfId="6172" xr:uid="{00000000-0005-0000-0000-0000591F0000}"/>
    <cellStyle name="표준 9 5 8" xfId="3540" xr:uid="{00000000-0005-0000-0000-00005A1F0000}"/>
    <cellStyle name="표준 9 5 8 2" xfId="6690" xr:uid="{00000000-0005-0000-0000-00005B1F0000}"/>
    <cellStyle name="표준 9 5 9" xfId="4587" xr:uid="{00000000-0005-0000-0000-00005C1F0000}"/>
    <cellStyle name="표준 9 5 9 2" xfId="7737" xr:uid="{00000000-0005-0000-0000-00005D1F0000}"/>
    <cellStyle name="표준 9 6" xfId="1828" xr:uid="{00000000-0005-0000-0000-00005E1F0000}"/>
    <cellStyle name="표준 9 6 10" xfId="5648" xr:uid="{00000000-0005-0000-0000-00005F1F0000}"/>
    <cellStyle name="표준 9 6 2" xfId="1890" xr:uid="{00000000-0005-0000-0000-0000601F0000}"/>
    <cellStyle name="표준 9 6 2 2" xfId="2680" xr:uid="{00000000-0005-0000-0000-0000611F0000}"/>
    <cellStyle name="표준 9 6 2 2 2" xfId="2969" xr:uid="{00000000-0005-0000-0000-0000621F0000}"/>
    <cellStyle name="표준 9 6 2 2 2 2" xfId="3507" xr:uid="{00000000-0005-0000-0000-0000631F0000}"/>
    <cellStyle name="표준 9 6 2 2 2 2 2" xfId="4554" xr:uid="{00000000-0005-0000-0000-0000641F0000}"/>
    <cellStyle name="표준 9 6 2 2 2 2 2 2" xfId="7704" xr:uid="{00000000-0005-0000-0000-0000651F0000}"/>
    <cellStyle name="표준 9 6 2 2 2 2 3" xfId="5592" xr:uid="{00000000-0005-0000-0000-0000661F0000}"/>
    <cellStyle name="표준 9 6 2 2 2 2 3 2" xfId="8741" xr:uid="{00000000-0005-0000-0000-0000671F0000}"/>
    <cellStyle name="표준 9 6 2 2 2 2 4" xfId="6657" xr:uid="{00000000-0005-0000-0000-0000681F0000}"/>
    <cellStyle name="표준 9 6 2 2 2 3" xfId="4025" xr:uid="{00000000-0005-0000-0000-0000691F0000}"/>
    <cellStyle name="표준 9 6 2 2 2 3 2" xfId="7175" xr:uid="{00000000-0005-0000-0000-00006A1F0000}"/>
    <cellStyle name="표준 9 6 2 2 2 4" xfId="5072" xr:uid="{00000000-0005-0000-0000-00006B1F0000}"/>
    <cellStyle name="표준 9 6 2 2 2 4 2" xfId="8222" xr:uid="{00000000-0005-0000-0000-00006C1F0000}"/>
    <cellStyle name="표준 9 6 2 2 2 5" xfId="6128" xr:uid="{00000000-0005-0000-0000-00006D1F0000}"/>
    <cellStyle name="표준 9 6 2 2 3" xfId="3218" xr:uid="{00000000-0005-0000-0000-00006E1F0000}"/>
    <cellStyle name="표준 9 6 2 2 3 2" xfId="4265" xr:uid="{00000000-0005-0000-0000-00006F1F0000}"/>
    <cellStyle name="표준 9 6 2 2 3 2 2" xfId="7415" xr:uid="{00000000-0005-0000-0000-0000701F0000}"/>
    <cellStyle name="표준 9 6 2 2 3 3" xfId="5303" xr:uid="{00000000-0005-0000-0000-0000711F0000}"/>
    <cellStyle name="표준 9 6 2 2 3 3 2" xfId="8452" xr:uid="{00000000-0005-0000-0000-0000721F0000}"/>
    <cellStyle name="표준 9 6 2 2 3 4" xfId="6368" xr:uid="{00000000-0005-0000-0000-0000731F0000}"/>
    <cellStyle name="표준 9 6 2 2 4" xfId="3736" xr:uid="{00000000-0005-0000-0000-0000741F0000}"/>
    <cellStyle name="표준 9 6 2 2 4 2" xfId="6886" xr:uid="{00000000-0005-0000-0000-0000751F0000}"/>
    <cellStyle name="표준 9 6 2 2 5" xfId="4783" xr:uid="{00000000-0005-0000-0000-0000761F0000}"/>
    <cellStyle name="표준 9 6 2 2 5 2" xfId="7933" xr:uid="{00000000-0005-0000-0000-0000771F0000}"/>
    <cellStyle name="표준 9 6 2 2 6" xfId="5839" xr:uid="{00000000-0005-0000-0000-0000781F0000}"/>
    <cellStyle name="표준 9 6 2 3" xfId="2809" xr:uid="{00000000-0005-0000-0000-0000791F0000}"/>
    <cellStyle name="표준 9 6 2 3 2" xfId="3347" xr:uid="{00000000-0005-0000-0000-00007A1F0000}"/>
    <cellStyle name="표준 9 6 2 3 2 2" xfId="4394" xr:uid="{00000000-0005-0000-0000-00007B1F0000}"/>
    <cellStyle name="표준 9 6 2 3 2 2 2" xfId="7544" xr:uid="{00000000-0005-0000-0000-00007C1F0000}"/>
    <cellStyle name="표준 9 6 2 3 2 3" xfId="5432" xr:uid="{00000000-0005-0000-0000-00007D1F0000}"/>
    <cellStyle name="표준 9 6 2 3 2 3 2" xfId="8581" xr:uid="{00000000-0005-0000-0000-00007E1F0000}"/>
    <cellStyle name="표준 9 6 2 3 2 4" xfId="6497" xr:uid="{00000000-0005-0000-0000-00007F1F0000}"/>
    <cellStyle name="표준 9 6 2 3 3" xfId="3865" xr:uid="{00000000-0005-0000-0000-0000801F0000}"/>
    <cellStyle name="표준 9 6 2 3 3 2" xfId="7015" xr:uid="{00000000-0005-0000-0000-0000811F0000}"/>
    <cellStyle name="표준 9 6 2 3 4" xfId="4912" xr:uid="{00000000-0005-0000-0000-0000821F0000}"/>
    <cellStyle name="표준 9 6 2 3 4 2" xfId="8062" xr:uid="{00000000-0005-0000-0000-0000831F0000}"/>
    <cellStyle name="표준 9 6 2 3 5" xfId="5968" xr:uid="{00000000-0005-0000-0000-0000841F0000}"/>
    <cellStyle name="표준 9 6 2 4" xfId="3089" xr:uid="{00000000-0005-0000-0000-0000851F0000}"/>
    <cellStyle name="표준 9 6 2 4 2" xfId="4136" xr:uid="{00000000-0005-0000-0000-0000861F0000}"/>
    <cellStyle name="표준 9 6 2 4 2 2" xfId="7286" xr:uid="{00000000-0005-0000-0000-0000871F0000}"/>
    <cellStyle name="표준 9 6 2 4 3" xfId="5174" xr:uid="{00000000-0005-0000-0000-0000881F0000}"/>
    <cellStyle name="표준 9 6 2 4 3 2" xfId="8323" xr:uid="{00000000-0005-0000-0000-0000891F0000}"/>
    <cellStyle name="표준 9 6 2 4 4" xfId="6239" xr:uid="{00000000-0005-0000-0000-00008A1F0000}"/>
    <cellStyle name="표준 9 6 2 5" xfId="3607" xr:uid="{00000000-0005-0000-0000-00008B1F0000}"/>
    <cellStyle name="표준 9 6 2 5 2" xfId="6757" xr:uid="{00000000-0005-0000-0000-00008C1F0000}"/>
    <cellStyle name="표준 9 6 2 6" xfId="4654" xr:uid="{00000000-0005-0000-0000-00008D1F0000}"/>
    <cellStyle name="표준 9 6 2 6 2" xfId="7804" xr:uid="{00000000-0005-0000-0000-00008E1F0000}"/>
    <cellStyle name="표준 9 6 2 7" xfId="5710" xr:uid="{00000000-0005-0000-0000-00008F1F0000}"/>
    <cellStyle name="표준 9 6 3" xfId="1923" xr:uid="{00000000-0005-0000-0000-0000901F0000}"/>
    <cellStyle name="표준 9 6 3 2" xfId="2713" xr:uid="{00000000-0005-0000-0000-0000911F0000}"/>
    <cellStyle name="표준 9 6 3 2 2" xfId="2970" xr:uid="{00000000-0005-0000-0000-0000921F0000}"/>
    <cellStyle name="표준 9 6 3 2 2 2" xfId="3508" xr:uid="{00000000-0005-0000-0000-0000931F0000}"/>
    <cellStyle name="표준 9 6 3 2 2 2 2" xfId="4555" xr:uid="{00000000-0005-0000-0000-0000941F0000}"/>
    <cellStyle name="표준 9 6 3 2 2 2 2 2" xfId="7705" xr:uid="{00000000-0005-0000-0000-0000951F0000}"/>
    <cellStyle name="표준 9 6 3 2 2 2 3" xfId="5593" xr:uid="{00000000-0005-0000-0000-0000961F0000}"/>
    <cellStyle name="표준 9 6 3 2 2 2 3 2" xfId="8742" xr:uid="{00000000-0005-0000-0000-0000971F0000}"/>
    <cellStyle name="표준 9 6 3 2 2 2 4" xfId="6658" xr:uid="{00000000-0005-0000-0000-0000981F0000}"/>
    <cellStyle name="표준 9 6 3 2 2 3" xfId="4026" xr:uid="{00000000-0005-0000-0000-0000991F0000}"/>
    <cellStyle name="표준 9 6 3 2 2 3 2" xfId="7176" xr:uid="{00000000-0005-0000-0000-00009A1F0000}"/>
    <cellStyle name="표준 9 6 3 2 2 4" xfId="5073" xr:uid="{00000000-0005-0000-0000-00009B1F0000}"/>
    <cellStyle name="표준 9 6 3 2 2 4 2" xfId="8223" xr:uid="{00000000-0005-0000-0000-00009C1F0000}"/>
    <cellStyle name="표준 9 6 3 2 2 5" xfId="6129" xr:uid="{00000000-0005-0000-0000-00009D1F0000}"/>
    <cellStyle name="표준 9 6 3 2 3" xfId="3251" xr:uid="{00000000-0005-0000-0000-00009E1F0000}"/>
    <cellStyle name="표준 9 6 3 2 3 2" xfId="4298" xr:uid="{00000000-0005-0000-0000-00009F1F0000}"/>
    <cellStyle name="표준 9 6 3 2 3 2 2" xfId="7448" xr:uid="{00000000-0005-0000-0000-0000A01F0000}"/>
    <cellStyle name="표준 9 6 3 2 3 3" xfId="5336" xr:uid="{00000000-0005-0000-0000-0000A11F0000}"/>
    <cellStyle name="표준 9 6 3 2 3 3 2" xfId="8485" xr:uid="{00000000-0005-0000-0000-0000A21F0000}"/>
    <cellStyle name="표준 9 6 3 2 3 4" xfId="6401" xr:uid="{00000000-0005-0000-0000-0000A31F0000}"/>
    <cellStyle name="표준 9 6 3 2 4" xfId="3769" xr:uid="{00000000-0005-0000-0000-0000A41F0000}"/>
    <cellStyle name="표준 9 6 3 2 4 2" xfId="6919" xr:uid="{00000000-0005-0000-0000-0000A51F0000}"/>
    <cellStyle name="표준 9 6 3 2 5" xfId="4816" xr:uid="{00000000-0005-0000-0000-0000A61F0000}"/>
    <cellStyle name="표준 9 6 3 2 5 2" xfId="7966" xr:uid="{00000000-0005-0000-0000-0000A71F0000}"/>
    <cellStyle name="표준 9 6 3 2 6" xfId="5872" xr:uid="{00000000-0005-0000-0000-0000A81F0000}"/>
    <cellStyle name="표준 9 6 3 3" xfId="2842" xr:uid="{00000000-0005-0000-0000-0000A91F0000}"/>
    <cellStyle name="표준 9 6 3 3 2" xfId="3380" xr:uid="{00000000-0005-0000-0000-0000AA1F0000}"/>
    <cellStyle name="표준 9 6 3 3 2 2" xfId="4427" xr:uid="{00000000-0005-0000-0000-0000AB1F0000}"/>
    <cellStyle name="표준 9 6 3 3 2 2 2" xfId="7577" xr:uid="{00000000-0005-0000-0000-0000AC1F0000}"/>
    <cellStyle name="표준 9 6 3 3 2 3" xfId="5465" xr:uid="{00000000-0005-0000-0000-0000AD1F0000}"/>
    <cellStyle name="표준 9 6 3 3 2 3 2" xfId="8614" xr:uid="{00000000-0005-0000-0000-0000AE1F0000}"/>
    <cellStyle name="표준 9 6 3 3 2 4" xfId="6530" xr:uid="{00000000-0005-0000-0000-0000AF1F0000}"/>
    <cellStyle name="표준 9 6 3 3 3" xfId="3898" xr:uid="{00000000-0005-0000-0000-0000B01F0000}"/>
    <cellStyle name="표준 9 6 3 3 3 2" xfId="7048" xr:uid="{00000000-0005-0000-0000-0000B11F0000}"/>
    <cellStyle name="표준 9 6 3 3 4" xfId="4945" xr:uid="{00000000-0005-0000-0000-0000B21F0000}"/>
    <cellStyle name="표준 9 6 3 3 4 2" xfId="8095" xr:uid="{00000000-0005-0000-0000-0000B31F0000}"/>
    <cellStyle name="표준 9 6 3 3 5" xfId="6001" xr:uid="{00000000-0005-0000-0000-0000B41F0000}"/>
    <cellStyle name="표준 9 6 3 4" xfId="3122" xr:uid="{00000000-0005-0000-0000-0000B51F0000}"/>
    <cellStyle name="표준 9 6 3 4 2" xfId="4169" xr:uid="{00000000-0005-0000-0000-0000B61F0000}"/>
    <cellStyle name="표준 9 6 3 4 2 2" xfId="7319" xr:uid="{00000000-0005-0000-0000-0000B71F0000}"/>
    <cellStyle name="표준 9 6 3 4 3" xfId="5207" xr:uid="{00000000-0005-0000-0000-0000B81F0000}"/>
    <cellStyle name="표준 9 6 3 4 3 2" xfId="8356" xr:uid="{00000000-0005-0000-0000-0000B91F0000}"/>
    <cellStyle name="표준 9 6 3 4 4" xfId="6272" xr:uid="{00000000-0005-0000-0000-0000BA1F0000}"/>
    <cellStyle name="표준 9 6 3 5" xfId="3640" xr:uid="{00000000-0005-0000-0000-0000BB1F0000}"/>
    <cellStyle name="표준 9 6 3 5 2" xfId="6790" xr:uid="{00000000-0005-0000-0000-0000BC1F0000}"/>
    <cellStyle name="표준 9 6 3 6" xfId="4687" xr:uid="{00000000-0005-0000-0000-0000BD1F0000}"/>
    <cellStyle name="표준 9 6 3 6 2" xfId="7837" xr:uid="{00000000-0005-0000-0000-0000BE1F0000}"/>
    <cellStyle name="표준 9 6 3 7" xfId="5743" xr:uid="{00000000-0005-0000-0000-0000BF1F0000}"/>
    <cellStyle name="표준 9 6 4" xfId="1857" xr:uid="{00000000-0005-0000-0000-0000C01F0000}"/>
    <cellStyle name="표준 9 6 4 2" xfId="2647" xr:uid="{00000000-0005-0000-0000-0000C11F0000}"/>
    <cellStyle name="표준 9 6 4 2 2" xfId="2971" xr:uid="{00000000-0005-0000-0000-0000C21F0000}"/>
    <cellStyle name="표준 9 6 4 2 2 2" xfId="3509" xr:uid="{00000000-0005-0000-0000-0000C31F0000}"/>
    <cellStyle name="표준 9 6 4 2 2 2 2" xfId="4556" xr:uid="{00000000-0005-0000-0000-0000C41F0000}"/>
    <cellStyle name="표준 9 6 4 2 2 2 2 2" xfId="7706" xr:uid="{00000000-0005-0000-0000-0000C51F0000}"/>
    <cellStyle name="표준 9 6 4 2 2 2 3" xfId="5594" xr:uid="{00000000-0005-0000-0000-0000C61F0000}"/>
    <cellStyle name="표준 9 6 4 2 2 2 3 2" xfId="8743" xr:uid="{00000000-0005-0000-0000-0000C71F0000}"/>
    <cellStyle name="표준 9 6 4 2 2 2 4" xfId="6659" xr:uid="{00000000-0005-0000-0000-0000C81F0000}"/>
    <cellStyle name="표준 9 6 4 2 2 3" xfId="4027" xr:uid="{00000000-0005-0000-0000-0000C91F0000}"/>
    <cellStyle name="표준 9 6 4 2 2 3 2" xfId="7177" xr:uid="{00000000-0005-0000-0000-0000CA1F0000}"/>
    <cellStyle name="표준 9 6 4 2 2 4" xfId="5074" xr:uid="{00000000-0005-0000-0000-0000CB1F0000}"/>
    <cellStyle name="표준 9 6 4 2 2 4 2" xfId="8224" xr:uid="{00000000-0005-0000-0000-0000CC1F0000}"/>
    <cellStyle name="표준 9 6 4 2 2 5" xfId="6130" xr:uid="{00000000-0005-0000-0000-0000CD1F0000}"/>
    <cellStyle name="표준 9 6 4 2 3" xfId="3185" xr:uid="{00000000-0005-0000-0000-0000CE1F0000}"/>
    <cellStyle name="표준 9 6 4 2 3 2" xfId="4232" xr:uid="{00000000-0005-0000-0000-0000CF1F0000}"/>
    <cellStyle name="표준 9 6 4 2 3 2 2" xfId="7382" xr:uid="{00000000-0005-0000-0000-0000D01F0000}"/>
    <cellStyle name="표준 9 6 4 2 3 3" xfId="5270" xr:uid="{00000000-0005-0000-0000-0000D11F0000}"/>
    <cellStyle name="표준 9 6 4 2 3 3 2" xfId="8419" xr:uid="{00000000-0005-0000-0000-0000D21F0000}"/>
    <cellStyle name="표준 9 6 4 2 3 4" xfId="6335" xr:uid="{00000000-0005-0000-0000-0000D31F0000}"/>
    <cellStyle name="표준 9 6 4 2 4" xfId="3703" xr:uid="{00000000-0005-0000-0000-0000D41F0000}"/>
    <cellStyle name="표준 9 6 4 2 4 2" xfId="6853" xr:uid="{00000000-0005-0000-0000-0000D51F0000}"/>
    <cellStyle name="표준 9 6 4 2 5" xfId="4750" xr:uid="{00000000-0005-0000-0000-0000D61F0000}"/>
    <cellStyle name="표준 9 6 4 2 5 2" xfId="7900" xr:uid="{00000000-0005-0000-0000-0000D71F0000}"/>
    <cellStyle name="표준 9 6 4 2 6" xfId="5806" xr:uid="{00000000-0005-0000-0000-0000D81F0000}"/>
    <cellStyle name="표준 9 6 4 3" xfId="2776" xr:uid="{00000000-0005-0000-0000-0000D91F0000}"/>
    <cellStyle name="표준 9 6 4 3 2" xfId="3314" xr:uid="{00000000-0005-0000-0000-0000DA1F0000}"/>
    <cellStyle name="표준 9 6 4 3 2 2" xfId="4361" xr:uid="{00000000-0005-0000-0000-0000DB1F0000}"/>
    <cellStyle name="표준 9 6 4 3 2 2 2" xfId="7511" xr:uid="{00000000-0005-0000-0000-0000DC1F0000}"/>
    <cellStyle name="표준 9 6 4 3 2 3" xfId="5399" xr:uid="{00000000-0005-0000-0000-0000DD1F0000}"/>
    <cellStyle name="표준 9 6 4 3 2 3 2" xfId="8548" xr:uid="{00000000-0005-0000-0000-0000DE1F0000}"/>
    <cellStyle name="표준 9 6 4 3 2 4" xfId="6464" xr:uid="{00000000-0005-0000-0000-0000DF1F0000}"/>
    <cellStyle name="표준 9 6 4 3 3" xfId="3832" xr:uid="{00000000-0005-0000-0000-0000E01F0000}"/>
    <cellStyle name="표준 9 6 4 3 3 2" xfId="6982" xr:uid="{00000000-0005-0000-0000-0000E11F0000}"/>
    <cellStyle name="표준 9 6 4 3 4" xfId="4879" xr:uid="{00000000-0005-0000-0000-0000E21F0000}"/>
    <cellStyle name="표준 9 6 4 3 4 2" xfId="8029" xr:uid="{00000000-0005-0000-0000-0000E31F0000}"/>
    <cellStyle name="표준 9 6 4 3 5" xfId="5935" xr:uid="{00000000-0005-0000-0000-0000E41F0000}"/>
    <cellStyle name="표준 9 6 4 4" xfId="3056" xr:uid="{00000000-0005-0000-0000-0000E51F0000}"/>
    <cellStyle name="표준 9 6 4 4 2" xfId="4103" xr:uid="{00000000-0005-0000-0000-0000E61F0000}"/>
    <cellStyle name="표준 9 6 4 4 2 2" xfId="7253" xr:uid="{00000000-0005-0000-0000-0000E71F0000}"/>
    <cellStyle name="표준 9 6 4 4 3" xfId="5141" xr:uid="{00000000-0005-0000-0000-0000E81F0000}"/>
    <cellStyle name="표준 9 6 4 4 3 2" xfId="8290" xr:uid="{00000000-0005-0000-0000-0000E91F0000}"/>
    <cellStyle name="표준 9 6 4 4 4" xfId="6206" xr:uid="{00000000-0005-0000-0000-0000EA1F0000}"/>
    <cellStyle name="표준 9 6 4 5" xfId="3574" xr:uid="{00000000-0005-0000-0000-0000EB1F0000}"/>
    <cellStyle name="표준 9 6 4 5 2" xfId="6724" xr:uid="{00000000-0005-0000-0000-0000EC1F0000}"/>
    <cellStyle name="표준 9 6 4 6" xfId="4621" xr:uid="{00000000-0005-0000-0000-0000ED1F0000}"/>
    <cellStyle name="표준 9 6 4 6 2" xfId="7771" xr:uid="{00000000-0005-0000-0000-0000EE1F0000}"/>
    <cellStyle name="표준 9 6 4 7" xfId="5677" xr:uid="{00000000-0005-0000-0000-0000EF1F0000}"/>
    <cellStyle name="표준 9 6 5" xfId="2618" xr:uid="{00000000-0005-0000-0000-0000F01F0000}"/>
    <cellStyle name="표준 9 6 5 2" xfId="2972" xr:uid="{00000000-0005-0000-0000-0000F11F0000}"/>
    <cellStyle name="표준 9 6 5 2 2" xfId="3510" xr:uid="{00000000-0005-0000-0000-0000F21F0000}"/>
    <cellStyle name="표준 9 6 5 2 2 2" xfId="4557" xr:uid="{00000000-0005-0000-0000-0000F31F0000}"/>
    <cellStyle name="표준 9 6 5 2 2 2 2" xfId="7707" xr:uid="{00000000-0005-0000-0000-0000F41F0000}"/>
    <cellStyle name="표준 9 6 5 2 2 3" xfId="5595" xr:uid="{00000000-0005-0000-0000-0000F51F0000}"/>
    <cellStyle name="표준 9 6 5 2 2 3 2" xfId="8744" xr:uid="{00000000-0005-0000-0000-0000F61F0000}"/>
    <cellStyle name="표준 9 6 5 2 2 4" xfId="6660" xr:uid="{00000000-0005-0000-0000-0000F71F0000}"/>
    <cellStyle name="표준 9 6 5 2 3" xfId="4028" xr:uid="{00000000-0005-0000-0000-0000F81F0000}"/>
    <cellStyle name="표준 9 6 5 2 3 2" xfId="7178" xr:uid="{00000000-0005-0000-0000-0000F91F0000}"/>
    <cellStyle name="표준 9 6 5 2 4" xfId="5075" xr:uid="{00000000-0005-0000-0000-0000FA1F0000}"/>
    <cellStyle name="표준 9 6 5 2 4 2" xfId="8225" xr:uid="{00000000-0005-0000-0000-0000FB1F0000}"/>
    <cellStyle name="표준 9 6 5 2 5" xfId="6131" xr:uid="{00000000-0005-0000-0000-0000FC1F0000}"/>
    <cellStyle name="표준 9 6 5 3" xfId="3156" xr:uid="{00000000-0005-0000-0000-0000FD1F0000}"/>
    <cellStyle name="표준 9 6 5 3 2" xfId="4203" xr:uid="{00000000-0005-0000-0000-0000FE1F0000}"/>
    <cellStyle name="표준 9 6 5 3 2 2" xfId="7353" xr:uid="{00000000-0005-0000-0000-0000FF1F0000}"/>
    <cellStyle name="표준 9 6 5 3 3" xfId="5241" xr:uid="{00000000-0005-0000-0000-000000200000}"/>
    <cellStyle name="표준 9 6 5 3 3 2" xfId="8390" xr:uid="{00000000-0005-0000-0000-000001200000}"/>
    <cellStyle name="표준 9 6 5 3 4" xfId="6306" xr:uid="{00000000-0005-0000-0000-000002200000}"/>
    <cellStyle name="표준 9 6 5 4" xfId="3674" xr:uid="{00000000-0005-0000-0000-000003200000}"/>
    <cellStyle name="표준 9 6 5 4 2" xfId="6824" xr:uid="{00000000-0005-0000-0000-000004200000}"/>
    <cellStyle name="표준 9 6 5 5" xfId="4721" xr:uid="{00000000-0005-0000-0000-000005200000}"/>
    <cellStyle name="표준 9 6 5 5 2" xfId="7871" xr:uid="{00000000-0005-0000-0000-000006200000}"/>
    <cellStyle name="표준 9 6 5 6" xfId="5777" xr:uid="{00000000-0005-0000-0000-000007200000}"/>
    <cellStyle name="표준 9 6 6" xfId="2747" xr:uid="{00000000-0005-0000-0000-000008200000}"/>
    <cellStyle name="표준 9 6 6 2" xfId="3285" xr:uid="{00000000-0005-0000-0000-000009200000}"/>
    <cellStyle name="표준 9 6 6 2 2" xfId="4332" xr:uid="{00000000-0005-0000-0000-00000A200000}"/>
    <cellStyle name="표준 9 6 6 2 2 2" xfId="7482" xr:uid="{00000000-0005-0000-0000-00000B200000}"/>
    <cellStyle name="표준 9 6 6 2 3" xfId="5370" xr:uid="{00000000-0005-0000-0000-00000C200000}"/>
    <cellStyle name="표준 9 6 6 2 3 2" xfId="8519" xr:uid="{00000000-0005-0000-0000-00000D200000}"/>
    <cellStyle name="표준 9 6 6 2 4" xfId="6435" xr:uid="{00000000-0005-0000-0000-00000E200000}"/>
    <cellStyle name="표준 9 6 6 3" xfId="3803" xr:uid="{00000000-0005-0000-0000-00000F200000}"/>
    <cellStyle name="표준 9 6 6 3 2" xfId="6953" xr:uid="{00000000-0005-0000-0000-000010200000}"/>
    <cellStyle name="표준 9 6 6 4" xfId="4850" xr:uid="{00000000-0005-0000-0000-000011200000}"/>
    <cellStyle name="표준 9 6 6 4 2" xfId="8000" xr:uid="{00000000-0005-0000-0000-000012200000}"/>
    <cellStyle name="표준 9 6 6 5" xfId="5906" xr:uid="{00000000-0005-0000-0000-000013200000}"/>
    <cellStyle name="표준 9 6 7" xfId="3027" xr:uid="{00000000-0005-0000-0000-000014200000}"/>
    <cellStyle name="표준 9 6 7 2" xfId="4074" xr:uid="{00000000-0005-0000-0000-000015200000}"/>
    <cellStyle name="표준 9 6 7 2 2" xfId="7224" xr:uid="{00000000-0005-0000-0000-000016200000}"/>
    <cellStyle name="표준 9 6 7 3" xfId="5112" xr:uid="{00000000-0005-0000-0000-000017200000}"/>
    <cellStyle name="표준 9 6 7 3 2" xfId="8261" xr:uid="{00000000-0005-0000-0000-000018200000}"/>
    <cellStyle name="표준 9 6 7 4" xfId="6177" xr:uid="{00000000-0005-0000-0000-000019200000}"/>
    <cellStyle name="표준 9 6 8" xfId="3545" xr:uid="{00000000-0005-0000-0000-00001A200000}"/>
    <cellStyle name="표준 9 6 8 2" xfId="6695" xr:uid="{00000000-0005-0000-0000-00001B200000}"/>
    <cellStyle name="표준 9 6 9" xfId="4592" xr:uid="{00000000-0005-0000-0000-00001C200000}"/>
    <cellStyle name="표준 9 6 9 2" xfId="7742" xr:uid="{00000000-0005-0000-0000-00001D200000}"/>
    <cellStyle name="표준 9 7" xfId="1832" xr:uid="{00000000-0005-0000-0000-00001E200000}"/>
    <cellStyle name="표준 9 7 10" xfId="5652" xr:uid="{00000000-0005-0000-0000-00001F200000}"/>
    <cellStyle name="표준 9 7 2" xfId="1894" xr:uid="{00000000-0005-0000-0000-000020200000}"/>
    <cellStyle name="표준 9 7 2 2" xfId="2684" xr:uid="{00000000-0005-0000-0000-000021200000}"/>
    <cellStyle name="표준 9 7 2 2 2" xfId="2973" xr:uid="{00000000-0005-0000-0000-000022200000}"/>
    <cellStyle name="표준 9 7 2 2 2 2" xfId="3511" xr:uid="{00000000-0005-0000-0000-000023200000}"/>
    <cellStyle name="표준 9 7 2 2 2 2 2" xfId="4558" xr:uid="{00000000-0005-0000-0000-000024200000}"/>
    <cellStyle name="표준 9 7 2 2 2 2 2 2" xfId="7708" xr:uid="{00000000-0005-0000-0000-000025200000}"/>
    <cellStyle name="표준 9 7 2 2 2 2 3" xfId="5596" xr:uid="{00000000-0005-0000-0000-000026200000}"/>
    <cellStyle name="표준 9 7 2 2 2 2 3 2" xfId="8745" xr:uid="{00000000-0005-0000-0000-000027200000}"/>
    <cellStyle name="표준 9 7 2 2 2 2 4" xfId="6661" xr:uid="{00000000-0005-0000-0000-000028200000}"/>
    <cellStyle name="표준 9 7 2 2 2 3" xfId="4029" xr:uid="{00000000-0005-0000-0000-000029200000}"/>
    <cellStyle name="표준 9 7 2 2 2 3 2" xfId="7179" xr:uid="{00000000-0005-0000-0000-00002A200000}"/>
    <cellStyle name="표준 9 7 2 2 2 4" xfId="5076" xr:uid="{00000000-0005-0000-0000-00002B200000}"/>
    <cellStyle name="표준 9 7 2 2 2 4 2" xfId="8226" xr:uid="{00000000-0005-0000-0000-00002C200000}"/>
    <cellStyle name="표준 9 7 2 2 2 5" xfId="6132" xr:uid="{00000000-0005-0000-0000-00002D200000}"/>
    <cellStyle name="표준 9 7 2 2 3" xfId="3222" xr:uid="{00000000-0005-0000-0000-00002E200000}"/>
    <cellStyle name="표준 9 7 2 2 3 2" xfId="4269" xr:uid="{00000000-0005-0000-0000-00002F200000}"/>
    <cellStyle name="표준 9 7 2 2 3 2 2" xfId="7419" xr:uid="{00000000-0005-0000-0000-000030200000}"/>
    <cellStyle name="표준 9 7 2 2 3 3" xfId="5307" xr:uid="{00000000-0005-0000-0000-000031200000}"/>
    <cellStyle name="표준 9 7 2 2 3 3 2" xfId="8456" xr:uid="{00000000-0005-0000-0000-000032200000}"/>
    <cellStyle name="표준 9 7 2 2 3 4" xfId="6372" xr:uid="{00000000-0005-0000-0000-000033200000}"/>
    <cellStyle name="표준 9 7 2 2 4" xfId="3740" xr:uid="{00000000-0005-0000-0000-000034200000}"/>
    <cellStyle name="표준 9 7 2 2 4 2" xfId="6890" xr:uid="{00000000-0005-0000-0000-000035200000}"/>
    <cellStyle name="표준 9 7 2 2 5" xfId="4787" xr:uid="{00000000-0005-0000-0000-000036200000}"/>
    <cellStyle name="표준 9 7 2 2 5 2" xfId="7937" xr:uid="{00000000-0005-0000-0000-000037200000}"/>
    <cellStyle name="표준 9 7 2 2 6" xfId="5843" xr:uid="{00000000-0005-0000-0000-000038200000}"/>
    <cellStyle name="표준 9 7 2 3" xfId="2813" xr:uid="{00000000-0005-0000-0000-000039200000}"/>
    <cellStyle name="표준 9 7 2 3 2" xfId="3351" xr:uid="{00000000-0005-0000-0000-00003A200000}"/>
    <cellStyle name="표준 9 7 2 3 2 2" xfId="4398" xr:uid="{00000000-0005-0000-0000-00003B200000}"/>
    <cellStyle name="표준 9 7 2 3 2 2 2" xfId="7548" xr:uid="{00000000-0005-0000-0000-00003C200000}"/>
    <cellStyle name="표준 9 7 2 3 2 3" xfId="5436" xr:uid="{00000000-0005-0000-0000-00003D200000}"/>
    <cellStyle name="표준 9 7 2 3 2 3 2" xfId="8585" xr:uid="{00000000-0005-0000-0000-00003E200000}"/>
    <cellStyle name="표준 9 7 2 3 2 4" xfId="6501" xr:uid="{00000000-0005-0000-0000-00003F200000}"/>
    <cellStyle name="표준 9 7 2 3 3" xfId="3869" xr:uid="{00000000-0005-0000-0000-000040200000}"/>
    <cellStyle name="표준 9 7 2 3 3 2" xfId="7019" xr:uid="{00000000-0005-0000-0000-000041200000}"/>
    <cellStyle name="표준 9 7 2 3 4" xfId="4916" xr:uid="{00000000-0005-0000-0000-000042200000}"/>
    <cellStyle name="표준 9 7 2 3 4 2" xfId="8066" xr:uid="{00000000-0005-0000-0000-000043200000}"/>
    <cellStyle name="표준 9 7 2 3 5" xfId="5972" xr:uid="{00000000-0005-0000-0000-000044200000}"/>
    <cellStyle name="표준 9 7 2 4" xfId="3093" xr:uid="{00000000-0005-0000-0000-000045200000}"/>
    <cellStyle name="표준 9 7 2 4 2" xfId="4140" xr:uid="{00000000-0005-0000-0000-000046200000}"/>
    <cellStyle name="표준 9 7 2 4 2 2" xfId="7290" xr:uid="{00000000-0005-0000-0000-000047200000}"/>
    <cellStyle name="표준 9 7 2 4 3" xfId="5178" xr:uid="{00000000-0005-0000-0000-000048200000}"/>
    <cellStyle name="표준 9 7 2 4 3 2" xfId="8327" xr:uid="{00000000-0005-0000-0000-000049200000}"/>
    <cellStyle name="표준 9 7 2 4 4" xfId="6243" xr:uid="{00000000-0005-0000-0000-00004A200000}"/>
    <cellStyle name="표준 9 7 2 5" xfId="3611" xr:uid="{00000000-0005-0000-0000-00004B200000}"/>
    <cellStyle name="표준 9 7 2 5 2" xfId="6761" xr:uid="{00000000-0005-0000-0000-00004C200000}"/>
    <cellStyle name="표준 9 7 2 6" xfId="4658" xr:uid="{00000000-0005-0000-0000-00004D200000}"/>
    <cellStyle name="표준 9 7 2 6 2" xfId="7808" xr:uid="{00000000-0005-0000-0000-00004E200000}"/>
    <cellStyle name="표준 9 7 2 7" xfId="5714" xr:uid="{00000000-0005-0000-0000-00004F200000}"/>
    <cellStyle name="표준 9 7 3" xfId="1927" xr:uid="{00000000-0005-0000-0000-000050200000}"/>
    <cellStyle name="표준 9 7 3 2" xfId="2717" xr:uid="{00000000-0005-0000-0000-000051200000}"/>
    <cellStyle name="표준 9 7 3 2 2" xfId="2974" xr:uid="{00000000-0005-0000-0000-000052200000}"/>
    <cellStyle name="표준 9 7 3 2 2 2" xfId="3512" xr:uid="{00000000-0005-0000-0000-000053200000}"/>
    <cellStyle name="표준 9 7 3 2 2 2 2" xfId="4559" xr:uid="{00000000-0005-0000-0000-000054200000}"/>
    <cellStyle name="표준 9 7 3 2 2 2 2 2" xfId="7709" xr:uid="{00000000-0005-0000-0000-000055200000}"/>
    <cellStyle name="표준 9 7 3 2 2 2 3" xfId="5597" xr:uid="{00000000-0005-0000-0000-000056200000}"/>
    <cellStyle name="표준 9 7 3 2 2 2 3 2" xfId="8746" xr:uid="{00000000-0005-0000-0000-000057200000}"/>
    <cellStyle name="표준 9 7 3 2 2 2 4" xfId="6662" xr:uid="{00000000-0005-0000-0000-000058200000}"/>
    <cellStyle name="표준 9 7 3 2 2 3" xfId="4030" xr:uid="{00000000-0005-0000-0000-000059200000}"/>
    <cellStyle name="표준 9 7 3 2 2 3 2" xfId="7180" xr:uid="{00000000-0005-0000-0000-00005A200000}"/>
    <cellStyle name="표준 9 7 3 2 2 4" xfId="5077" xr:uid="{00000000-0005-0000-0000-00005B200000}"/>
    <cellStyle name="표준 9 7 3 2 2 4 2" xfId="8227" xr:uid="{00000000-0005-0000-0000-00005C200000}"/>
    <cellStyle name="표준 9 7 3 2 2 5" xfId="6133" xr:uid="{00000000-0005-0000-0000-00005D200000}"/>
    <cellStyle name="표준 9 7 3 2 3" xfId="3255" xr:uid="{00000000-0005-0000-0000-00005E200000}"/>
    <cellStyle name="표준 9 7 3 2 3 2" xfId="4302" xr:uid="{00000000-0005-0000-0000-00005F200000}"/>
    <cellStyle name="표준 9 7 3 2 3 2 2" xfId="7452" xr:uid="{00000000-0005-0000-0000-000060200000}"/>
    <cellStyle name="표준 9 7 3 2 3 3" xfId="5340" xr:uid="{00000000-0005-0000-0000-000061200000}"/>
    <cellStyle name="표준 9 7 3 2 3 3 2" xfId="8489" xr:uid="{00000000-0005-0000-0000-000062200000}"/>
    <cellStyle name="표준 9 7 3 2 3 4" xfId="6405" xr:uid="{00000000-0005-0000-0000-000063200000}"/>
    <cellStyle name="표준 9 7 3 2 4" xfId="3773" xr:uid="{00000000-0005-0000-0000-000064200000}"/>
    <cellStyle name="표준 9 7 3 2 4 2" xfId="6923" xr:uid="{00000000-0005-0000-0000-000065200000}"/>
    <cellStyle name="표준 9 7 3 2 5" xfId="4820" xr:uid="{00000000-0005-0000-0000-000066200000}"/>
    <cellStyle name="표준 9 7 3 2 5 2" xfId="7970" xr:uid="{00000000-0005-0000-0000-000067200000}"/>
    <cellStyle name="표준 9 7 3 2 6" xfId="5876" xr:uid="{00000000-0005-0000-0000-000068200000}"/>
    <cellStyle name="표준 9 7 3 3" xfId="2846" xr:uid="{00000000-0005-0000-0000-000069200000}"/>
    <cellStyle name="표준 9 7 3 3 2" xfId="3384" xr:uid="{00000000-0005-0000-0000-00006A200000}"/>
    <cellStyle name="표준 9 7 3 3 2 2" xfId="4431" xr:uid="{00000000-0005-0000-0000-00006B200000}"/>
    <cellStyle name="표준 9 7 3 3 2 2 2" xfId="7581" xr:uid="{00000000-0005-0000-0000-00006C200000}"/>
    <cellStyle name="표준 9 7 3 3 2 3" xfId="5469" xr:uid="{00000000-0005-0000-0000-00006D200000}"/>
    <cellStyle name="표준 9 7 3 3 2 3 2" xfId="8618" xr:uid="{00000000-0005-0000-0000-00006E200000}"/>
    <cellStyle name="표준 9 7 3 3 2 4" xfId="6534" xr:uid="{00000000-0005-0000-0000-00006F200000}"/>
    <cellStyle name="표준 9 7 3 3 3" xfId="3902" xr:uid="{00000000-0005-0000-0000-000070200000}"/>
    <cellStyle name="표준 9 7 3 3 3 2" xfId="7052" xr:uid="{00000000-0005-0000-0000-000071200000}"/>
    <cellStyle name="표준 9 7 3 3 4" xfId="4949" xr:uid="{00000000-0005-0000-0000-000072200000}"/>
    <cellStyle name="표준 9 7 3 3 4 2" xfId="8099" xr:uid="{00000000-0005-0000-0000-000073200000}"/>
    <cellStyle name="표준 9 7 3 3 5" xfId="6005" xr:uid="{00000000-0005-0000-0000-000074200000}"/>
    <cellStyle name="표준 9 7 3 4" xfId="3126" xr:uid="{00000000-0005-0000-0000-000075200000}"/>
    <cellStyle name="표준 9 7 3 4 2" xfId="4173" xr:uid="{00000000-0005-0000-0000-000076200000}"/>
    <cellStyle name="표준 9 7 3 4 2 2" xfId="7323" xr:uid="{00000000-0005-0000-0000-000077200000}"/>
    <cellStyle name="표준 9 7 3 4 3" xfId="5211" xr:uid="{00000000-0005-0000-0000-000078200000}"/>
    <cellStyle name="표준 9 7 3 4 3 2" xfId="8360" xr:uid="{00000000-0005-0000-0000-000079200000}"/>
    <cellStyle name="표준 9 7 3 4 4" xfId="6276" xr:uid="{00000000-0005-0000-0000-00007A200000}"/>
    <cellStyle name="표준 9 7 3 5" xfId="3644" xr:uid="{00000000-0005-0000-0000-00007B200000}"/>
    <cellStyle name="표준 9 7 3 5 2" xfId="6794" xr:uid="{00000000-0005-0000-0000-00007C200000}"/>
    <cellStyle name="표준 9 7 3 6" xfId="4691" xr:uid="{00000000-0005-0000-0000-00007D200000}"/>
    <cellStyle name="표준 9 7 3 6 2" xfId="7841" xr:uid="{00000000-0005-0000-0000-00007E200000}"/>
    <cellStyle name="표준 9 7 3 7" xfId="5747" xr:uid="{00000000-0005-0000-0000-00007F200000}"/>
    <cellStyle name="표준 9 7 4" xfId="1861" xr:uid="{00000000-0005-0000-0000-000080200000}"/>
    <cellStyle name="표준 9 7 4 2" xfId="2651" xr:uid="{00000000-0005-0000-0000-000081200000}"/>
    <cellStyle name="표준 9 7 4 2 2" xfId="2975" xr:uid="{00000000-0005-0000-0000-000082200000}"/>
    <cellStyle name="표준 9 7 4 2 2 2" xfId="3513" xr:uid="{00000000-0005-0000-0000-000083200000}"/>
    <cellStyle name="표준 9 7 4 2 2 2 2" xfId="4560" xr:uid="{00000000-0005-0000-0000-000084200000}"/>
    <cellStyle name="표준 9 7 4 2 2 2 2 2" xfId="7710" xr:uid="{00000000-0005-0000-0000-000085200000}"/>
    <cellStyle name="표준 9 7 4 2 2 2 3" xfId="5598" xr:uid="{00000000-0005-0000-0000-000086200000}"/>
    <cellStyle name="표준 9 7 4 2 2 2 3 2" xfId="8747" xr:uid="{00000000-0005-0000-0000-000087200000}"/>
    <cellStyle name="표준 9 7 4 2 2 2 4" xfId="6663" xr:uid="{00000000-0005-0000-0000-000088200000}"/>
    <cellStyle name="표준 9 7 4 2 2 3" xfId="4031" xr:uid="{00000000-0005-0000-0000-000089200000}"/>
    <cellStyle name="표준 9 7 4 2 2 3 2" xfId="7181" xr:uid="{00000000-0005-0000-0000-00008A200000}"/>
    <cellStyle name="표준 9 7 4 2 2 4" xfId="5078" xr:uid="{00000000-0005-0000-0000-00008B200000}"/>
    <cellStyle name="표준 9 7 4 2 2 4 2" xfId="8228" xr:uid="{00000000-0005-0000-0000-00008C200000}"/>
    <cellStyle name="표준 9 7 4 2 2 5" xfId="6134" xr:uid="{00000000-0005-0000-0000-00008D200000}"/>
    <cellStyle name="표준 9 7 4 2 3" xfId="3189" xr:uid="{00000000-0005-0000-0000-00008E200000}"/>
    <cellStyle name="표준 9 7 4 2 3 2" xfId="4236" xr:uid="{00000000-0005-0000-0000-00008F200000}"/>
    <cellStyle name="표준 9 7 4 2 3 2 2" xfId="7386" xr:uid="{00000000-0005-0000-0000-000090200000}"/>
    <cellStyle name="표준 9 7 4 2 3 3" xfId="5274" xr:uid="{00000000-0005-0000-0000-000091200000}"/>
    <cellStyle name="표준 9 7 4 2 3 3 2" xfId="8423" xr:uid="{00000000-0005-0000-0000-000092200000}"/>
    <cellStyle name="표준 9 7 4 2 3 4" xfId="6339" xr:uid="{00000000-0005-0000-0000-000093200000}"/>
    <cellStyle name="표준 9 7 4 2 4" xfId="3707" xr:uid="{00000000-0005-0000-0000-000094200000}"/>
    <cellStyle name="표준 9 7 4 2 4 2" xfId="6857" xr:uid="{00000000-0005-0000-0000-000095200000}"/>
    <cellStyle name="표준 9 7 4 2 5" xfId="4754" xr:uid="{00000000-0005-0000-0000-000096200000}"/>
    <cellStyle name="표준 9 7 4 2 5 2" xfId="7904" xr:uid="{00000000-0005-0000-0000-000097200000}"/>
    <cellStyle name="표준 9 7 4 2 6" xfId="5810" xr:uid="{00000000-0005-0000-0000-000098200000}"/>
    <cellStyle name="표준 9 7 4 3" xfId="2780" xr:uid="{00000000-0005-0000-0000-000099200000}"/>
    <cellStyle name="표준 9 7 4 3 2" xfId="3318" xr:uid="{00000000-0005-0000-0000-00009A200000}"/>
    <cellStyle name="표준 9 7 4 3 2 2" xfId="4365" xr:uid="{00000000-0005-0000-0000-00009B200000}"/>
    <cellStyle name="표준 9 7 4 3 2 2 2" xfId="7515" xr:uid="{00000000-0005-0000-0000-00009C200000}"/>
    <cellStyle name="표준 9 7 4 3 2 3" xfId="5403" xr:uid="{00000000-0005-0000-0000-00009D200000}"/>
    <cellStyle name="표준 9 7 4 3 2 3 2" xfId="8552" xr:uid="{00000000-0005-0000-0000-00009E200000}"/>
    <cellStyle name="표준 9 7 4 3 2 4" xfId="6468" xr:uid="{00000000-0005-0000-0000-00009F200000}"/>
    <cellStyle name="표준 9 7 4 3 3" xfId="3836" xr:uid="{00000000-0005-0000-0000-0000A0200000}"/>
    <cellStyle name="표준 9 7 4 3 3 2" xfId="6986" xr:uid="{00000000-0005-0000-0000-0000A1200000}"/>
    <cellStyle name="표준 9 7 4 3 4" xfId="4883" xr:uid="{00000000-0005-0000-0000-0000A2200000}"/>
    <cellStyle name="표준 9 7 4 3 4 2" xfId="8033" xr:uid="{00000000-0005-0000-0000-0000A3200000}"/>
    <cellStyle name="표준 9 7 4 3 5" xfId="5939" xr:uid="{00000000-0005-0000-0000-0000A4200000}"/>
    <cellStyle name="표준 9 7 4 4" xfId="3060" xr:uid="{00000000-0005-0000-0000-0000A5200000}"/>
    <cellStyle name="표준 9 7 4 4 2" xfId="4107" xr:uid="{00000000-0005-0000-0000-0000A6200000}"/>
    <cellStyle name="표준 9 7 4 4 2 2" xfId="7257" xr:uid="{00000000-0005-0000-0000-0000A7200000}"/>
    <cellStyle name="표준 9 7 4 4 3" xfId="5145" xr:uid="{00000000-0005-0000-0000-0000A8200000}"/>
    <cellStyle name="표준 9 7 4 4 3 2" xfId="8294" xr:uid="{00000000-0005-0000-0000-0000A9200000}"/>
    <cellStyle name="표준 9 7 4 4 4" xfId="6210" xr:uid="{00000000-0005-0000-0000-0000AA200000}"/>
    <cellStyle name="표준 9 7 4 5" xfId="3578" xr:uid="{00000000-0005-0000-0000-0000AB200000}"/>
    <cellStyle name="표준 9 7 4 5 2" xfId="6728" xr:uid="{00000000-0005-0000-0000-0000AC200000}"/>
    <cellStyle name="표준 9 7 4 6" xfId="4625" xr:uid="{00000000-0005-0000-0000-0000AD200000}"/>
    <cellStyle name="표준 9 7 4 6 2" xfId="7775" xr:uid="{00000000-0005-0000-0000-0000AE200000}"/>
    <cellStyle name="표준 9 7 4 7" xfId="5681" xr:uid="{00000000-0005-0000-0000-0000AF200000}"/>
    <cellStyle name="표준 9 7 5" xfId="2622" xr:uid="{00000000-0005-0000-0000-0000B0200000}"/>
    <cellStyle name="표준 9 7 5 2" xfId="2976" xr:uid="{00000000-0005-0000-0000-0000B1200000}"/>
    <cellStyle name="표준 9 7 5 2 2" xfId="3514" xr:uid="{00000000-0005-0000-0000-0000B2200000}"/>
    <cellStyle name="표준 9 7 5 2 2 2" xfId="4561" xr:uid="{00000000-0005-0000-0000-0000B3200000}"/>
    <cellStyle name="표준 9 7 5 2 2 2 2" xfId="7711" xr:uid="{00000000-0005-0000-0000-0000B4200000}"/>
    <cellStyle name="표준 9 7 5 2 2 3" xfId="5599" xr:uid="{00000000-0005-0000-0000-0000B5200000}"/>
    <cellStyle name="표준 9 7 5 2 2 3 2" xfId="8748" xr:uid="{00000000-0005-0000-0000-0000B6200000}"/>
    <cellStyle name="표준 9 7 5 2 2 4" xfId="6664" xr:uid="{00000000-0005-0000-0000-0000B7200000}"/>
    <cellStyle name="표준 9 7 5 2 3" xfId="4032" xr:uid="{00000000-0005-0000-0000-0000B8200000}"/>
    <cellStyle name="표준 9 7 5 2 3 2" xfId="7182" xr:uid="{00000000-0005-0000-0000-0000B9200000}"/>
    <cellStyle name="표준 9 7 5 2 4" xfId="5079" xr:uid="{00000000-0005-0000-0000-0000BA200000}"/>
    <cellStyle name="표준 9 7 5 2 4 2" xfId="8229" xr:uid="{00000000-0005-0000-0000-0000BB200000}"/>
    <cellStyle name="표준 9 7 5 2 5" xfId="6135" xr:uid="{00000000-0005-0000-0000-0000BC200000}"/>
    <cellStyle name="표준 9 7 5 3" xfId="3160" xr:uid="{00000000-0005-0000-0000-0000BD200000}"/>
    <cellStyle name="표준 9 7 5 3 2" xfId="4207" xr:uid="{00000000-0005-0000-0000-0000BE200000}"/>
    <cellStyle name="표준 9 7 5 3 2 2" xfId="7357" xr:uid="{00000000-0005-0000-0000-0000BF200000}"/>
    <cellStyle name="표준 9 7 5 3 3" xfId="5245" xr:uid="{00000000-0005-0000-0000-0000C0200000}"/>
    <cellStyle name="표준 9 7 5 3 3 2" xfId="8394" xr:uid="{00000000-0005-0000-0000-0000C1200000}"/>
    <cellStyle name="표준 9 7 5 3 4" xfId="6310" xr:uid="{00000000-0005-0000-0000-0000C2200000}"/>
    <cellStyle name="표준 9 7 5 4" xfId="3678" xr:uid="{00000000-0005-0000-0000-0000C3200000}"/>
    <cellStyle name="표준 9 7 5 4 2" xfId="6828" xr:uid="{00000000-0005-0000-0000-0000C4200000}"/>
    <cellStyle name="표준 9 7 5 5" xfId="4725" xr:uid="{00000000-0005-0000-0000-0000C5200000}"/>
    <cellStyle name="표준 9 7 5 5 2" xfId="7875" xr:uid="{00000000-0005-0000-0000-0000C6200000}"/>
    <cellStyle name="표준 9 7 5 6" xfId="5781" xr:uid="{00000000-0005-0000-0000-0000C7200000}"/>
    <cellStyle name="표준 9 7 6" xfId="2751" xr:uid="{00000000-0005-0000-0000-0000C8200000}"/>
    <cellStyle name="표준 9 7 6 2" xfId="3289" xr:uid="{00000000-0005-0000-0000-0000C9200000}"/>
    <cellStyle name="표준 9 7 6 2 2" xfId="4336" xr:uid="{00000000-0005-0000-0000-0000CA200000}"/>
    <cellStyle name="표준 9 7 6 2 2 2" xfId="7486" xr:uid="{00000000-0005-0000-0000-0000CB200000}"/>
    <cellStyle name="표준 9 7 6 2 3" xfId="5374" xr:uid="{00000000-0005-0000-0000-0000CC200000}"/>
    <cellStyle name="표준 9 7 6 2 3 2" xfId="8523" xr:uid="{00000000-0005-0000-0000-0000CD200000}"/>
    <cellStyle name="표준 9 7 6 2 4" xfId="6439" xr:uid="{00000000-0005-0000-0000-0000CE200000}"/>
    <cellStyle name="표준 9 7 6 3" xfId="3807" xr:uid="{00000000-0005-0000-0000-0000CF200000}"/>
    <cellStyle name="표준 9 7 6 3 2" xfId="6957" xr:uid="{00000000-0005-0000-0000-0000D0200000}"/>
    <cellStyle name="표준 9 7 6 4" xfId="4854" xr:uid="{00000000-0005-0000-0000-0000D1200000}"/>
    <cellStyle name="표준 9 7 6 4 2" xfId="8004" xr:uid="{00000000-0005-0000-0000-0000D2200000}"/>
    <cellStyle name="표준 9 7 6 5" xfId="5910" xr:uid="{00000000-0005-0000-0000-0000D3200000}"/>
    <cellStyle name="표준 9 7 7" xfId="3031" xr:uid="{00000000-0005-0000-0000-0000D4200000}"/>
    <cellStyle name="표준 9 7 7 2" xfId="4078" xr:uid="{00000000-0005-0000-0000-0000D5200000}"/>
    <cellStyle name="표준 9 7 7 2 2" xfId="7228" xr:uid="{00000000-0005-0000-0000-0000D6200000}"/>
    <cellStyle name="표준 9 7 7 3" xfId="5116" xr:uid="{00000000-0005-0000-0000-0000D7200000}"/>
    <cellStyle name="표준 9 7 7 3 2" xfId="8265" xr:uid="{00000000-0005-0000-0000-0000D8200000}"/>
    <cellStyle name="표준 9 7 7 4" xfId="6181" xr:uid="{00000000-0005-0000-0000-0000D9200000}"/>
    <cellStyle name="표준 9 7 8" xfId="3549" xr:uid="{00000000-0005-0000-0000-0000DA200000}"/>
    <cellStyle name="표준 9 7 8 2" xfId="6699" xr:uid="{00000000-0005-0000-0000-0000DB200000}"/>
    <cellStyle name="표준 9 7 9" xfId="4596" xr:uid="{00000000-0005-0000-0000-0000DC200000}"/>
    <cellStyle name="표준 9 7 9 2" xfId="7746" xr:uid="{00000000-0005-0000-0000-0000DD200000}"/>
    <cellStyle name="표준 9 8" xfId="1836" xr:uid="{00000000-0005-0000-0000-0000DE200000}"/>
    <cellStyle name="표준 9 8 10" xfId="5656" xr:uid="{00000000-0005-0000-0000-0000DF200000}"/>
    <cellStyle name="표준 9 8 2" xfId="1898" xr:uid="{00000000-0005-0000-0000-0000E0200000}"/>
    <cellStyle name="표준 9 8 2 2" xfId="2688" xr:uid="{00000000-0005-0000-0000-0000E1200000}"/>
    <cellStyle name="표준 9 8 2 2 2" xfId="2977" xr:uid="{00000000-0005-0000-0000-0000E2200000}"/>
    <cellStyle name="표준 9 8 2 2 2 2" xfId="3515" xr:uid="{00000000-0005-0000-0000-0000E3200000}"/>
    <cellStyle name="표준 9 8 2 2 2 2 2" xfId="4562" xr:uid="{00000000-0005-0000-0000-0000E4200000}"/>
    <cellStyle name="표준 9 8 2 2 2 2 2 2" xfId="7712" xr:uid="{00000000-0005-0000-0000-0000E5200000}"/>
    <cellStyle name="표준 9 8 2 2 2 2 3" xfId="5600" xr:uid="{00000000-0005-0000-0000-0000E6200000}"/>
    <cellStyle name="표준 9 8 2 2 2 2 3 2" xfId="8749" xr:uid="{00000000-0005-0000-0000-0000E7200000}"/>
    <cellStyle name="표준 9 8 2 2 2 2 4" xfId="6665" xr:uid="{00000000-0005-0000-0000-0000E8200000}"/>
    <cellStyle name="표준 9 8 2 2 2 3" xfId="4033" xr:uid="{00000000-0005-0000-0000-0000E9200000}"/>
    <cellStyle name="표준 9 8 2 2 2 3 2" xfId="7183" xr:uid="{00000000-0005-0000-0000-0000EA200000}"/>
    <cellStyle name="표준 9 8 2 2 2 4" xfId="5080" xr:uid="{00000000-0005-0000-0000-0000EB200000}"/>
    <cellStyle name="표준 9 8 2 2 2 4 2" xfId="8230" xr:uid="{00000000-0005-0000-0000-0000EC200000}"/>
    <cellStyle name="표준 9 8 2 2 2 5" xfId="6136" xr:uid="{00000000-0005-0000-0000-0000ED200000}"/>
    <cellStyle name="표준 9 8 2 2 3" xfId="3226" xr:uid="{00000000-0005-0000-0000-0000EE200000}"/>
    <cellStyle name="표준 9 8 2 2 3 2" xfId="4273" xr:uid="{00000000-0005-0000-0000-0000EF200000}"/>
    <cellStyle name="표준 9 8 2 2 3 2 2" xfId="7423" xr:uid="{00000000-0005-0000-0000-0000F0200000}"/>
    <cellStyle name="표준 9 8 2 2 3 3" xfId="5311" xr:uid="{00000000-0005-0000-0000-0000F1200000}"/>
    <cellStyle name="표준 9 8 2 2 3 3 2" xfId="8460" xr:uid="{00000000-0005-0000-0000-0000F2200000}"/>
    <cellStyle name="표준 9 8 2 2 3 4" xfId="6376" xr:uid="{00000000-0005-0000-0000-0000F3200000}"/>
    <cellStyle name="표준 9 8 2 2 4" xfId="3744" xr:uid="{00000000-0005-0000-0000-0000F4200000}"/>
    <cellStyle name="표준 9 8 2 2 4 2" xfId="6894" xr:uid="{00000000-0005-0000-0000-0000F5200000}"/>
    <cellStyle name="표준 9 8 2 2 5" xfId="4791" xr:uid="{00000000-0005-0000-0000-0000F6200000}"/>
    <cellStyle name="표준 9 8 2 2 5 2" xfId="7941" xr:uid="{00000000-0005-0000-0000-0000F7200000}"/>
    <cellStyle name="표준 9 8 2 2 6" xfId="5847" xr:uid="{00000000-0005-0000-0000-0000F8200000}"/>
    <cellStyle name="표준 9 8 2 3" xfId="2817" xr:uid="{00000000-0005-0000-0000-0000F9200000}"/>
    <cellStyle name="표준 9 8 2 3 2" xfId="3355" xr:uid="{00000000-0005-0000-0000-0000FA200000}"/>
    <cellStyle name="표준 9 8 2 3 2 2" xfId="4402" xr:uid="{00000000-0005-0000-0000-0000FB200000}"/>
    <cellStyle name="표준 9 8 2 3 2 2 2" xfId="7552" xr:uid="{00000000-0005-0000-0000-0000FC200000}"/>
    <cellStyle name="표준 9 8 2 3 2 3" xfId="5440" xr:uid="{00000000-0005-0000-0000-0000FD200000}"/>
    <cellStyle name="표준 9 8 2 3 2 3 2" xfId="8589" xr:uid="{00000000-0005-0000-0000-0000FE200000}"/>
    <cellStyle name="표준 9 8 2 3 2 4" xfId="6505" xr:uid="{00000000-0005-0000-0000-0000FF200000}"/>
    <cellStyle name="표준 9 8 2 3 3" xfId="3873" xr:uid="{00000000-0005-0000-0000-000000210000}"/>
    <cellStyle name="표준 9 8 2 3 3 2" xfId="7023" xr:uid="{00000000-0005-0000-0000-000001210000}"/>
    <cellStyle name="표준 9 8 2 3 4" xfId="4920" xr:uid="{00000000-0005-0000-0000-000002210000}"/>
    <cellStyle name="표준 9 8 2 3 4 2" xfId="8070" xr:uid="{00000000-0005-0000-0000-000003210000}"/>
    <cellStyle name="표준 9 8 2 3 5" xfId="5976" xr:uid="{00000000-0005-0000-0000-000004210000}"/>
    <cellStyle name="표준 9 8 2 4" xfId="3097" xr:uid="{00000000-0005-0000-0000-000005210000}"/>
    <cellStyle name="표준 9 8 2 4 2" xfId="4144" xr:uid="{00000000-0005-0000-0000-000006210000}"/>
    <cellStyle name="표준 9 8 2 4 2 2" xfId="7294" xr:uid="{00000000-0005-0000-0000-000007210000}"/>
    <cellStyle name="표준 9 8 2 4 3" xfId="5182" xr:uid="{00000000-0005-0000-0000-000008210000}"/>
    <cellStyle name="표준 9 8 2 4 3 2" xfId="8331" xr:uid="{00000000-0005-0000-0000-000009210000}"/>
    <cellStyle name="표준 9 8 2 4 4" xfId="6247" xr:uid="{00000000-0005-0000-0000-00000A210000}"/>
    <cellStyle name="표준 9 8 2 5" xfId="3615" xr:uid="{00000000-0005-0000-0000-00000B210000}"/>
    <cellStyle name="표준 9 8 2 5 2" xfId="6765" xr:uid="{00000000-0005-0000-0000-00000C210000}"/>
    <cellStyle name="표준 9 8 2 6" xfId="4662" xr:uid="{00000000-0005-0000-0000-00000D210000}"/>
    <cellStyle name="표준 9 8 2 6 2" xfId="7812" xr:uid="{00000000-0005-0000-0000-00000E210000}"/>
    <cellStyle name="표준 9 8 2 7" xfId="5718" xr:uid="{00000000-0005-0000-0000-00000F210000}"/>
    <cellStyle name="표준 9 8 3" xfId="1931" xr:uid="{00000000-0005-0000-0000-000010210000}"/>
    <cellStyle name="표준 9 8 3 2" xfId="2721" xr:uid="{00000000-0005-0000-0000-000011210000}"/>
    <cellStyle name="표준 9 8 3 2 2" xfId="2978" xr:uid="{00000000-0005-0000-0000-000012210000}"/>
    <cellStyle name="표준 9 8 3 2 2 2" xfId="3516" xr:uid="{00000000-0005-0000-0000-000013210000}"/>
    <cellStyle name="표준 9 8 3 2 2 2 2" xfId="4563" xr:uid="{00000000-0005-0000-0000-000014210000}"/>
    <cellStyle name="표준 9 8 3 2 2 2 2 2" xfId="7713" xr:uid="{00000000-0005-0000-0000-000015210000}"/>
    <cellStyle name="표준 9 8 3 2 2 2 3" xfId="5601" xr:uid="{00000000-0005-0000-0000-000016210000}"/>
    <cellStyle name="표준 9 8 3 2 2 2 3 2" xfId="8750" xr:uid="{00000000-0005-0000-0000-000017210000}"/>
    <cellStyle name="표준 9 8 3 2 2 2 4" xfId="6666" xr:uid="{00000000-0005-0000-0000-000018210000}"/>
    <cellStyle name="표준 9 8 3 2 2 3" xfId="4034" xr:uid="{00000000-0005-0000-0000-000019210000}"/>
    <cellStyle name="표준 9 8 3 2 2 3 2" xfId="7184" xr:uid="{00000000-0005-0000-0000-00001A210000}"/>
    <cellStyle name="표준 9 8 3 2 2 4" xfId="5081" xr:uid="{00000000-0005-0000-0000-00001B210000}"/>
    <cellStyle name="표준 9 8 3 2 2 4 2" xfId="8231" xr:uid="{00000000-0005-0000-0000-00001C210000}"/>
    <cellStyle name="표준 9 8 3 2 2 5" xfId="6137" xr:uid="{00000000-0005-0000-0000-00001D210000}"/>
    <cellStyle name="표준 9 8 3 2 3" xfId="3259" xr:uid="{00000000-0005-0000-0000-00001E210000}"/>
    <cellStyle name="표준 9 8 3 2 3 2" xfId="4306" xr:uid="{00000000-0005-0000-0000-00001F210000}"/>
    <cellStyle name="표준 9 8 3 2 3 2 2" xfId="7456" xr:uid="{00000000-0005-0000-0000-000020210000}"/>
    <cellStyle name="표준 9 8 3 2 3 3" xfId="5344" xr:uid="{00000000-0005-0000-0000-000021210000}"/>
    <cellStyle name="표준 9 8 3 2 3 3 2" xfId="8493" xr:uid="{00000000-0005-0000-0000-000022210000}"/>
    <cellStyle name="표준 9 8 3 2 3 4" xfId="6409" xr:uid="{00000000-0005-0000-0000-000023210000}"/>
    <cellStyle name="표준 9 8 3 2 4" xfId="3777" xr:uid="{00000000-0005-0000-0000-000024210000}"/>
    <cellStyle name="표준 9 8 3 2 4 2" xfId="6927" xr:uid="{00000000-0005-0000-0000-000025210000}"/>
    <cellStyle name="표준 9 8 3 2 5" xfId="4824" xr:uid="{00000000-0005-0000-0000-000026210000}"/>
    <cellStyle name="표준 9 8 3 2 5 2" xfId="7974" xr:uid="{00000000-0005-0000-0000-000027210000}"/>
    <cellStyle name="표준 9 8 3 2 6" xfId="5880" xr:uid="{00000000-0005-0000-0000-000028210000}"/>
    <cellStyle name="표준 9 8 3 3" xfId="2850" xr:uid="{00000000-0005-0000-0000-000029210000}"/>
    <cellStyle name="표준 9 8 3 3 2" xfId="3388" xr:uid="{00000000-0005-0000-0000-00002A210000}"/>
    <cellStyle name="표준 9 8 3 3 2 2" xfId="4435" xr:uid="{00000000-0005-0000-0000-00002B210000}"/>
    <cellStyle name="표준 9 8 3 3 2 2 2" xfId="7585" xr:uid="{00000000-0005-0000-0000-00002C210000}"/>
    <cellStyle name="표준 9 8 3 3 2 3" xfId="5473" xr:uid="{00000000-0005-0000-0000-00002D210000}"/>
    <cellStyle name="표준 9 8 3 3 2 3 2" xfId="8622" xr:uid="{00000000-0005-0000-0000-00002E210000}"/>
    <cellStyle name="표준 9 8 3 3 2 4" xfId="6538" xr:uid="{00000000-0005-0000-0000-00002F210000}"/>
    <cellStyle name="표준 9 8 3 3 3" xfId="3906" xr:uid="{00000000-0005-0000-0000-000030210000}"/>
    <cellStyle name="표준 9 8 3 3 3 2" xfId="7056" xr:uid="{00000000-0005-0000-0000-000031210000}"/>
    <cellStyle name="표준 9 8 3 3 4" xfId="4953" xr:uid="{00000000-0005-0000-0000-000032210000}"/>
    <cellStyle name="표준 9 8 3 3 4 2" xfId="8103" xr:uid="{00000000-0005-0000-0000-000033210000}"/>
    <cellStyle name="표준 9 8 3 3 5" xfId="6009" xr:uid="{00000000-0005-0000-0000-000034210000}"/>
    <cellStyle name="표준 9 8 3 4" xfId="3130" xr:uid="{00000000-0005-0000-0000-000035210000}"/>
    <cellStyle name="표준 9 8 3 4 2" xfId="4177" xr:uid="{00000000-0005-0000-0000-000036210000}"/>
    <cellStyle name="표준 9 8 3 4 2 2" xfId="7327" xr:uid="{00000000-0005-0000-0000-000037210000}"/>
    <cellStyle name="표준 9 8 3 4 3" xfId="5215" xr:uid="{00000000-0005-0000-0000-000038210000}"/>
    <cellStyle name="표준 9 8 3 4 3 2" xfId="8364" xr:uid="{00000000-0005-0000-0000-000039210000}"/>
    <cellStyle name="표준 9 8 3 4 4" xfId="6280" xr:uid="{00000000-0005-0000-0000-00003A210000}"/>
    <cellStyle name="표준 9 8 3 5" xfId="3648" xr:uid="{00000000-0005-0000-0000-00003B210000}"/>
    <cellStyle name="표준 9 8 3 5 2" xfId="6798" xr:uid="{00000000-0005-0000-0000-00003C210000}"/>
    <cellStyle name="표준 9 8 3 6" xfId="4695" xr:uid="{00000000-0005-0000-0000-00003D210000}"/>
    <cellStyle name="표준 9 8 3 6 2" xfId="7845" xr:uid="{00000000-0005-0000-0000-00003E210000}"/>
    <cellStyle name="표준 9 8 3 7" xfId="5751" xr:uid="{00000000-0005-0000-0000-00003F210000}"/>
    <cellStyle name="표준 9 8 4" xfId="1865" xr:uid="{00000000-0005-0000-0000-000040210000}"/>
    <cellStyle name="표준 9 8 4 2" xfId="2655" xr:uid="{00000000-0005-0000-0000-000041210000}"/>
    <cellStyle name="표준 9 8 4 2 2" xfId="2979" xr:uid="{00000000-0005-0000-0000-000042210000}"/>
    <cellStyle name="표준 9 8 4 2 2 2" xfId="3517" xr:uid="{00000000-0005-0000-0000-000043210000}"/>
    <cellStyle name="표준 9 8 4 2 2 2 2" xfId="4564" xr:uid="{00000000-0005-0000-0000-000044210000}"/>
    <cellStyle name="표준 9 8 4 2 2 2 2 2" xfId="7714" xr:uid="{00000000-0005-0000-0000-000045210000}"/>
    <cellStyle name="표준 9 8 4 2 2 2 3" xfId="5602" xr:uid="{00000000-0005-0000-0000-000046210000}"/>
    <cellStyle name="표준 9 8 4 2 2 2 3 2" xfId="8751" xr:uid="{00000000-0005-0000-0000-000047210000}"/>
    <cellStyle name="표준 9 8 4 2 2 2 4" xfId="6667" xr:uid="{00000000-0005-0000-0000-000048210000}"/>
    <cellStyle name="표준 9 8 4 2 2 3" xfId="4035" xr:uid="{00000000-0005-0000-0000-000049210000}"/>
    <cellStyle name="표준 9 8 4 2 2 3 2" xfId="7185" xr:uid="{00000000-0005-0000-0000-00004A210000}"/>
    <cellStyle name="표준 9 8 4 2 2 4" xfId="5082" xr:uid="{00000000-0005-0000-0000-00004B210000}"/>
    <cellStyle name="표준 9 8 4 2 2 4 2" xfId="8232" xr:uid="{00000000-0005-0000-0000-00004C210000}"/>
    <cellStyle name="표준 9 8 4 2 2 5" xfId="6138" xr:uid="{00000000-0005-0000-0000-00004D210000}"/>
    <cellStyle name="표준 9 8 4 2 3" xfId="3193" xr:uid="{00000000-0005-0000-0000-00004E210000}"/>
    <cellStyle name="표준 9 8 4 2 3 2" xfId="4240" xr:uid="{00000000-0005-0000-0000-00004F210000}"/>
    <cellStyle name="표준 9 8 4 2 3 2 2" xfId="7390" xr:uid="{00000000-0005-0000-0000-000050210000}"/>
    <cellStyle name="표준 9 8 4 2 3 3" xfId="5278" xr:uid="{00000000-0005-0000-0000-000051210000}"/>
    <cellStyle name="표준 9 8 4 2 3 3 2" xfId="8427" xr:uid="{00000000-0005-0000-0000-000052210000}"/>
    <cellStyle name="표준 9 8 4 2 3 4" xfId="6343" xr:uid="{00000000-0005-0000-0000-000053210000}"/>
    <cellStyle name="표준 9 8 4 2 4" xfId="3711" xr:uid="{00000000-0005-0000-0000-000054210000}"/>
    <cellStyle name="표준 9 8 4 2 4 2" xfId="6861" xr:uid="{00000000-0005-0000-0000-000055210000}"/>
    <cellStyle name="표준 9 8 4 2 5" xfId="4758" xr:uid="{00000000-0005-0000-0000-000056210000}"/>
    <cellStyle name="표준 9 8 4 2 5 2" xfId="7908" xr:uid="{00000000-0005-0000-0000-000057210000}"/>
    <cellStyle name="표준 9 8 4 2 6" xfId="5814" xr:uid="{00000000-0005-0000-0000-000058210000}"/>
    <cellStyle name="표준 9 8 4 3" xfId="2784" xr:uid="{00000000-0005-0000-0000-000059210000}"/>
    <cellStyle name="표준 9 8 4 3 2" xfId="3322" xr:uid="{00000000-0005-0000-0000-00005A210000}"/>
    <cellStyle name="표준 9 8 4 3 2 2" xfId="4369" xr:uid="{00000000-0005-0000-0000-00005B210000}"/>
    <cellStyle name="표준 9 8 4 3 2 2 2" xfId="7519" xr:uid="{00000000-0005-0000-0000-00005C210000}"/>
    <cellStyle name="표준 9 8 4 3 2 3" xfId="5407" xr:uid="{00000000-0005-0000-0000-00005D210000}"/>
    <cellStyle name="표준 9 8 4 3 2 3 2" xfId="8556" xr:uid="{00000000-0005-0000-0000-00005E210000}"/>
    <cellStyle name="표준 9 8 4 3 2 4" xfId="6472" xr:uid="{00000000-0005-0000-0000-00005F210000}"/>
    <cellStyle name="표준 9 8 4 3 3" xfId="3840" xr:uid="{00000000-0005-0000-0000-000060210000}"/>
    <cellStyle name="표준 9 8 4 3 3 2" xfId="6990" xr:uid="{00000000-0005-0000-0000-000061210000}"/>
    <cellStyle name="표준 9 8 4 3 4" xfId="4887" xr:uid="{00000000-0005-0000-0000-000062210000}"/>
    <cellStyle name="표준 9 8 4 3 4 2" xfId="8037" xr:uid="{00000000-0005-0000-0000-000063210000}"/>
    <cellStyle name="표준 9 8 4 3 5" xfId="5943" xr:uid="{00000000-0005-0000-0000-000064210000}"/>
    <cellStyle name="표준 9 8 4 4" xfId="3064" xr:uid="{00000000-0005-0000-0000-000065210000}"/>
    <cellStyle name="표준 9 8 4 4 2" xfId="4111" xr:uid="{00000000-0005-0000-0000-000066210000}"/>
    <cellStyle name="표준 9 8 4 4 2 2" xfId="7261" xr:uid="{00000000-0005-0000-0000-000067210000}"/>
    <cellStyle name="표준 9 8 4 4 3" xfId="5149" xr:uid="{00000000-0005-0000-0000-000068210000}"/>
    <cellStyle name="표준 9 8 4 4 3 2" xfId="8298" xr:uid="{00000000-0005-0000-0000-000069210000}"/>
    <cellStyle name="표준 9 8 4 4 4" xfId="6214" xr:uid="{00000000-0005-0000-0000-00006A210000}"/>
    <cellStyle name="표준 9 8 4 5" xfId="3582" xr:uid="{00000000-0005-0000-0000-00006B210000}"/>
    <cellStyle name="표준 9 8 4 5 2" xfId="6732" xr:uid="{00000000-0005-0000-0000-00006C210000}"/>
    <cellStyle name="표준 9 8 4 6" xfId="4629" xr:uid="{00000000-0005-0000-0000-00006D210000}"/>
    <cellStyle name="표준 9 8 4 6 2" xfId="7779" xr:uid="{00000000-0005-0000-0000-00006E210000}"/>
    <cellStyle name="표준 9 8 4 7" xfId="5685" xr:uid="{00000000-0005-0000-0000-00006F210000}"/>
    <cellStyle name="표준 9 8 5" xfId="2626" xr:uid="{00000000-0005-0000-0000-000070210000}"/>
    <cellStyle name="표준 9 8 5 2" xfId="2980" xr:uid="{00000000-0005-0000-0000-000071210000}"/>
    <cellStyle name="표준 9 8 5 2 2" xfId="3518" xr:uid="{00000000-0005-0000-0000-000072210000}"/>
    <cellStyle name="표준 9 8 5 2 2 2" xfId="4565" xr:uid="{00000000-0005-0000-0000-000073210000}"/>
    <cellStyle name="표준 9 8 5 2 2 2 2" xfId="7715" xr:uid="{00000000-0005-0000-0000-000074210000}"/>
    <cellStyle name="표준 9 8 5 2 2 3" xfId="5603" xr:uid="{00000000-0005-0000-0000-000075210000}"/>
    <cellStyle name="표준 9 8 5 2 2 3 2" xfId="8752" xr:uid="{00000000-0005-0000-0000-000076210000}"/>
    <cellStyle name="표준 9 8 5 2 2 4" xfId="6668" xr:uid="{00000000-0005-0000-0000-000077210000}"/>
    <cellStyle name="표준 9 8 5 2 3" xfId="4036" xr:uid="{00000000-0005-0000-0000-000078210000}"/>
    <cellStyle name="표준 9 8 5 2 3 2" xfId="7186" xr:uid="{00000000-0005-0000-0000-000079210000}"/>
    <cellStyle name="표준 9 8 5 2 4" xfId="5083" xr:uid="{00000000-0005-0000-0000-00007A210000}"/>
    <cellStyle name="표준 9 8 5 2 4 2" xfId="8233" xr:uid="{00000000-0005-0000-0000-00007B210000}"/>
    <cellStyle name="표준 9 8 5 2 5" xfId="6139" xr:uid="{00000000-0005-0000-0000-00007C210000}"/>
    <cellStyle name="표준 9 8 5 3" xfId="3164" xr:uid="{00000000-0005-0000-0000-00007D210000}"/>
    <cellStyle name="표준 9 8 5 3 2" xfId="4211" xr:uid="{00000000-0005-0000-0000-00007E210000}"/>
    <cellStyle name="표준 9 8 5 3 2 2" xfId="7361" xr:uid="{00000000-0005-0000-0000-00007F210000}"/>
    <cellStyle name="표준 9 8 5 3 3" xfId="5249" xr:uid="{00000000-0005-0000-0000-000080210000}"/>
    <cellStyle name="표준 9 8 5 3 3 2" xfId="8398" xr:uid="{00000000-0005-0000-0000-000081210000}"/>
    <cellStyle name="표준 9 8 5 3 4" xfId="6314" xr:uid="{00000000-0005-0000-0000-000082210000}"/>
    <cellStyle name="표준 9 8 5 4" xfId="3682" xr:uid="{00000000-0005-0000-0000-000083210000}"/>
    <cellStyle name="표준 9 8 5 4 2" xfId="6832" xr:uid="{00000000-0005-0000-0000-000084210000}"/>
    <cellStyle name="표준 9 8 5 5" xfId="4729" xr:uid="{00000000-0005-0000-0000-000085210000}"/>
    <cellStyle name="표준 9 8 5 5 2" xfId="7879" xr:uid="{00000000-0005-0000-0000-000086210000}"/>
    <cellStyle name="표준 9 8 5 6" xfId="5785" xr:uid="{00000000-0005-0000-0000-000087210000}"/>
    <cellStyle name="표준 9 8 6" xfId="2755" xr:uid="{00000000-0005-0000-0000-000088210000}"/>
    <cellStyle name="표준 9 8 6 2" xfId="3293" xr:uid="{00000000-0005-0000-0000-000089210000}"/>
    <cellStyle name="표준 9 8 6 2 2" xfId="4340" xr:uid="{00000000-0005-0000-0000-00008A210000}"/>
    <cellStyle name="표준 9 8 6 2 2 2" xfId="7490" xr:uid="{00000000-0005-0000-0000-00008B210000}"/>
    <cellStyle name="표준 9 8 6 2 3" xfId="5378" xr:uid="{00000000-0005-0000-0000-00008C210000}"/>
    <cellStyle name="표준 9 8 6 2 3 2" xfId="8527" xr:uid="{00000000-0005-0000-0000-00008D210000}"/>
    <cellStyle name="표준 9 8 6 2 4" xfId="6443" xr:uid="{00000000-0005-0000-0000-00008E210000}"/>
    <cellStyle name="표준 9 8 6 3" xfId="3811" xr:uid="{00000000-0005-0000-0000-00008F210000}"/>
    <cellStyle name="표준 9 8 6 3 2" xfId="6961" xr:uid="{00000000-0005-0000-0000-000090210000}"/>
    <cellStyle name="표준 9 8 6 4" xfId="4858" xr:uid="{00000000-0005-0000-0000-000091210000}"/>
    <cellStyle name="표준 9 8 6 4 2" xfId="8008" xr:uid="{00000000-0005-0000-0000-000092210000}"/>
    <cellStyle name="표준 9 8 6 5" xfId="5914" xr:uid="{00000000-0005-0000-0000-000093210000}"/>
    <cellStyle name="표준 9 8 7" xfId="3035" xr:uid="{00000000-0005-0000-0000-000094210000}"/>
    <cellStyle name="표준 9 8 7 2" xfId="4082" xr:uid="{00000000-0005-0000-0000-000095210000}"/>
    <cellStyle name="표준 9 8 7 2 2" xfId="7232" xr:uid="{00000000-0005-0000-0000-000096210000}"/>
    <cellStyle name="표준 9 8 7 3" xfId="5120" xr:uid="{00000000-0005-0000-0000-000097210000}"/>
    <cellStyle name="표준 9 8 7 3 2" xfId="8269" xr:uid="{00000000-0005-0000-0000-000098210000}"/>
    <cellStyle name="표준 9 8 7 4" xfId="6185" xr:uid="{00000000-0005-0000-0000-000099210000}"/>
    <cellStyle name="표준 9 8 8" xfId="3553" xr:uid="{00000000-0005-0000-0000-00009A210000}"/>
    <cellStyle name="표준 9 8 8 2" xfId="6703" xr:uid="{00000000-0005-0000-0000-00009B210000}"/>
    <cellStyle name="표준 9 8 9" xfId="4600" xr:uid="{00000000-0005-0000-0000-00009C210000}"/>
    <cellStyle name="표준 9 8 9 2" xfId="7750" xr:uid="{00000000-0005-0000-0000-00009D210000}"/>
    <cellStyle name="표준 9 9" xfId="456" xr:uid="{00000000-0005-0000-0000-00009E210000}"/>
    <cellStyle name="표준 9 9 2" xfId="1906" xr:uid="{00000000-0005-0000-0000-00009F210000}"/>
    <cellStyle name="표준 9 9 2 2" xfId="2696" xr:uid="{00000000-0005-0000-0000-0000A0210000}"/>
    <cellStyle name="표준 9 9 2 2 2" xfId="2981" xr:uid="{00000000-0005-0000-0000-0000A1210000}"/>
    <cellStyle name="표준 9 9 2 2 2 2" xfId="3519" xr:uid="{00000000-0005-0000-0000-0000A2210000}"/>
    <cellStyle name="표준 9 9 2 2 2 2 2" xfId="4566" xr:uid="{00000000-0005-0000-0000-0000A3210000}"/>
    <cellStyle name="표준 9 9 2 2 2 2 2 2" xfId="7716" xr:uid="{00000000-0005-0000-0000-0000A4210000}"/>
    <cellStyle name="표준 9 9 2 2 2 2 3" xfId="5604" xr:uid="{00000000-0005-0000-0000-0000A5210000}"/>
    <cellStyle name="표준 9 9 2 2 2 2 3 2" xfId="8753" xr:uid="{00000000-0005-0000-0000-0000A6210000}"/>
    <cellStyle name="표준 9 9 2 2 2 2 4" xfId="6669" xr:uid="{00000000-0005-0000-0000-0000A7210000}"/>
    <cellStyle name="표준 9 9 2 2 2 3" xfId="4037" xr:uid="{00000000-0005-0000-0000-0000A8210000}"/>
    <cellStyle name="표준 9 9 2 2 2 3 2" xfId="7187" xr:uid="{00000000-0005-0000-0000-0000A9210000}"/>
    <cellStyle name="표준 9 9 2 2 2 4" xfId="5084" xr:uid="{00000000-0005-0000-0000-0000AA210000}"/>
    <cellStyle name="표준 9 9 2 2 2 4 2" xfId="8234" xr:uid="{00000000-0005-0000-0000-0000AB210000}"/>
    <cellStyle name="표준 9 9 2 2 2 5" xfId="6140" xr:uid="{00000000-0005-0000-0000-0000AC210000}"/>
    <cellStyle name="표준 9 9 2 2 3" xfId="3234" xr:uid="{00000000-0005-0000-0000-0000AD210000}"/>
    <cellStyle name="표준 9 9 2 2 3 2" xfId="4281" xr:uid="{00000000-0005-0000-0000-0000AE210000}"/>
    <cellStyle name="표준 9 9 2 2 3 2 2" xfId="7431" xr:uid="{00000000-0005-0000-0000-0000AF210000}"/>
    <cellStyle name="표준 9 9 2 2 3 3" xfId="5319" xr:uid="{00000000-0005-0000-0000-0000B0210000}"/>
    <cellStyle name="표준 9 9 2 2 3 3 2" xfId="8468" xr:uid="{00000000-0005-0000-0000-0000B1210000}"/>
    <cellStyle name="표준 9 9 2 2 3 4" xfId="6384" xr:uid="{00000000-0005-0000-0000-0000B2210000}"/>
    <cellStyle name="표준 9 9 2 2 4" xfId="3752" xr:uid="{00000000-0005-0000-0000-0000B3210000}"/>
    <cellStyle name="표준 9 9 2 2 4 2" xfId="6902" xr:uid="{00000000-0005-0000-0000-0000B4210000}"/>
    <cellStyle name="표준 9 9 2 2 5" xfId="4799" xr:uid="{00000000-0005-0000-0000-0000B5210000}"/>
    <cellStyle name="표준 9 9 2 2 5 2" xfId="7949" xr:uid="{00000000-0005-0000-0000-0000B6210000}"/>
    <cellStyle name="표준 9 9 2 2 6" xfId="5855" xr:uid="{00000000-0005-0000-0000-0000B7210000}"/>
    <cellStyle name="표준 9 9 2 3" xfId="2825" xr:uid="{00000000-0005-0000-0000-0000B8210000}"/>
    <cellStyle name="표준 9 9 2 3 2" xfId="3363" xr:uid="{00000000-0005-0000-0000-0000B9210000}"/>
    <cellStyle name="표준 9 9 2 3 2 2" xfId="4410" xr:uid="{00000000-0005-0000-0000-0000BA210000}"/>
    <cellStyle name="표준 9 9 2 3 2 2 2" xfId="7560" xr:uid="{00000000-0005-0000-0000-0000BB210000}"/>
    <cellStyle name="표준 9 9 2 3 2 3" xfId="5448" xr:uid="{00000000-0005-0000-0000-0000BC210000}"/>
    <cellStyle name="표준 9 9 2 3 2 3 2" xfId="8597" xr:uid="{00000000-0005-0000-0000-0000BD210000}"/>
    <cellStyle name="표준 9 9 2 3 2 4" xfId="6513" xr:uid="{00000000-0005-0000-0000-0000BE210000}"/>
    <cellStyle name="표준 9 9 2 3 3" xfId="3881" xr:uid="{00000000-0005-0000-0000-0000BF210000}"/>
    <cellStyle name="표준 9 9 2 3 3 2" xfId="7031" xr:uid="{00000000-0005-0000-0000-0000C0210000}"/>
    <cellStyle name="표준 9 9 2 3 4" xfId="4928" xr:uid="{00000000-0005-0000-0000-0000C1210000}"/>
    <cellStyle name="표준 9 9 2 3 4 2" xfId="8078" xr:uid="{00000000-0005-0000-0000-0000C2210000}"/>
    <cellStyle name="표준 9 9 2 3 5" xfId="5984" xr:uid="{00000000-0005-0000-0000-0000C3210000}"/>
    <cellStyle name="표준 9 9 2 4" xfId="3105" xr:uid="{00000000-0005-0000-0000-0000C4210000}"/>
    <cellStyle name="표준 9 9 2 4 2" xfId="4152" xr:uid="{00000000-0005-0000-0000-0000C5210000}"/>
    <cellStyle name="표준 9 9 2 4 2 2" xfId="7302" xr:uid="{00000000-0005-0000-0000-0000C6210000}"/>
    <cellStyle name="표준 9 9 2 4 3" xfId="5190" xr:uid="{00000000-0005-0000-0000-0000C7210000}"/>
    <cellStyle name="표준 9 9 2 4 3 2" xfId="8339" xr:uid="{00000000-0005-0000-0000-0000C8210000}"/>
    <cellStyle name="표준 9 9 2 4 4" xfId="6255" xr:uid="{00000000-0005-0000-0000-0000C9210000}"/>
    <cellStyle name="표준 9 9 2 5" xfId="3623" xr:uid="{00000000-0005-0000-0000-0000CA210000}"/>
    <cellStyle name="표준 9 9 2 5 2" xfId="6773" xr:uid="{00000000-0005-0000-0000-0000CB210000}"/>
    <cellStyle name="표준 9 9 2 6" xfId="4670" xr:uid="{00000000-0005-0000-0000-0000CC210000}"/>
    <cellStyle name="표준 9 9 2 6 2" xfId="7820" xr:uid="{00000000-0005-0000-0000-0000CD210000}"/>
    <cellStyle name="표준 9 9 2 7" xfId="5726" xr:uid="{00000000-0005-0000-0000-0000CE210000}"/>
    <cellStyle name="표준 9 9 3" xfId="1873" xr:uid="{00000000-0005-0000-0000-0000CF210000}"/>
    <cellStyle name="표준 9 9 3 2" xfId="2663" xr:uid="{00000000-0005-0000-0000-0000D0210000}"/>
    <cellStyle name="표준 9 9 3 2 2" xfId="2982" xr:uid="{00000000-0005-0000-0000-0000D1210000}"/>
    <cellStyle name="표준 9 9 3 2 2 2" xfId="3520" xr:uid="{00000000-0005-0000-0000-0000D2210000}"/>
    <cellStyle name="표준 9 9 3 2 2 2 2" xfId="4567" xr:uid="{00000000-0005-0000-0000-0000D3210000}"/>
    <cellStyle name="표준 9 9 3 2 2 2 2 2" xfId="7717" xr:uid="{00000000-0005-0000-0000-0000D4210000}"/>
    <cellStyle name="표준 9 9 3 2 2 2 3" xfId="5605" xr:uid="{00000000-0005-0000-0000-0000D5210000}"/>
    <cellStyle name="표준 9 9 3 2 2 2 3 2" xfId="8754" xr:uid="{00000000-0005-0000-0000-0000D6210000}"/>
    <cellStyle name="표준 9 9 3 2 2 2 4" xfId="6670" xr:uid="{00000000-0005-0000-0000-0000D7210000}"/>
    <cellStyle name="표준 9 9 3 2 2 3" xfId="4038" xr:uid="{00000000-0005-0000-0000-0000D8210000}"/>
    <cellStyle name="표준 9 9 3 2 2 3 2" xfId="7188" xr:uid="{00000000-0005-0000-0000-0000D9210000}"/>
    <cellStyle name="표준 9 9 3 2 2 4" xfId="5085" xr:uid="{00000000-0005-0000-0000-0000DA210000}"/>
    <cellStyle name="표준 9 9 3 2 2 4 2" xfId="8235" xr:uid="{00000000-0005-0000-0000-0000DB210000}"/>
    <cellStyle name="표준 9 9 3 2 2 5" xfId="6141" xr:uid="{00000000-0005-0000-0000-0000DC210000}"/>
    <cellStyle name="표준 9 9 3 2 3" xfId="3201" xr:uid="{00000000-0005-0000-0000-0000DD210000}"/>
    <cellStyle name="표준 9 9 3 2 3 2" xfId="4248" xr:uid="{00000000-0005-0000-0000-0000DE210000}"/>
    <cellStyle name="표준 9 9 3 2 3 2 2" xfId="7398" xr:uid="{00000000-0005-0000-0000-0000DF210000}"/>
    <cellStyle name="표준 9 9 3 2 3 3" xfId="5286" xr:uid="{00000000-0005-0000-0000-0000E0210000}"/>
    <cellStyle name="표준 9 9 3 2 3 3 2" xfId="8435" xr:uid="{00000000-0005-0000-0000-0000E1210000}"/>
    <cellStyle name="표준 9 9 3 2 3 4" xfId="6351" xr:uid="{00000000-0005-0000-0000-0000E2210000}"/>
    <cellStyle name="표준 9 9 3 2 4" xfId="3719" xr:uid="{00000000-0005-0000-0000-0000E3210000}"/>
    <cellStyle name="표준 9 9 3 2 4 2" xfId="6869" xr:uid="{00000000-0005-0000-0000-0000E4210000}"/>
    <cellStyle name="표준 9 9 3 2 5" xfId="4766" xr:uid="{00000000-0005-0000-0000-0000E5210000}"/>
    <cellStyle name="표준 9 9 3 2 5 2" xfId="7916" xr:uid="{00000000-0005-0000-0000-0000E6210000}"/>
    <cellStyle name="표준 9 9 3 2 6" xfId="5822" xr:uid="{00000000-0005-0000-0000-0000E7210000}"/>
    <cellStyle name="표준 9 9 3 3" xfId="2792" xr:uid="{00000000-0005-0000-0000-0000E8210000}"/>
    <cellStyle name="표준 9 9 3 3 2" xfId="3330" xr:uid="{00000000-0005-0000-0000-0000E9210000}"/>
    <cellStyle name="표준 9 9 3 3 2 2" xfId="4377" xr:uid="{00000000-0005-0000-0000-0000EA210000}"/>
    <cellStyle name="표준 9 9 3 3 2 2 2" xfId="7527" xr:uid="{00000000-0005-0000-0000-0000EB210000}"/>
    <cellStyle name="표준 9 9 3 3 2 3" xfId="5415" xr:uid="{00000000-0005-0000-0000-0000EC210000}"/>
    <cellStyle name="표준 9 9 3 3 2 3 2" xfId="8564" xr:uid="{00000000-0005-0000-0000-0000ED210000}"/>
    <cellStyle name="표준 9 9 3 3 2 4" xfId="6480" xr:uid="{00000000-0005-0000-0000-0000EE210000}"/>
    <cellStyle name="표준 9 9 3 3 3" xfId="3848" xr:uid="{00000000-0005-0000-0000-0000EF210000}"/>
    <cellStyle name="표준 9 9 3 3 3 2" xfId="6998" xr:uid="{00000000-0005-0000-0000-0000F0210000}"/>
    <cellStyle name="표준 9 9 3 3 4" xfId="4895" xr:uid="{00000000-0005-0000-0000-0000F1210000}"/>
    <cellStyle name="표준 9 9 3 3 4 2" xfId="8045" xr:uid="{00000000-0005-0000-0000-0000F2210000}"/>
    <cellStyle name="표준 9 9 3 3 5" xfId="5951" xr:uid="{00000000-0005-0000-0000-0000F3210000}"/>
    <cellStyle name="표준 9 9 3 4" xfId="3072" xr:uid="{00000000-0005-0000-0000-0000F4210000}"/>
    <cellStyle name="표준 9 9 3 4 2" xfId="4119" xr:uid="{00000000-0005-0000-0000-0000F5210000}"/>
    <cellStyle name="표준 9 9 3 4 2 2" xfId="7269" xr:uid="{00000000-0005-0000-0000-0000F6210000}"/>
    <cellStyle name="표준 9 9 3 4 3" xfId="5157" xr:uid="{00000000-0005-0000-0000-0000F7210000}"/>
    <cellStyle name="표준 9 9 3 4 3 2" xfId="8306" xr:uid="{00000000-0005-0000-0000-0000F8210000}"/>
    <cellStyle name="표준 9 9 3 4 4" xfId="6222" xr:uid="{00000000-0005-0000-0000-0000F9210000}"/>
    <cellStyle name="표준 9 9 3 5" xfId="3590" xr:uid="{00000000-0005-0000-0000-0000FA210000}"/>
    <cellStyle name="표준 9 9 3 5 2" xfId="6740" xr:uid="{00000000-0005-0000-0000-0000FB210000}"/>
    <cellStyle name="표준 9 9 3 6" xfId="4637" xr:uid="{00000000-0005-0000-0000-0000FC210000}"/>
    <cellStyle name="표준 9 9 3 6 2" xfId="7787" xr:uid="{00000000-0005-0000-0000-0000FD210000}"/>
    <cellStyle name="표준 9 9 3 7" xfId="5693" xr:uid="{00000000-0005-0000-0000-0000FE210000}"/>
    <cellStyle name="표준 9 9 4" xfId="2601" xr:uid="{00000000-0005-0000-0000-0000FF210000}"/>
    <cellStyle name="표준 9 9 4 2" xfId="2983" xr:uid="{00000000-0005-0000-0000-000000220000}"/>
    <cellStyle name="표준 9 9 4 2 2" xfId="3521" xr:uid="{00000000-0005-0000-0000-000001220000}"/>
    <cellStyle name="표준 9 9 4 2 2 2" xfId="4568" xr:uid="{00000000-0005-0000-0000-000002220000}"/>
    <cellStyle name="표준 9 9 4 2 2 2 2" xfId="7718" xr:uid="{00000000-0005-0000-0000-000003220000}"/>
    <cellStyle name="표준 9 9 4 2 2 3" xfId="5606" xr:uid="{00000000-0005-0000-0000-000004220000}"/>
    <cellStyle name="표준 9 9 4 2 2 3 2" xfId="8755" xr:uid="{00000000-0005-0000-0000-000005220000}"/>
    <cellStyle name="표준 9 9 4 2 2 4" xfId="6671" xr:uid="{00000000-0005-0000-0000-000006220000}"/>
    <cellStyle name="표준 9 9 4 2 3" xfId="4039" xr:uid="{00000000-0005-0000-0000-000007220000}"/>
    <cellStyle name="표준 9 9 4 2 3 2" xfId="7189" xr:uid="{00000000-0005-0000-0000-000008220000}"/>
    <cellStyle name="표준 9 9 4 2 4" xfId="5086" xr:uid="{00000000-0005-0000-0000-000009220000}"/>
    <cellStyle name="표준 9 9 4 2 4 2" xfId="8236" xr:uid="{00000000-0005-0000-0000-00000A220000}"/>
    <cellStyle name="표준 9 9 4 2 5" xfId="6142" xr:uid="{00000000-0005-0000-0000-00000B220000}"/>
    <cellStyle name="표준 9 9 4 3" xfId="3139" xr:uid="{00000000-0005-0000-0000-00000C220000}"/>
    <cellStyle name="표준 9 9 4 3 2" xfId="4186" xr:uid="{00000000-0005-0000-0000-00000D220000}"/>
    <cellStyle name="표준 9 9 4 3 2 2" xfId="7336" xr:uid="{00000000-0005-0000-0000-00000E220000}"/>
    <cellStyle name="표준 9 9 4 3 3" xfId="5224" xr:uid="{00000000-0005-0000-0000-00000F220000}"/>
    <cellStyle name="표준 9 9 4 3 3 2" xfId="8373" xr:uid="{00000000-0005-0000-0000-000010220000}"/>
    <cellStyle name="표준 9 9 4 3 4" xfId="6289" xr:uid="{00000000-0005-0000-0000-000011220000}"/>
    <cellStyle name="표준 9 9 4 4" xfId="3657" xr:uid="{00000000-0005-0000-0000-000012220000}"/>
    <cellStyle name="표준 9 9 4 4 2" xfId="6807" xr:uid="{00000000-0005-0000-0000-000013220000}"/>
    <cellStyle name="표준 9 9 4 5" xfId="4704" xr:uid="{00000000-0005-0000-0000-000014220000}"/>
    <cellStyle name="표준 9 9 4 5 2" xfId="7854" xr:uid="{00000000-0005-0000-0000-000015220000}"/>
    <cellStyle name="표준 9 9 4 6" xfId="5760" xr:uid="{00000000-0005-0000-0000-000016220000}"/>
    <cellStyle name="표준 9 9 5" xfId="2730" xr:uid="{00000000-0005-0000-0000-000017220000}"/>
    <cellStyle name="표준 9 9 5 2" xfId="3268" xr:uid="{00000000-0005-0000-0000-000018220000}"/>
    <cellStyle name="표준 9 9 5 2 2" xfId="4315" xr:uid="{00000000-0005-0000-0000-000019220000}"/>
    <cellStyle name="표준 9 9 5 2 2 2" xfId="7465" xr:uid="{00000000-0005-0000-0000-00001A220000}"/>
    <cellStyle name="표준 9 9 5 2 3" xfId="5353" xr:uid="{00000000-0005-0000-0000-00001B220000}"/>
    <cellStyle name="표준 9 9 5 2 3 2" xfId="8502" xr:uid="{00000000-0005-0000-0000-00001C220000}"/>
    <cellStyle name="표준 9 9 5 2 4" xfId="6418" xr:uid="{00000000-0005-0000-0000-00001D220000}"/>
    <cellStyle name="표준 9 9 5 3" xfId="3786" xr:uid="{00000000-0005-0000-0000-00001E220000}"/>
    <cellStyle name="표준 9 9 5 3 2" xfId="6936" xr:uid="{00000000-0005-0000-0000-00001F220000}"/>
    <cellStyle name="표준 9 9 5 4" xfId="4833" xr:uid="{00000000-0005-0000-0000-000020220000}"/>
    <cellStyle name="표준 9 9 5 4 2" xfId="7983" xr:uid="{00000000-0005-0000-0000-000021220000}"/>
    <cellStyle name="표준 9 9 5 5" xfId="5889" xr:uid="{00000000-0005-0000-0000-000022220000}"/>
    <cellStyle name="표준 9 9 6" xfId="3010" xr:uid="{00000000-0005-0000-0000-000023220000}"/>
    <cellStyle name="표준 9 9 6 2" xfId="4057" xr:uid="{00000000-0005-0000-0000-000024220000}"/>
    <cellStyle name="표준 9 9 6 2 2" xfId="7207" xr:uid="{00000000-0005-0000-0000-000025220000}"/>
    <cellStyle name="표준 9 9 6 3" xfId="5095" xr:uid="{00000000-0005-0000-0000-000026220000}"/>
    <cellStyle name="표준 9 9 6 3 2" xfId="8244" xr:uid="{00000000-0005-0000-0000-000027220000}"/>
    <cellStyle name="표준 9 9 6 4" xfId="6160" xr:uid="{00000000-0005-0000-0000-000028220000}"/>
    <cellStyle name="표준 9 9 7" xfId="3528" xr:uid="{00000000-0005-0000-0000-000029220000}"/>
    <cellStyle name="표준 9 9 7 2" xfId="6678" xr:uid="{00000000-0005-0000-0000-00002A220000}"/>
    <cellStyle name="표준 9 9 8" xfId="4575" xr:uid="{00000000-0005-0000-0000-00002B220000}"/>
    <cellStyle name="표준 9 9 8 2" xfId="7725" xr:uid="{00000000-0005-0000-0000-00002C220000}"/>
    <cellStyle name="표준 9 9 9" xfId="5631" xr:uid="{00000000-0005-0000-0000-00002D220000}"/>
    <cellStyle name="표준 94 3" xfId="2594" xr:uid="{00000000-0005-0000-0000-00002E220000}"/>
    <cellStyle name="표준 98" xfId="8761" xr:uid="{00000000-0005-0000-0000-00002F220000}"/>
    <cellStyle name="표준_롯데홈쇼핑_정보자산목록_v0.1" xfId="8760" xr:uid="{00000000-0005-0000-0000-000030220000}"/>
    <cellStyle name="표준_서버 취약점 진단 요약보고서_기간계업무_계정계서버_1" xfId="410" xr:uid="{00000000-0005-0000-0000-000031220000}"/>
    <cellStyle name="하이퍼링크" xfId="411" builtinId="8"/>
    <cellStyle name="하이퍼링크 2" xfId="412" xr:uid="{00000000-0005-0000-0000-000033220000}"/>
    <cellStyle name="하이퍼링크 2 2" xfId="5612" xr:uid="{00000000-0005-0000-0000-000034220000}"/>
    <cellStyle name="하이퍼링크 2 3" xfId="2989" xr:uid="{00000000-0005-0000-0000-000035220000}"/>
    <cellStyle name="하이퍼링크 3" xfId="413" xr:uid="{00000000-0005-0000-0000-000036220000}"/>
    <cellStyle name="하이퍼링크 3 2" xfId="2992" xr:uid="{00000000-0005-0000-0000-000037220000}"/>
    <cellStyle name="하이퍼링크 4" xfId="414" xr:uid="{00000000-0005-0000-0000-000038220000}"/>
    <cellStyle name="합산" xfId="433" xr:uid="{00000000-0005-0000-0000-000039220000}"/>
    <cellStyle name="화폐기호" xfId="434" xr:uid="{00000000-0005-0000-0000-00003A220000}"/>
    <cellStyle name="화폐기호0" xfId="435" xr:uid="{00000000-0005-0000-0000-00003B220000}"/>
  </cellStyles>
  <dxfs count="20">
    <dxf>
      <font>
        <b/>
        <i val="0"/>
        <color rgb="FFFF0000"/>
      </font>
      <fill>
        <patternFill>
          <bgColor rgb="FFF2DCDB"/>
        </patternFill>
      </fill>
    </dxf>
    <dxf>
      <font>
        <b/>
        <i val="0"/>
        <color rgb="FFBFBFBF"/>
      </font>
    </dxf>
    <dxf>
      <font>
        <b/>
        <i val="0"/>
        <color theme="0"/>
      </font>
      <fill>
        <patternFill>
          <bgColor rgb="FFFF0000"/>
        </patternFill>
      </fill>
    </dxf>
    <dxf>
      <font>
        <b/>
        <i val="0"/>
        <color theme="1"/>
      </font>
      <fill>
        <patternFill>
          <bgColor theme="6"/>
        </patternFill>
      </fill>
    </dxf>
    <dxf>
      <font>
        <b/>
        <i val="0"/>
        <color rgb="FFFF0000"/>
      </font>
      <fill>
        <patternFill>
          <bgColor theme="5" tint="0.79998168889431442"/>
        </patternFill>
      </fill>
    </dxf>
    <dxf>
      <font>
        <b val="0"/>
        <i val="0"/>
        <color theme="0" tint="-0.24994659260841701"/>
      </font>
    </dxf>
    <dxf>
      <font>
        <b/>
        <i val="0"/>
        <color rgb="FFFF0000"/>
      </font>
      <fill>
        <patternFill>
          <bgColor rgb="FFF2DCDB"/>
        </patternFill>
      </fill>
    </dxf>
    <dxf>
      <font>
        <b/>
        <i val="0"/>
        <color rgb="FFBFBFBF"/>
      </font>
    </dxf>
    <dxf>
      <font>
        <b/>
        <i val="0"/>
        <color theme="0"/>
      </font>
      <fill>
        <patternFill>
          <bgColor rgb="FFFF0000"/>
        </patternFill>
      </fill>
    </dxf>
    <dxf>
      <font>
        <b/>
        <i val="0"/>
        <color theme="1"/>
      </font>
      <fill>
        <patternFill>
          <bgColor theme="6"/>
        </patternFill>
      </fill>
    </dxf>
    <dxf>
      <font>
        <b/>
        <i val="0"/>
        <color rgb="FFFF0000"/>
      </font>
      <fill>
        <patternFill>
          <bgColor theme="5" tint="0.79998168889431442"/>
        </patternFill>
      </fill>
    </dxf>
    <dxf>
      <font>
        <b val="0"/>
        <i val="0"/>
        <color theme="0" tint="-0.24994659260841701"/>
      </font>
    </dxf>
    <dxf>
      <font>
        <color rgb="FF9C0006"/>
      </font>
      <fill>
        <patternFill>
          <bgColor rgb="FFFFC7CE"/>
        </patternFill>
      </fill>
    </dxf>
    <dxf>
      <font>
        <color rgb="FF9C0006"/>
      </font>
      <fill>
        <patternFill>
          <bgColor rgb="FFFFC7CE"/>
        </patternFill>
      </fill>
    </dxf>
    <dxf>
      <font>
        <b/>
        <i val="0"/>
        <color rgb="FFFF0000"/>
      </font>
      <fill>
        <patternFill>
          <bgColor theme="5" tint="0.79998168889431442"/>
        </patternFill>
      </fill>
    </dxf>
    <dxf>
      <font>
        <b val="0"/>
        <i val="0"/>
        <color theme="0" tint="-0.24994659260841701"/>
      </font>
    </dxf>
    <dxf>
      <font>
        <b/>
        <i val="0"/>
        <color theme="0" tint="-0.24994659260841701"/>
      </font>
    </dxf>
    <dxf>
      <font>
        <b/>
        <i val="0"/>
        <color theme="5" tint="-0.499984740745262"/>
        <name val="맑은 고딕"/>
        <scheme val="none"/>
      </font>
      <fill>
        <patternFill>
          <bgColor theme="5" tint="0.79998168889431442"/>
        </patternFill>
      </fill>
    </dxf>
    <dxf>
      <font>
        <b/>
        <i val="0"/>
        <color rgb="FFFF0000"/>
      </font>
      <fill>
        <patternFill>
          <bgColor theme="5" tint="0.79998168889431442"/>
        </patternFill>
      </fill>
    </dxf>
    <dxf>
      <font>
        <b val="0"/>
        <i val="0"/>
        <color theme="0" tint="-0.24994659260841701"/>
      </font>
    </dxf>
  </dxfs>
  <tableStyles count="0" defaultTableStyle="TableStyleMedium9" defaultPivotStyle="PivotStyleLight16"/>
  <colors>
    <mruColors>
      <color rgb="FFDCE6F1"/>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externalLink" Target="externalLinks/externalLink7.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externalLink" Target="externalLinks/externalLink5.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calcChain" Target="calcChain.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2904944610060288"/>
          <c:y val="0.15434071050291692"/>
          <c:w val="0.56377795196893055"/>
          <c:h val="0.76545252451780721"/>
        </c:manualLayout>
      </c:layout>
      <c:radarChart>
        <c:radarStyle val="marker"/>
        <c:varyColors val="0"/>
        <c:ser>
          <c:idx val="0"/>
          <c:order val="0"/>
          <c:dLbls>
            <c:dLbl>
              <c:idx val="0"/>
              <c:layout>
                <c:manualLayout>
                  <c:x val="2.6452937871738282E-3"/>
                  <c:y val="-0.11152032075383829"/>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0B3-4186-A57A-106A79ACD8C5}"/>
                </c:ext>
              </c:extLst>
            </c:dLbl>
            <c:dLbl>
              <c:idx val="1"/>
              <c:layout>
                <c:manualLayout>
                  <c:x val="0.13264736831870147"/>
                  <c:y val="-0.11077960839434565"/>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0B3-4186-A57A-106A79ACD8C5}"/>
                </c:ext>
              </c:extLst>
            </c:dLbl>
            <c:dLbl>
              <c:idx val="2"/>
              <c:layout>
                <c:manualLayout>
                  <c:x val="3.0183720746631417E-2"/>
                  <c:y val="-9.6000000000000002E-2"/>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0B3-4186-A57A-106A79ACD8C5}"/>
                </c:ext>
              </c:extLst>
            </c:dLbl>
            <c:dLbl>
              <c:idx val="3"/>
              <c:layout>
                <c:manualLayout>
                  <c:x val="-3.3438938166283766E-2"/>
                  <c:y val="-9.4504426946631664E-2"/>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0B3-4186-A57A-106A79ACD8C5}"/>
                </c:ext>
              </c:extLst>
            </c:dLbl>
            <c:dLbl>
              <c:idx val="4"/>
              <c:layout>
                <c:manualLayout>
                  <c:x val="-1.0969251558294497E-2"/>
                  <c:y val="-3.9779107611548556E-2"/>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0B3-4186-A57A-106A79ACD8C5}"/>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통계'!$B$6:$B$10</c:f>
              <c:strCache>
                <c:ptCount val="5"/>
                <c:pt idx="0">
                  <c:v>계정 관리</c:v>
                </c:pt>
                <c:pt idx="1">
                  <c:v>파일 및 디렉터리 관리</c:v>
                </c:pt>
                <c:pt idx="2">
                  <c:v>서비스 관리</c:v>
                </c:pt>
                <c:pt idx="3">
                  <c:v>패치 관리</c:v>
                </c:pt>
                <c:pt idx="4">
                  <c:v>로그 관리</c:v>
                </c:pt>
              </c:strCache>
            </c:strRef>
          </c:cat>
          <c:val>
            <c:numLit>
              <c:formatCode>General</c:formatCode>
              <c:ptCount val="5"/>
            </c:numLit>
          </c:val>
          <c:extLst>
            <c:ext xmlns:c16="http://schemas.microsoft.com/office/drawing/2014/chart" uri="{C3380CC4-5D6E-409C-BE32-E72D297353CC}">
              <c16:uniqueId val="{00000005-20B3-4186-A57A-106A79ACD8C5}"/>
            </c:ext>
          </c:extLst>
        </c:ser>
        <c:ser>
          <c:idx val="1"/>
          <c:order val="1"/>
          <c:spPr>
            <a:ln>
              <a:solidFill>
                <a:schemeClr val="tx2">
                  <a:lumMod val="75000"/>
                </a:schemeClr>
              </a:solidFill>
            </a:ln>
          </c:spPr>
          <c:marker>
            <c:symbol val="circle"/>
            <c:size val="7"/>
            <c:spPr>
              <a:solidFill>
                <a:schemeClr val="tx2">
                  <a:lumMod val="75000"/>
                </a:schemeClr>
              </a:solidFill>
              <a:ln>
                <a:solidFill>
                  <a:schemeClr val="tx2">
                    <a:lumMod val="75000"/>
                  </a:schemeClr>
                </a:solidFill>
              </a:ln>
            </c:spPr>
          </c:marker>
          <c:dLbls>
            <c:dLbl>
              <c:idx val="0"/>
              <c:layout>
                <c:manualLayout>
                  <c:x val="4.9685659356581606E-3"/>
                  <c:y val="-0.26114803940899117"/>
                </c:manualLayout>
              </c:layout>
              <c:numFmt formatCode="0%" sourceLinked="0"/>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0B3-4186-A57A-106A79ACD8C5}"/>
                </c:ext>
              </c:extLst>
            </c:dLbl>
            <c:dLbl>
              <c:idx val="1"/>
              <c:layout>
                <c:manualLayout>
                  <c:x val="6.9118374369330271E-2"/>
                  <c:y val="0.15596226201055"/>
                </c:manualLayout>
              </c:layout>
              <c:numFmt formatCode="0%" sourceLinked="0"/>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0B3-4186-A57A-106A79ACD8C5}"/>
                </c:ext>
              </c:extLst>
            </c:dLbl>
            <c:dLbl>
              <c:idx val="2"/>
              <c:layout>
                <c:manualLayout>
                  <c:x val="0.17664051808384307"/>
                  <c:y val="-9.4011853668506031E-3"/>
                </c:manualLayout>
              </c:layout>
              <c:numFmt formatCode="0%" sourceLinked="0"/>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0B3-4186-A57A-106A79ACD8C5}"/>
                </c:ext>
              </c:extLst>
            </c:dLbl>
            <c:dLbl>
              <c:idx val="3"/>
              <c:layout>
                <c:manualLayout>
                  <c:x val="-2.1210794266631468E-2"/>
                  <c:y val="8.1487893790553767E-2"/>
                </c:manualLayout>
              </c:layout>
              <c:numFmt formatCode="0%" sourceLinked="0"/>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0B3-4186-A57A-106A79ACD8C5}"/>
                </c:ext>
              </c:extLst>
            </c:dLbl>
            <c:dLbl>
              <c:idx val="4"/>
              <c:layout>
                <c:manualLayout>
                  <c:x val="-5.2135660590724685E-3"/>
                  <c:y val="0.12782848103602096"/>
                </c:manualLayout>
              </c:layout>
              <c:numFmt formatCode="0%" sourceLinked="0"/>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0B3-4186-A57A-106A79ACD8C5}"/>
                </c:ext>
              </c:extLst>
            </c:dLbl>
            <c:numFmt formatCode="0%" sourceLinked="0"/>
            <c:spPr>
              <a:noFill/>
              <a:ln w="25400">
                <a:noFill/>
              </a:ln>
            </c:spPr>
            <c:txPr>
              <a:bodyPr/>
              <a:lstStyle/>
              <a:p>
                <a:pPr>
                  <a:defRPr sz="1100" b="0"/>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통계'!$B$6:$B$10</c:f>
              <c:strCache>
                <c:ptCount val="5"/>
                <c:pt idx="0">
                  <c:v>계정 관리</c:v>
                </c:pt>
                <c:pt idx="1">
                  <c:v>파일 및 디렉터리 관리</c:v>
                </c:pt>
                <c:pt idx="2">
                  <c:v>서비스 관리</c:v>
                </c:pt>
                <c:pt idx="3">
                  <c:v>패치 관리</c:v>
                </c:pt>
                <c:pt idx="4">
                  <c:v>로그 관리</c:v>
                </c:pt>
              </c:strCache>
            </c:strRef>
          </c:cat>
          <c:val>
            <c:numRef>
              <c:f>'보안수준 통계'!$I$6:$I$10</c:f>
              <c:numCache>
                <c:formatCode>0%</c:formatCode>
                <c:ptCount val="5"/>
                <c:pt idx="0">
                  <c:v>0.6785714285714286</c:v>
                </c:pt>
                <c:pt idx="1">
                  <c:v>1</c:v>
                </c:pt>
                <c:pt idx="2">
                  <c:v>1</c:v>
                </c:pt>
                <c:pt idx="3">
                  <c:v>1</c:v>
                </c:pt>
                <c:pt idx="4">
                  <c:v>1</c:v>
                </c:pt>
              </c:numCache>
            </c:numRef>
          </c:val>
          <c:extLst>
            <c:ext xmlns:c16="http://schemas.microsoft.com/office/drawing/2014/chart" uri="{C3380CC4-5D6E-409C-BE32-E72D297353CC}">
              <c16:uniqueId val="{0000000B-20B3-4186-A57A-106A79ACD8C5}"/>
            </c:ext>
          </c:extLst>
        </c:ser>
        <c:dLbls>
          <c:showLegendKey val="0"/>
          <c:showVal val="0"/>
          <c:showCatName val="0"/>
          <c:showSerName val="0"/>
          <c:showPercent val="0"/>
          <c:showBubbleSize val="0"/>
        </c:dLbls>
        <c:axId val="419419872"/>
        <c:axId val="419481552"/>
      </c:radarChart>
      <c:catAx>
        <c:axId val="419419872"/>
        <c:scaling>
          <c:orientation val="minMax"/>
        </c:scaling>
        <c:delete val="0"/>
        <c:axPos val="b"/>
        <c:majorGridlines/>
        <c:numFmt formatCode="General" sourceLinked="0"/>
        <c:majorTickMark val="out"/>
        <c:minorTickMark val="none"/>
        <c:tickLblPos val="nextTo"/>
        <c:txPr>
          <a:bodyPr/>
          <a:lstStyle/>
          <a:p>
            <a:pPr>
              <a:defRPr sz="800" b="0"/>
            </a:pPr>
            <a:endParaRPr lang="ko-KR"/>
          </a:p>
        </c:txPr>
        <c:crossAx val="419481552"/>
        <c:crosses val="autoZero"/>
        <c:auto val="0"/>
        <c:lblAlgn val="ctr"/>
        <c:lblOffset val="100"/>
        <c:noMultiLvlLbl val="0"/>
      </c:catAx>
      <c:valAx>
        <c:axId val="419481552"/>
        <c:scaling>
          <c:orientation val="minMax"/>
          <c:max val="1"/>
          <c:min val="0"/>
        </c:scaling>
        <c:delete val="0"/>
        <c:axPos val="l"/>
        <c:majorGridlines/>
        <c:minorGridlines/>
        <c:numFmt formatCode="0%" sourceLinked="0"/>
        <c:majorTickMark val="none"/>
        <c:minorTickMark val="none"/>
        <c:tickLblPos val="nextTo"/>
        <c:crossAx val="419419872"/>
        <c:crosses val="autoZero"/>
        <c:crossBetween val="between"/>
        <c:majorUnit val="0.2"/>
        <c:minorUnit val="0.2"/>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7.7347416593168766E-2"/>
          <c:y val="9.2050649496355011E-2"/>
          <c:w val="0.87586895767583706"/>
          <c:h val="0.77648066212133127"/>
        </c:manualLayout>
      </c:layout>
      <c:barChart>
        <c:barDir val="col"/>
        <c:grouping val="stacked"/>
        <c:varyColors val="0"/>
        <c:ser>
          <c:idx val="0"/>
          <c:order val="0"/>
          <c:invertIfNegative val="0"/>
          <c:cat>
            <c:strRef>
              <c:f>'보안수준 통계'!$B$6:$B$10</c:f>
              <c:strCache>
                <c:ptCount val="5"/>
                <c:pt idx="0">
                  <c:v>계정 관리</c:v>
                </c:pt>
                <c:pt idx="1">
                  <c:v>파일 및 디렉터리 관리</c:v>
                </c:pt>
                <c:pt idx="2">
                  <c:v>서비스 관리</c:v>
                </c:pt>
                <c:pt idx="3">
                  <c:v>패치 관리</c:v>
                </c:pt>
                <c:pt idx="4">
                  <c:v>로그 관리</c:v>
                </c:pt>
              </c:strCache>
            </c:strRef>
          </c:cat>
          <c:val>
            <c:numLit>
              <c:formatCode>General</c:formatCode>
              <c:ptCount val="5"/>
            </c:numLit>
          </c:val>
          <c:extLst>
            <c:ext xmlns:c16="http://schemas.microsoft.com/office/drawing/2014/chart" uri="{C3380CC4-5D6E-409C-BE32-E72D297353CC}">
              <c16:uniqueId val="{00000000-51CB-4C3D-823B-441114602224}"/>
            </c:ext>
          </c:extLst>
        </c:ser>
        <c:ser>
          <c:idx val="1"/>
          <c:order val="1"/>
          <c:spPr>
            <a:solidFill>
              <a:srgbClr val="FFCC00"/>
            </a:solidFill>
            <a:ln>
              <a:solidFill>
                <a:srgbClr val="FFCC00"/>
              </a:solidFill>
            </a:ln>
          </c:spPr>
          <c:invertIfNegative val="0"/>
          <c:dLbls>
            <c:numFmt formatCode="0%" sourceLinked="0"/>
            <c:spPr>
              <a:noFill/>
              <a:ln w="25400">
                <a:noFill/>
              </a:ln>
            </c:spPr>
            <c:txPr>
              <a:bodyPr/>
              <a:lstStyle/>
              <a:p>
                <a:pPr>
                  <a:defRPr sz="1100" b="1"/>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통계'!$B$6:$B$10</c:f>
              <c:strCache>
                <c:ptCount val="5"/>
                <c:pt idx="0">
                  <c:v>계정 관리</c:v>
                </c:pt>
                <c:pt idx="1">
                  <c:v>파일 및 디렉터리 관리</c:v>
                </c:pt>
                <c:pt idx="2">
                  <c:v>서비스 관리</c:v>
                </c:pt>
                <c:pt idx="3">
                  <c:v>패치 관리</c:v>
                </c:pt>
                <c:pt idx="4">
                  <c:v>로그 관리</c:v>
                </c:pt>
              </c:strCache>
            </c:strRef>
          </c:cat>
          <c:val>
            <c:numRef>
              <c:f>'보안수준 통계'!$I$6:$I$10</c:f>
              <c:numCache>
                <c:formatCode>0%</c:formatCode>
                <c:ptCount val="5"/>
                <c:pt idx="0">
                  <c:v>0.6785714285714286</c:v>
                </c:pt>
                <c:pt idx="1">
                  <c:v>1</c:v>
                </c:pt>
                <c:pt idx="2">
                  <c:v>1</c:v>
                </c:pt>
                <c:pt idx="3">
                  <c:v>1</c:v>
                </c:pt>
                <c:pt idx="4">
                  <c:v>1</c:v>
                </c:pt>
              </c:numCache>
            </c:numRef>
          </c:val>
          <c:extLst>
            <c:ext xmlns:c16="http://schemas.microsoft.com/office/drawing/2014/chart" uri="{C3380CC4-5D6E-409C-BE32-E72D297353CC}">
              <c16:uniqueId val="{00000001-51CB-4C3D-823B-441114602224}"/>
            </c:ext>
          </c:extLst>
        </c:ser>
        <c:dLbls>
          <c:showLegendKey val="0"/>
          <c:showVal val="0"/>
          <c:showCatName val="0"/>
          <c:showSerName val="0"/>
          <c:showPercent val="0"/>
          <c:showBubbleSize val="0"/>
        </c:dLbls>
        <c:gapWidth val="55"/>
        <c:overlap val="100"/>
        <c:axId val="419557520"/>
        <c:axId val="419557904"/>
      </c:barChart>
      <c:catAx>
        <c:axId val="419557520"/>
        <c:scaling>
          <c:orientation val="minMax"/>
        </c:scaling>
        <c:delete val="0"/>
        <c:axPos val="b"/>
        <c:numFmt formatCode="General" sourceLinked="0"/>
        <c:majorTickMark val="none"/>
        <c:minorTickMark val="none"/>
        <c:tickLblPos val="nextTo"/>
        <c:txPr>
          <a:bodyPr/>
          <a:lstStyle/>
          <a:p>
            <a:pPr>
              <a:defRPr b="0"/>
            </a:pPr>
            <a:endParaRPr lang="ko-KR"/>
          </a:p>
        </c:txPr>
        <c:crossAx val="419557904"/>
        <c:crosses val="autoZero"/>
        <c:auto val="0"/>
        <c:lblAlgn val="ctr"/>
        <c:lblOffset val="100"/>
        <c:noMultiLvlLbl val="0"/>
      </c:catAx>
      <c:valAx>
        <c:axId val="419557904"/>
        <c:scaling>
          <c:orientation val="minMax"/>
          <c:max val="1"/>
          <c:min val="0"/>
        </c:scaling>
        <c:delete val="0"/>
        <c:axPos val="l"/>
        <c:majorGridlines/>
        <c:numFmt formatCode="0%" sourceLinked="0"/>
        <c:majorTickMark val="none"/>
        <c:minorTickMark val="none"/>
        <c:tickLblPos val="nextTo"/>
        <c:txPr>
          <a:bodyPr/>
          <a:lstStyle/>
          <a:p>
            <a:pPr>
              <a:defRPr b="0"/>
            </a:pPr>
            <a:endParaRPr lang="ko-KR"/>
          </a:p>
        </c:txPr>
        <c:crossAx val="419557520"/>
        <c:crosses val="autoZero"/>
        <c:crossBetween val="between"/>
        <c:majorUnit val="0.2"/>
        <c:minorUnit val="0.1"/>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7.7347416593168766E-2"/>
          <c:y val="9.2050649496355011E-2"/>
          <c:w val="0.87586895767583706"/>
          <c:h val="0.77648066212133127"/>
        </c:manualLayout>
      </c:layout>
      <c:barChart>
        <c:barDir val="col"/>
        <c:grouping val="clustered"/>
        <c:varyColors val="0"/>
        <c:ser>
          <c:idx val="0"/>
          <c:order val="0"/>
          <c:spPr>
            <a:solidFill>
              <a:srgbClr val="FFCC00"/>
            </a:solidFill>
          </c:spPr>
          <c:invertIfNegative val="0"/>
          <c:dLbls>
            <c:dLbl>
              <c:idx val="0"/>
              <c:spPr>
                <a:noFill/>
                <a:ln>
                  <a:noFill/>
                </a:ln>
                <a:effectLst/>
              </c:spPr>
              <c:txPr>
                <a:bodyPr wrap="square" lIns="38100" tIns="19050" rIns="38100" bIns="19050" anchor="ctr">
                  <a:noAutofit/>
                </a:bodyPr>
                <a:lstStyle/>
                <a:p>
                  <a:pPr>
                    <a:defRPr b="1"/>
                  </a:pPr>
                  <a:endParaRPr lang="ko-KR"/>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0-327A-4C3B-9DD6-19FC725F2209}"/>
                </c:ext>
              </c:extLst>
            </c:dLbl>
            <c:spPr>
              <a:noFill/>
              <a:ln>
                <a:noFill/>
              </a:ln>
              <a:effectLst/>
            </c:spPr>
            <c:txPr>
              <a:bodyPr wrap="square" lIns="38100" tIns="19050" rIns="38100" bIns="19050" anchor="ctr">
                <a:spAutoFit/>
              </a:bodyPr>
              <a:lstStyle/>
              <a:p>
                <a:pPr>
                  <a:defRPr b="1"/>
                </a:pPr>
                <a:endParaRPr lang="ko-K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'요약 통계'!$B$2</c:f>
              <c:strCache>
                <c:ptCount val="1"/>
                <c:pt idx="0">
                  <c:v>◎ 요약 통계</c:v>
                </c:pt>
              </c:strCache>
            </c:strRef>
          </c:cat>
          <c:val>
            <c:numRef>
              <c:f>'보안수준 통계'!$I$11</c:f>
              <c:numCache>
                <c:formatCode>0%</c:formatCode>
                <c:ptCount val="1"/>
                <c:pt idx="0">
                  <c:v>0.94545454545454544</c:v>
                </c:pt>
              </c:numCache>
            </c:numRef>
          </c:val>
          <c:extLst>
            <c:ext xmlns:c16="http://schemas.microsoft.com/office/drawing/2014/chart" uri="{C3380CC4-5D6E-409C-BE32-E72D297353CC}">
              <c16:uniqueId val="{00000002-F3DC-4F53-B6DE-1613264BAE1B}"/>
            </c:ext>
          </c:extLst>
        </c:ser>
        <c:dLbls>
          <c:showLegendKey val="0"/>
          <c:showVal val="0"/>
          <c:showCatName val="0"/>
          <c:showSerName val="0"/>
          <c:showPercent val="0"/>
          <c:showBubbleSize val="0"/>
        </c:dLbls>
        <c:gapWidth val="55"/>
        <c:axId val="419571696"/>
        <c:axId val="419517832"/>
      </c:barChart>
      <c:catAx>
        <c:axId val="419571696"/>
        <c:scaling>
          <c:orientation val="minMax"/>
        </c:scaling>
        <c:delete val="0"/>
        <c:axPos val="b"/>
        <c:numFmt formatCode="General" sourceLinked="0"/>
        <c:majorTickMark val="none"/>
        <c:minorTickMark val="none"/>
        <c:tickLblPos val="nextTo"/>
        <c:spPr>
          <a:ln>
            <a:noFill/>
          </a:ln>
        </c:spPr>
        <c:txPr>
          <a:bodyPr/>
          <a:lstStyle/>
          <a:p>
            <a:pPr>
              <a:defRPr sz="800" b="0"/>
            </a:pPr>
            <a:endParaRPr lang="ko-KR"/>
          </a:p>
        </c:txPr>
        <c:crossAx val="419517832"/>
        <c:crosses val="autoZero"/>
        <c:auto val="0"/>
        <c:lblAlgn val="ctr"/>
        <c:lblOffset val="100"/>
        <c:noMultiLvlLbl val="0"/>
      </c:catAx>
      <c:valAx>
        <c:axId val="419517832"/>
        <c:scaling>
          <c:orientation val="minMax"/>
          <c:max val="1"/>
          <c:min val="0"/>
        </c:scaling>
        <c:delete val="0"/>
        <c:axPos val="l"/>
        <c:majorGridlines>
          <c:spPr>
            <a:ln>
              <a:solidFill>
                <a:schemeClr val="accent1">
                  <a:alpha val="50000"/>
                </a:schemeClr>
              </a:solidFill>
            </a:ln>
          </c:spPr>
        </c:majorGridlines>
        <c:numFmt formatCode="0%" sourceLinked="0"/>
        <c:majorTickMark val="none"/>
        <c:minorTickMark val="none"/>
        <c:tickLblPos val="nextTo"/>
        <c:spPr>
          <a:ln>
            <a:noFill/>
          </a:ln>
        </c:spPr>
        <c:txPr>
          <a:bodyPr/>
          <a:lstStyle/>
          <a:p>
            <a:pPr>
              <a:defRPr b="0"/>
            </a:pPr>
            <a:endParaRPr lang="ko-KR"/>
          </a:p>
        </c:txPr>
        <c:crossAx val="419571696"/>
        <c:crosses val="autoZero"/>
        <c:crossBetween val="between"/>
        <c:majorUnit val="0.2"/>
        <c:minorUnit val="0.1"/>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089412949964541"/>
          <c:y val="3.48865317842858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barChart>
        <c:barDir val="col"/>
        <c:grouping val="clustered"/>
        <c:varyColors val="0"/>
        <c:ser>
          <c:idx val="0"/>
          <c:order val="0"/>
          <c:tx>
            <c:strRef>
              <c:f>'보안수준 통계'!$B$36:$K$36</c:f>
              <c:strCache>
                <c:ptCount val="10"/>
                <c:pt idx="0">
                  <c:v>◎ 위험도 통계 그래프</c:v>
                </c:pt>
              </c:strCache>
            </c:strRef>
          </c:tx>
          <c:spPr>
            <a:solidFill>
              <a:srgbClr val="FFCC00"/>
            </a:solidFill>
            <a:ln>
              <a:noFill/>
            </a:ln>
            <a:effectLst/>
          </c:spPr>
          <c:invertIfNegative val="0"/>
          <c:dLbls>
            <c:delete val="1"/>
          </c:dLbls>
          <c:cat>
            <c:numRef>
              <c:f>'보안수준 통계'!$D$30:$J$30</c:f>
              <c:numCache>
                <c:formatCode>General</c:formatCode>
                <c:ptCount val="7"/>
                <c:pt idx="0">
                  <c:v>3</c:v>
                </c:pt>
                <c:pt idx="1">
                  <c:v>4</c:v>
                </c:pt>
                <c:pt idx="2">
                  <c:v>5</c:v>
                </c:pt>
                <c:pt idx="3">
                  <c:v>6</c:v>
                </c:pt>
                <c:pt idx="4">
                  <c:v>7</c:v>
                </c:pt>
                <c:pt idx="5">
                  <c:v>8</c:v>
                </c:pt>
                <c:pt idx="6">
                  <c:v>9</c:v>
                </c:pt>
              </c:numCache>
            </c:numRef>
          </c:cat>
          <c:val>
            <c:numRef>
              <c:f>'보안수준 통계'!$D$33:$J$33</c:f>
              <c:numCache>
                <c:formatCode>0%</c:formatCode>
                <c:ptCount val="7"/>
                <c:pt idx="0">
                  <c:v>0</c:v>
                </c:pt>
                <c:pt idx="1">
                  <c:v>0</c:v>
                </c:pt>
                <c:pt idx="2">
                  <c:v>0</c:v>
                </c:pt>
                <c:pt idx="3">
                  <c:v>0</c:v>
                </c:pt>
                <c:pt idx="4">
                  <c:v>0</c:v>
                </c:pt>
                <c:pt idx="5">
                  <c:v>0</c:v>
                </c:pt>
                <c:pt idx="6">
                  <c:v>1</c:v>
                </c:pt>
              </c:numCache>
            </c:numRef>
          </c:val>
          <c:extLst>
            <c:ext xmlns:c16="http://schemas.microsoft.com/office/drawing/2014/chart" uri="{C3380CC4-5D6E-409C-BE32-E72D297353CC}">
              <c16:uniqueId val="{00000000-2757-43D6-A581-A47787DE6B5B}"/>
            </c:ext>
          </c:extLst>
        </c:ser>
        <c:dLbls>
          <c:dLblPos val="ctr"/>
          <c:showLegendKey val="0"/>
          <c:showVal val="1"/>
          <c:showCatName val="0"/>
          <c:showSerName val="0"/>
          <c:showPercent val="0"/>
          <c:showBubbleSize val="0"/>
        </c:dLbls>
        <c:gapWidth val="40"/>
        <c:overlap val="-27"/>
        <c:axId val="424200592"/>
        <c:axId val="424246248"/>
      </c:barChart>
      <c:catAx>
        <c:axId val="42420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424246248"/>
        <c:crosses val="autoZero"/>
        <c:auto val="1"/>
        <c:lblAlgn val="ctr"/>
        <c:lblOffset val="100"/>
        <c:noMultiLvlLbl val="0"/>
      </c:catAx>
      <c:valAx>
        <c:axId val="4242462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424200592"/>
        <c:crosses val="autoZero"/>
        <c:crossBetween val="between"/>
      </c:valAx>
      <c:spPr>
        <a:noFill/>
        <a:ln>
          <a:gradFill>
            <a:gsLst>
              <a:gs pos="30000">
                <a:schemeClr val="accent1">
                  <a:lumMod val="1000"/>
                  <a:lumOff val="99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132976</xdr:colOff>
      <xdr:row>16</xdr:row>
      <xdr:rowOff>8965</xdr:rowOff>
    </xdr:from>
    <xdr:to>
      <xdr:col>15</xdr:col>
      <xdr:colOff>695574</xdr:colOff>
      <xdr:row>16</xdr:row>
      <xdr:rowOff>34365</xdr:rowOff>
    </xdr:to>
    <xdr:sp macro="" textlink="">
      <xdr:nvSpPr>
        <xdr:cNvPr id="2" name="Line 2188">
          <a:extLst>
            <a:ext uri="{FF2B5EF4-FFF2-40B4-BE49-F238E27FC236}">
              <a16:creationId xmlns:a16="http://schemas.microsoft.com/office/drawing/2014/main" id="{00000000-0008-0000-0000-000002000000}"/>
            </a:ext>
          </a:extLst>
        </xdr:cNvPr>
        <xdr:cNvSpPr>
          <a:spLocks noChangeShapeType="1"/>
        </xdr:cNvSpPr>
      </xdr:nvSpPr>
      <xdr:spPr bwMode="auto">
        <a:xfrm flipV="1">
          <a:off x="473635" y="3675530"/>
          <a:ext cx="8451539" cy="25400"/>
        </a:xfrm>
        <a:prstGeom prst="line">
          <a:avLst/>
        </a:prstGeom>
        <a:noFill/>
        <a:ln w="28575">
          <a:solidFill>
            <a:srgbClr val="333333"/>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135468</xdr:colOff>
      <xdr:row>9</xdr:row>
      <xdr:rowOff>499533</xdr:rowOff>
    </xdr:from>
    <xdr:to>
      <xdr:col>16</xdr:col>
      <xdr:colOff>5293</xdr:colOff>
      <xdr:row>10</xdr:row>
      <xdr:rowOff>0</xdr:rowOff>
    </xdr:to>
    <xdr:sp macro="" textlink="">
      <xdr:nvSpPr>
        <xdr:cNvPr id="3" name="Line 2189">
          <a:extLst>
            <a:ext uri="{FF2B5EF4-FFF2-40B4-BE49-F238E27FC236}">
              <a16:creationId xmlns:a16="http://schemas.microsoft.com/office/drawing/2014/main" id="{00000000-0008-0000-0000-000003000000}"/>
            </a:ext>
          </a:extLst>
        </xdr:cNvPr>
        <xdr:cNvSpPr>
          <a:spLocks noChangeShapeType="1"/>
        </xdr:cNvSpPr>
      </xdr:nvSpPr>
      <xdr:spPr bwMode="auto">
        <a:xfrm>
          <a:off x="478368" y="2198793"/>
          <a:ext cx="8541385" cy="18627"/>
        </a:xfrm>
        <a:prstGeom prst="line">
          <a:avLst/>
        </a:prstGeom>
        <a:noFill/>
        <a:ln w="57150" cmpd="thinThick">
          <a:solidFill>
            <a:srgbClr val="333333"/>
          </a:solidFill>
          <a:round/>
          <a:headEnd/>
          <a:tailEnd/>
        </a:ln>
        <a:extLst>
          <a:ext uri="{909E8E84-426E-40DD-AFC4-6F175D3DCCD1}">
            <a14:hiddenFill xmlns:a14="http://schemas.microsoft.com/office/drawing/2010/main">
              <a:noFill/>
            </a14:hiddenFill>
          </a:ext>
        </a:extLst>
      </xdr:spPr>
      <xdr:txBody>
        <a:bodyPr/>
        <a:lstStyle/>
        <a:p>
          <a:endParaRPr lang="ko-KR" altLang="en-US"/>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635455</xdr:colOff>
      <xdr:row>15</xdr:row>
      <xdr:rowOff>23199</xdr:rowOff>
    </xdr:from>
    <xdr:ext cx="1027039" cy="36085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19655" y="4772999"/>
              <a:ext cx="1027039" cy="3608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14:m>
                <m:oMath xmlns:m="http://schemas.openxmlformats.org/officeDocument/2006/math">
                  <m:f>
                    <m:fPr>
                      <m:ctrlPr>
                        <a:rPr lang="en-US" altLang="ko-KR" sz="1200" i="1">
                          <a:latin typeface="Cambria Math" panose="02040503050406030204" pitchFamily="18" charset="0"/>
                          <a:ea typeface="+mj-ea"/>
                        </a:rPr>
                      </m:ctrlPr>
                    </m:fPr>
                    <m:num>
                      <m:r>
                        <a:rPr lang="en-US" altLang="ko-KR" sz="1200" b="0" i="1">
                          <a:latin typeface="Cambria Math"/>
                          <a:ea typeface="+mj-ea"/>
                        </a:rPr>
                        <m:t>𝐴</m:t>
                      </m:r>
                      <m:r>
                        <a:rPr lang="en-US" altLang="ko-KR" sz="1200" i="1">
                          <a:latin typeface="Cambria Math"/>
                          <a:ea typeface="+mj-ea"/>
                        </a:rPr>
                        <m:t>−</m:t>
                      </m:r>
                      <m:r>
                        <a:rPr lang="en-US" altLang="ko-KR" sz="1200" b="0" i="1">
                          <a:latin typeface="Cambria Math"/>
                          <a:ea typeface="+mj-ea"/>
                        </a:rPr>
                        <m:t>𝐵</m:t>
                      </m:r>
                    </m:num>
                    <m:den>
                      <m:r>
                        <a:rPr lang="en-US" altLang="ko-KR" sz="1200" b="0" i="1">
                          <a:latin typeface="Cambria Math"/>
                          <a:ea typeface="+mj-ea"/>
                        </a:rPr>
                        <m:t>𝐴</m:t>
                      </m:r>
                    </m:den>
                  </m:f>
                </m:oMath>
              </a14:m>
              <a:r>
                <a:rPr lang="en-US" altLang="ko-KR" sz="1000">
                  <a:latin typeface="+mj-ea"/>
                  <a:ea typeface="+mj-ea"/>
                </a:rPr>
                <a:t> X 100</a:t>
              </a:r>
              <a:endParaRPr lang="ko-KR" altLang="en-US" sz="1000">
                <a:latin typeface="+mj-ea"/>
                <a:ea typeface="+mj-ea"/>
              </a:endParaRPr>
            </a:p>
          </xdr:txBody>
        </xdr:sp>
      </mc:Choice>
      <mc:Fallback xmlns="">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219655" y="4772999"/>
              <a:ext cx="1027039" cy="3608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ko-KR" sz="1200" i="0">
                  <a:latin typeface="Cambria Math" panose="02040503050406030204" pitchFamily="18" charset="0"/>
                  <a:ea typeface="+mj-ea"/>
                </a:rPr>
                <a:t>(</a:t>
              </a:r>
              <a:r>
                <a:rPr lang="en-US" altLang="ko-KR" sz="1200" b="0" i="0">
                  <a:latin typeface="Cambria Math"/>
                  <a:ea typeface="+mj-ea"/>
                </a:rPr>
                <a:t>𝐴</a:t>
              </a:r>
              <a:r>
                <a:rPr lang="en-US" altLang="ko-KR" sz="1200" i="0">
                  <a:latin typeface="Cambria Math"/>
                  <a:ea typeface="+mj-ea"/>
                </a:rPr>
                <a:t>−</a:t>
              </a:r>
              <a:r>
                <a:rPr lang="en-US" altLang="ko-KR" sz="1200" b="0" i="0">
                  <a:latin typeface="Cambria Math"/>
                  <a:ea typeface="+mj-ea"/>
                </a:rPr>
                <a:t>𝐵</a:t>
              </a:r>
              <a:r>
                <a:rPr lang="en-US" altLang="ko-KR" sz="1200" b="0" i="0">
                  <a:latin typeface="Cambria Math" panose="02040503050406030204" pitchFamily="18" charset="0"/>
                  <a:ea typeface="+mj-ea"/>
                </a:rPr>
                <a:t>)/</a:t>
              </a:r>
              <a:r>
                <a:rPr lang="en-US" altLang="ko-KR" sz="1200" b="0" i="0">
                  <a:latin typeface="Cambria Math"/>
                  <a:ea typeface="+mj-ea"/>
                </a:rPr>
                <a:t>𝐴</a:t>
              </a:r>
              <a:r>
                <a:rPr lang="en-US" altLang="ko-KR" sz="1000">
                  <a:latin typeface="+mj-ea"/>
                  <a:ea typeface="+mj-ea"/>
                </a:rPr>
                <a:t> X 100</a:t>
              </a:r>
              <a:endParaRPr lang="ko-KR" altLang="en-US" sz="1000">
                <a:latin typeface="+mj-ea"/>
                <a:ea typeface="+mj-ea"/>
              </a:endParaRPr>
            </a:p>
          </xdr:txBody>
        </xdr:sp>
      </mc:Fallback>
    </mc:AlternateContent>
    <xdr:clientData/>
  </xdr:oneCellAnchor>
  <xdr:oneCellAnchor>
    <xdr:from>
      <xdr:col>4</xdr:col>
      <xdr:colOff>609616</xdr:colOff>
      <xdr:row>17</xdr:row>
      <xdr:rowOff>371439</xdr:rowOff>
    </xdr:from>
    <xdr:ext cx="936918" cy="490395"/>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93816" y="5851489"/>
              <a:ext cx="936918" cy="490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noAutofit/>
            </a:bodyPr>
            <a:lstStyle/>
            <a:p>
              <a:pPr/>
              <a14:m>
                <m:oMathPara xmlns:m="http://schemas.openxmlformats.org/officeDocument/2006/math">
                  <m:oMathParaPr>
                    <m:jc m:val="left"/>
                  </m:oMathParaPr>
                  <m:oMath xmlns:m="http://schemas.openxmlformats.org/officeDocument/2006/math">
                    <m:nary>
                      <m:naryPr>
                        <m:chr m:val="∑"/>
                        <m:ctrlPr>
                          <a:rPr lang="en-US" altLang="ko-KR" sz="800" i="1">
                            <a:latin typeface="Cambria Math" panose="02040503050406030204" pitchFamily="18" charset="0"/>
                          </a:rPr>
                        </m:ctrlPr>
                      </m:naryPr>
                      <m:sub>
                        <m:r>
                          <a:rPr lang="en-US" altLang="ko-KR" sz="1100" i="1">
                            <a:solidFill>
                              <a:schemeClr val="tx1"/>
                            </a:solidFill>
                            <a:effectLst/>
                            <a:latin typeface="Cambria Math" panose="02040503050406030204" pitchFamily="18" charset="0"/>
                            <a:ea typeface="+mn-ea"/>
                            <a:cs typeface="+mn-cs"/>
                          </a:rPr>
                          <m:t>𝑛</m:t>
                        </m:r>
                        <m:r>
                          <a:rPr lang="en-US" altLang="ko-KR" sz="800" b="0" i="1">
                            <a:latin typeface="Cambria Math"/>
                            <a:ea typeface="Cambria Math" panose="02040503050406030204" pitchFamily="18" charset="0"/>
                          </a:rPr>
                          <m:t>=</m:t>
                        </m:r>
                        <m:r>
                          <a:rPr lang="en-US" altLang="ko-KR" sz="800" b="0" i="1">
                            <a:latin typeface="Cambria Math"/>
                          </a:rPr>
                          <m:t>1</m:t>
                        </m:r>
                      </m:sub>
                      <m:sup>
                        <m:r>
                          <m:rPr>
                            <m:brk m:alnAt="23"/>
                          </m:rPr>
                          <a:rPr lang="en-US" altLang="ko-KR" sz="1100" b="0" i="1">
                            <a:solidFill>
                              <a:schemeClr val="tx1"/>
                            </a:solidFill>
                            <a:effectLst/>
                            <a:latin typeface="Cambria Math" panose="02040503050406030204" pitchFamily="18" charset="0"/>
                            <a:ea typeface="+mn-ea"/>
                            <a:cs typeface="+mn-cs"/>
                          </a:rPr>
                          <m:t>𝑁</m:t>
                        </m:r>
                      </m:sup>
                      <m:e>
                        <m:r>
                          <a:rPr lang="en-US" altLang="ko-KR" sz="800" b="0" i="1">
                            <a:latin typeface="Cambria Math"/>
                          </a:rPr>
                          <m:t>𝑆𝑛</m:t>
                        </m:r>
                        <m:r>
                          <a:rPr lang="en-US" altLang="ko-KR" sz="800" b="0" i="1">
                            <a:latin typeface="Cambria Math" panose="02040503050406030204" pitchFamily="18" charset="0"/>
                            <a:ea typeface="Cambria Math" panose="02040503050406030204" pitchFamily="18" charset="0"/>
                          </a:rPr>
                          <m:t>÷</m:t>
                        </m:r>
                        <m:r>
                          <a:rPr lang="en-US" altLang="ko-KR" sz="800" b="0" i="1">
                            <a:latin typeface="Cambria Math"/>
                          </a:rPr>
                          <m:t>𝑁</m:t>
                        </m:r>
                      </m:e>
                    </m:nary>
                  </m:oMath>
                </m:oMathPara>
              </a14:m>
              <a:endParaRPr lang="ko-KR" altLang="en-US" sz="800"/>
            </a:p>
          </xdr:txBody>
        </xdr:sp>
      </mc:Choice>
      <mc:Fallback xmlns="">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93816" y="5851489"/>
              <a:ext cx="936918" cy="490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noAutofit/>
            </a:bodyPr>
            <a:lstStyle/>
            <a:p>
              <a:pPr/>
              <a:r>
                <a:rPr lang="en-US" altLang="ko-KR" sz="800" i="0">
                  <a:latin typeface="Cambria Math" panose="02040503050406030204" pitchFamily="18" charset="0"/>
                </a:rPr>
                <a:t>∑</a:t>
              </a:r>
              <a:r>
                <a:rPr lang="en-US" altLang="ko-KR" sz="800" b="0" i="0">
                  <a:latin typeface="Cambria Math" panose="02040503050406030204" pitchFamily="18" charset="0"/>
                </a:rPr>
                <a:t>_(</a:t>
              </a:r>
              <a:r>
                <a:rPr lang="en-US" altLang="ko-KR" sz="1100" i="0">
                  <a:solidFill>
                    <a:schemeClr val="tx1"/>
                  </a:solidFill>
                  <a:effectLst/>
                  <a:latin typeface="Cambria Math" panose="02040503050406030204" pitchFamily="18" charset="0"/>
                  <a:ea typeface="+mn-ea"/>
                  <a:cs typeface="+mn-cs"/>
                </a:rPr>
                <a:t>𝑛</a:t>
              </a:r>
              <a:r>
                <a:rPr lang="en-US" altLang="ko-KR" sz="800" b="0" i="0">
                  <a:latin typeface="Cambria Math"/>
                  <a:ea typeface="Cambria Math" panose="02040503050406030204" pitchFamily="18" charset="0"/>
                </a:rPr>
                <a:t>=</a:t>
              </a:r>
              <a:r>
                <a:rPr lang="en-US" altLang="ko-KR" sz="800" b="0" i="0">
                  <a:latin typeface="Cambria Math"/>
                </a:rPr>
                <a:t>1</a:t>
              </a:r>
              <a:r>
                <a:rPr lang="en-US" altLang="ko-KR" sz="800" b="0" i="0">
                  <a:latin typeface="Cambria Math" panose="02040503050406030204" pitchFamily="18" charset="0"/>
                </a:rPr>
                <a:t>)</a:t>
              </a:r>
              <a:r>
                <a:rPr lang="en-US" altLang="ko-KR" sz="1100" b="0" i="0">
                  <a:solidFill>
                    <a:schemeClr val="tx1"/>
                  </a:solidFill>
                  <a:effectLst/>
                  <a:latin typeface="Cambria Math" panose="02040503050406030204" pitchFamily="18" charset="0"/>
                  <a:ea typeface="+mn-ea"/>
                  <a:cs typeface="+mn-cs"/>
                </a:rPr>
                <a:t>^𝑁</a:t>
              </a:r>
              <a:r>
                <a:rPr lang="en-US" altLang="ko-KR" sz="800" b="0" i="0">
                  <a:solidFill>
                    <a:schemeClr val="tx1"/>
                  </a:solidFill>
                  <a:effectLst/>
                  <a:latin typeface="Cambria Math" panose="02040503050406030204" pitchFamily="18" charset="0"/>
                  <a:ea typeface="+mn-ea"/>
                  <a:cs typeface="+mn-cs"/>
                </a:rPr>
                <a:t>▒</a:t>
              </a:r>
              <a:r>
                <a:rPr lang="en-US" altLang="ko-KR" sz="1100" b="0" i="0">
                  <a:solidFill>
                    <a:schemeClr val="tx1"/>
                  </a:solidFill>
                  <a:effectLst/>
                  <a:latin typeface="Cambria Math" panose="02040503050406030204" pitchFamily="18" charset="0"/>
                  <a:ea typeface="+mn-ea"/>
                  <a:cs typeface="+mn-cs"/>
                </a:rPr>
                <a:t>〖</a:t>
              </a:r>
              <a:r>
                <a:rPr lang="en-US" altLang="ko-KR" sz="800" b="0" i="0">
                  <a:latin typeface="Cambria Math"/>
                </a:rPr>
                <a:t>𝑆𝑛</a:t>
              </a:r>
              <a:r>
                <a:rPr lang="en-US" altLang="ko-KR" sz="800" b="0" i="0">
                  <a:latin typeface="Cambria Math" panose="02040503050406030204" pitchFamily="18" charset="0"/>
                  <a:ea typeface="Cambria Math" panose="02040503050406030204" pitchFamily="18" charset="0"/>
                </a:rPr>
                <a:t>÷</a:t>
              </a:r>
              <a:r>
                <a:rPr lang="en-US" altLang="ko-KR" sz="800" b="0" i="0">
                  <a:latin typeface="Cambria Math"/>
                </a:rPr>
                <a:t>𝑁</a:t>
              </a:r>
              <a:r>
                <a:rPr lang="en-US" altLang="ko-KR" sz="1100" b="0" i="0">
                  <a:solidFill>
                    <a:schemeClr val="tx1"/>
                  </a:solidFill>
                  <a:effectLst/>
                  <a:latin typeface="Cambria Math" panose="02040503050406030204" pitchFamily="18" charset="0"/>
                  <a:ea typeface="+mn-ea"/>
                  <a:cs typeface="+mn-cs"/>
                </a:rPr>
                <a:t>〗</a:t>
              </a:r>
              <a:endParaRPr lang="ko-KR" altLang="en-US" sz="8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twoCellAnchor>
    <xdr:from>
      <xdr:col>1</xdr:col>
      <xdr:colOff>1</xdr:colOff>
      <xdr:row>13</xdr:row>
      <xdr:rowOff>76200</xdr:rowOff>
    </xdr:from>
    <xdr:to>
      <xdr:col>4</xdr:col>
      <xdr:colOff>351183</xdr:colOff>
      <xdr:row>24</xdr:row>
      <xdr:rowOff>57150</xdr:rowOff>
    </xdr:to>
    <xdr:graphicFrame macro="">
      <xdr:nvGraphicFramePr>
        <xdr:cNvPr id="4" name="차트 5">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437322</xdr:colOff>
      <xdr:row>13</xdr:row>
      <xdr:rowOff>79674</xdr:rowOff>
    </xdr:from>
    <xdr:to>
      <xdr:col>10</xdr:col>
      <xdr:colOff>642730</xdr:colOff>
      <xdr:row>24</xdr:row>
      <xdr:rowOff>57509</xdr:rowOff>
    </xdr:to>
    <xdr:graphicFrame macro="">
      <xdr:nvGraphicFramePr>
        <xdr:cNvPr id="5" name="차트 5">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13216</xdr:colOff>
      <xdr:row>3</xdr:row>
      <xdr:rowOff>198345</xdr:rowOff>
    </xdr:from>
    <xdr:to>
      <xdr:col>10</xdr:col>
      <xdr:colOff>661358</xdr:colOff>
      <xdr:row>11</xdr:row>
      <xdr:rowOff>6627</xdr:rowOff>
    </xdr:to>
    <xdr:graphicFrame macro="">
      <xdr:nvGraphicFramePr>
        <xdr:cNvPr id="7" name="차트 5">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199030</xdr:colOff>
      <xdr:row>35</xdr:row>
      <xdr:rowOff>185036</xdr:rowOff>
    </xdr:from>
    <xdr:to>
      <xdr:col>10</xdr:col>
      <xdr:colOff>640056</xdr:colOff>
      <xdr:row>46</xdr:row>
      <xdr:rowOff>150495</xdr:rowOff>
    </xdr:to>
    <xdr:graphicFrame macro="">
      <xdr:nvGraphicFramePr>
        <xdr:cNvPr id="2" name="차트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3</xdr:row>
          <xdr:rowOff>38100</xdr:rowOff>
        </xdr:from>
        <xdr:to>
          <xdr:col>1</xdr:col>
          <xdr:colOff>4781550</xdr:colOff>
          <xdr:row>16</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ko-KR" altLang="en-US" sz="2400" b="1" i="0" u="none" strike="noStrike" baseline="0">
                  <a:solidFill>
                    <a:srgbClr val="000000"/>
                  </a:solidFill>
                  <a:latin typeface="돋움"/>
                  <a:ea typeface="돋움"/>
                </a:rPr>
                <a:t>Origin 시트 복사 버튼</a:t>
              </a:r>
              <a:endParaRPr lang="ko-KR" altLang="en-US" sz="2400" b="0" i="0" u="none" strike="noStrike" baseline="0">
                <a:solidFill>
                  <a:srgbClr val="000000"/>
                </a:solidFill>
                <a:latin typeface="돋움"/>
                <a:ea typeface="돋움"/>
              </a:endParaRPr>
            </a:p>
            <a:p>
              <a:pPr algn="ctr" rtl="0">
                <a:defRPr sz="1000"/>
              </a:pPr>
              <a:r>
                <a:rPr lang="ko-KR" altLang="en-US" sz="2400" b="0" i="0" u="none" strike="noStrike" baseline="0">
                  <a:solidFill>
                    <a:srgbClr val="000000"/>
                  </a:solidFill>
                  <a:latin typeface="돋움"/>
                  <a:ea typeface="돋움"/>
                </a:rPr>
                <a:t>"점검대상" 시트의 HostName 열 순서로 시트 생성</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4\&#54028;&#51068;&#49436;&#48260;\mySingle\Temp\&#44204;&#51201;Template%20V2.2(&#51228;&#5050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144.17.50\pims_isms$\04.%20&#51089;&#50629;\2010\&#51204;&#51088;&#51221;&#48512;&#51221;&#48372;&#48372;&#54840;&#44288;&#47532;&#52404;&#44228;&#44396;&#52629;&#52968;&#49444;&#54021;\3&#52264;&#49688;_&#50668;&#49688;&#49884;&#52397;\99.%20&#44592;&#53440;\&#44256;&#44061;%20&#51228;&#44277;&#51088;&#47308;\My%20Documents\&#44305;&#51452;%20&#51228;2&#53685;&#54633;&#51204;&#49328;&#49468;&#53552;\999.%20&#54532;&#47196;&#51229;&#53944;%20&#44277;&#50976;\mySingle\Temp\&#51221;&#48372;&#49688;&#51665;&#49436;_v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6.%20PIA\SKT@2007\&#44256;&#44061;&#51221;&#48372;&#50689;&#54693;&#54217;&#44032;&#51216;&#44160;&#54364;v3.5_10_&#54596;&#53552;&#47553;v4.3_1217(&#52572;&#51333;).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M:\nexPam\99.&#51089;&#50629;&#51473;\06.&#45936;&#51060;&#53552;&#51060;&#54665;\04.&#45936;&#51060;&#53552;&#51060;&#54665;_&#51077;&#47141;\&#44592;&#44288;&#51204;&#52404;_&#45936;&#51060;&#53552;v3.3.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G:\SKT-&#44256;&#44061;&#51221;&#48372;&#50689;&#54693;&#54217;&#44032;\&#51089;&#50629;&#51473;\&#44256;&#44061;&#51221;&#48372;%20&#50689;&#54693;&#54217;&#44032;%20&#51216;&#44160;&#54364;-&#51089;&#50629;&#51473;.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d.docs.live.net/pims$/200.%20&#54788;&#54889;%20&#48143;%20&#50948;&#54744;&#48516;&#49437;/220.%20&#50948;&#54744;&#54217;&#44032;/223.%20&#50948;&#54744;&#51312;&#52824;&#44228;&#54925;%20&#49688;&#47549;/SKE&amp;S_'OC&#49324;&#47749;'_PIMS_&#50948;&#54744;&#51312;&#52824;&#44228;&#54925;&#49436;(&#49345;&#49464;)_v0.8a_&#53596;&#54540;&#4755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H:\&#44060;&#48156;&#49468;&#53552;_staff\2007&#45380;_&#51204;&#47029;&#44060;&#48156;&#45812;&#45817;_&#50629;&#47924;&#51088;&#47308;\03.&#51204;&#47029;&#44060;&#48156;&#45812;&#45817;_&#50629;&#47924;&#48372;&#44256;\03.1.&#51204;&#47029;&#44060;&#48156;&#45812;&#45817;_&#50629;&#47924;&#48372;&#44256;_&#51452;&#44036;&#48372;&#44256;\2008&#45380;\3&#50900;2&#51452;&#52264;\&#54924;&#51032;&#50504;&#44148;\&#52280;&#51312;\&#54532;&#47196;&#51229;&#53944;%20&#54788;&#54889;&#54032;(V1.5_2007070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코드"/>
      <sheetName val="1.기본정보"/>
      <sheetName val="2.규모측정(간이법)"/>
      <sheetName val="3.복잡도"/>
      <sheetName val="4.규모측정(정규법)"/>
      <sheetName val="5.규모측정종합"/>
      <sheetName val="6.생산성보정요인"/>
      <sheetName val="Sheet4"/>
    </sheetNames>
    <sheetDataSet>
      <sheetData sheetId="0">
        <row r="2">
          <cell r="A2" t="str">
            <v>수의계약</v>
          </cell>
          <cell r="B2" t="str">
            <v>종합낙찰제</v>
          </cell>
          <cell r="C2" t="str">
            <v>신규개발</v>
          </cell>
          <cell r="D2" t="str">
            <v>공공</v>
          </cell>
          <cell r="E2" t="str">
            <v>관공서</v>
          </cell>
          <cell r="F2" t="str">
            <v>사업계획</v>
          </cell>
          <cell r="G2" t="str">
            <v>Y</v>
          </cell>
          <cell r="H2" t="str">
            <v>단독입찰</v>
          </cell>
          <cell r="J2" t="str">
            <v>공공</v>
          </cell>
          <cell r="K2" t="str">
            <v>SW개발</v>
          </cell>
        </row>
        <row r="3">
          <cell r="A3" t="str">
            <v>2단계 동시</v>
          </cell>
          <cell r="B3" t="str">
            <v>최저가낙찰제</v>
          </cell>
          <cell r="C3" t="str">
            <v>기능개선</v>
          </cell>
          <cell r="D3" t="str">
            <v>금융</v>
          </cell>
          <cell r="E3" t="str">
            <v>지방자치단체</v>
          </cell>
          <cell r="F3" t="str">
            <v>제안</v>
          </cell>
          <cell r="G3" t="str">
            <v>N</v>
          </cell>
          <cell r="H3" t="str">
            <v>턴키</v>
          </cell>
          <cell r="J3" t="str">
            <v>금융</v>
          </cell>
          <cell r="K3" t="str">
            <v>SI(SW+HW)</v>
          </cell>
        </row>
        <row r="4">
          <cell r="A4" t="str">
            <v>2단계 분리</v>
          </cell>
          <cell r="B4" t="str">
            <v>협상에의한 낙찰제</v>
          </cell>
          <cell r="C4" t="str">
            <v>재구축</v>
          </cell>
          <cell r="D4" t="str">
            <v>제조</v>
          </cell>
          <cell r="E4" t="str">
            <v>정부투자기관</v>
          </cell>
          <cell r="F4" t="str">
            <v>계약</v>
          </cell>
          <cell r="H4" t="str">
            <v>컨소시엄</v>
          </cell>
          <cell r="J4" t="str">
            <v>제조</v>
          </cell>
          <cell r="K4" t="str">
            <v>컨설팅</v>
          </cell>
        </row>
        <row r="5">
          <cell r="A5" t="str">
            <v>일괄입찰</v>
          </cell>
          <cell r="B5" t="str">
            <v>기타</v>
          </cell>
          <cell r="C5" t="str">
            <v>플랫폼교체</v>
          </cell>
          <cell r="D5" t="str">
            <v>서비스</v>
          </cell>
          <cell r="E5" t="str">
            <v>SOC</v>
          </cell>
          <cell r="F5" t="str">
            <v>설계</v>
          </cell>
          <cell r="J5" t="str">
            <v>유통/서비스</v>
          </cell>
          <cell r="K5" t="str">
            <v>ASP</v>
          </cell>
        </row>
        <row r="6">
          <cell r="A6" t="str">
            <v>일반경쟁</v>
          </cell>
          <cell r="C6" t="str">
            <v>패키지 적용</v>
          </cell>
          <cell r="D6" t="str">
            <v>정보통신</v>
          </cell>
          <cell r="E6" t="str">
            <v>국방</v>
          </cell>
          <cell r="F6" t="str">
            <v>실행</v>
          </cell>
          <cell r="J6" t="str">
            <v>응용시스템</v>
          </cell>
          <cell r="K6" t="str">
            <v>인력지원</v>
          </cell>
        </row>
        <row r="7">
          <cell r="A7" t="str">
            <v>제한경쟁</v>
          </cell>
          <cell r="C7" t="str">
            <v>유지보수</v>
          </cell>
          <cell r="D7" t="str">
            <v>유틸리티</v>
          </cell>
          <cell r="E7" t="str">
            <v>은행</v>
          </cell>
          <cell r="F7" t="str">
            <v>종료</v>
          </cell>
          <cell r="J7" t="str">
            <v>OM</v>
          </cell>
          <cell r="K7" t="str">
            <v>전체외주</v>
          </cell>
        </row>
        <row r="8">
          <cell r="A8" t="str">
            <v>지명경쟁</v>
          </cell>
          <cell r="D8" t="str">
            <v>교통</v>
          </cell>
          <cell r="E8" t="str">
            <v>증권</v>
          </cell>
          <cell r="K8" t="str">
            <v>유지보수</v>
          </cell>
        </row>
        <row r="9">
          <cell r="A9" t="str">
            <v>협상에의한 낙찰제</v>
          </cell>
          <cell r="D9" t="str">
            <v>기타</v>
          </cell>
          <cell r="E9" t="str">
            <v>보험</v>
          </cell>
          <cell r="K9" t="str">
            <v>수주연동솔루션</v>
          </cell>
        </row>
        <row r="10">
          <cell r="A10" t="str">
            <v>기타</v>
          </cell>
          <cell r="E10" t="str">
            <v>카드</v>
          </cell>
          <cell r="K10" t="str">
            <v>국책과제</v>
          </cell>
        </row>
        <row r="11">
          <cell r="E11" t="str">
            <v>케피탈</v>
          </cell>
          <cell r="K11" t="str">
            <v>자주과제</v>
          </cell>
        </row>
        <row r="12">
          <cell r="E12" t="str">
            <v>리스,종금,투신</v>
          </cell>
          <cell r="K12" t="str">
            <v>장기개발솔루션</v>
          </cell>
        </row>
        <row r="13">
          <cell r="E13" t="str">
            <v>무역/유통</v>
          </cell>
          <cell r="K13" t="str">
            <v>기타</v>
          </cell>
        </row>
        <row r="14">
          <cell r="E14" t="str">
            <v>레저/문화</v>
          </cell>
        </row>
        <row r="15">
          <cell r="E15" t="str">
            <v>의료</v>
          </cell>
        </row>
        <row r="16">
          <cell r="E16" t="str">
            <v>교육/언론</v>
          </cell>
        </row>
        <row r="17">
          <cell r="E17" t="str">
            <v>종교</v>
          </cell>
        </row>
        <row r="18">
          <cell r="E18" t="str">
            <v>금속/기계</v>
          </cell>
        </row>
        <row r="19">
          <cell r="E19" t="str">
            <v>전기/전자</v>
          </cell>
        </row>
        <row r="20">
          <cell r="E20" t="str">
            <v>자동차/건설기계</v>
          </cell>
        </row>
        <row r="21">
          <cell r="E21" t="str">
            <v>정밀기기</v>
          </cell>
        </row>
        <row r="22">
          <cell r="E22" t="str">
            <v>석유/화학</v>
          </cell>
        </row>
        <row r="23">
          <cell r="E23" t="str">
            <v>섬유/제지</v>
          </cell>
        </row>
        <row r="24">
          <cell r="E24" t="str">
            <v>음식료/제약</v>
          </cell>
        </row>
        <row r="25">
          <cell r="E25" t="str">
            <v>조선</v>
          </cell>
        </row>
        <row r="26">
          <cell r="E26" t="str">
            <v>건설</v>
          </cell>
        </row>
        <row r="27">
          <cell r="E27" t="str">
            <v>엔지니어링</v>
          </cell>
        </row>
        <row r="28">
          <cell r="E28" t="str">
            <v>정보통신</v>
          </cell>
        </row>
        <row r="29">
          <cell r="E29" t="str">
            <v>소프트웨어개발</v>
          </cell>
        </row>
        <row r="30">
          <cell r="E30" t="str">
            <v>항공</v>
          </cell>
        </row>
        <row r="31">
          <cell r="E31" t="str">
            <v>공통</v>
          </cell>
        </row>
        <row r="32">
          <cell r="E32" t="str">
            <v>기타</v>
          </cell>
        </row>
        <row r="35">
          <cell r="A35" t="str">
            <v>Process Control</v>
          </cell>
          <cell r="B35" t="str">
            <v>C/S</v>
          </cell>
          <cell r="C35">
            <v>1</v>
          </cell>
          <cell r="D35" t="str">
            <v>1 ~ 10</v>
          </cell>
          <cell r="E35" t="str">
            <v>INNOVATOR-C/S</v>
          </cell>
          <cell r="F35" t="str">
            <v>MVS</v>
          </cell>
          <cell r="G35" t="str">
            <v>CODA</v>
          </cell>
          <cell r="H35" t="str">
            <v>Topend</v>
          </cell>
          <cell r="I35" t="str">
            <v>PC</v>
          </cell>
          <cell r="J35" t="str">
            <v>ASP/PHP/JSP</v>
          </cell>
          <cell r="K35" t="str">
            <v>ER/WIN</v>
          </cell>
          <cell r="L35" t="str">
            <v>PC</v>
          </cell>
          <cell r="M35" t="str">
            <v>3GL</v>
          </cell>
        </row>
        <row r="36">
          <cell r="A36" t="str">
            <v>Network Management</v>
          </cell>
          <cell r="B36" t="str">
            <v>WEB</v>
          </cell>
          <cell r="C36" t="str">
            <v>1~5</v>
          </cell>
          <cell r="D36" t="str">
            <v>11 ~ 100</v>
          </cell>
          <cell r="E36" t="str">
            <v>INNOVATOR-HOST</v>
          </cell>
          <cell r="F36" t="str">
            <v>Unix</v>
          </cell>
          <cell r="G36" t="str">
            <v>DB2</v>
          </cell>
          <cell r="H36" t="str">
            <v>CGI</v>
          </cell>
          <cell r="I36" t="str">
            <v>IBM</v>
          </cell>
          <cell r="J36" t="str">
            <v>CGI</v>
          </cell>
          <cell r="K36" t="str">
            <v>PoerDesigner</v>
          </cell>
          <cell r="L36" t="str">
            <v>Midrange</v>
          </cell>
          <cell r="M36" t="str">
            <v>4GL</v>
          </cell>
        </row>
        <row r="37">
          <cell r="A37" t="str">
            <v>Trading</v>
          </cell>
          <cell r="B37" t="str">
            <v>DW</v>
          </cell>
          <cell r="C37" t="str">
            <v>6~10</v>
          </cell>
          <cell r="D37" t="str">
            <v>101 ~ 200</v>
          </cell>
          <cell r="E37" t="str">
            <v>INNOVATOR-INTRANET</v>
          </cell>
          <cell r="F37" t="str">
            <v>Linux</v>
          </cell>
          <cell r="G37" t="str">
            <v>EasyBase</v>
          </cell>
          <cell r="H37" t="str">
            <v>CS Talk</v>
          </cell>
          <cell r="I37" t="str">
            <v>IBM-RS/6000</v>
          </cell>
          <cell r="J37" t="str">
            <v>JAVA</v>
          </cell>
          <cell r="K37" t="str">
            <v>Rational Rose</v>
          </cell>
          <cell r="L37" t="str">
            <v>Mainframe</v>
          </cell>
          <cell r="M37" t="str">
            <v>APG</v>
          </cell>
        </row>
        <row r="38">
          <cell r="A38" t="str">
            <v>Stock Control &amp; Order Processing</v>
          </cell>
          <cell r="B38" t="str">
            <v>CBD</v>
          </cell>
          <cell r="C38" t="str">
            <v>11 이상</v>
          </cell>
          <cell r="D38" t="str">
            <v>201 ~ 1000</v>
          </cell>
          <cell r="E38" t="str">
            <v>INNOVATOR-SAP R/3</v>
          </cell>
          <cell r="F38" t="str">
            <v>WIN95/98</v>
          </cell>
          <cell r="G38" t="str">
            <v>Foxpro</v>
          </cell>
          <cell r="H38" t="str">
            <v>Encina</v>
          </cell>
          <cell r="I38" t="str">
            <v>IBM-SP2</v>
          </cell>
          <cell r="J38" t="str">
            <v>JAVA Script</v>
          </cell>
          <cell r="K38" t="str">
            <v>System Architect</v>
          </cell>
        </row>
        <row r="39">
          <cell r="A39" t="str">
            <v>Document management</v>
          </cell>
          <cell r="B39" t="str">
            <v>OO</v>
          </cell>
          <cell r="D39" t="str">
            <v>1000 ~</v>
          </cell>
          <cell r="E39" t="str">
            <v>INNOVATOR-패키지</v>
          </cell>
          <cell r="F39" t="str">
            <v>Window NT</v>
          </cell>
          <cell r="G39" t="str">
            <v>IMS</v>
          </cell>
          <cell r="H39" t="str">
            <v>Entera</v>
          </cell>
          <cell r="I39" t="str">
            <v>IBM-Mainframe</v>
          </cell>
          <cell r="J39" t="str">
            <v>HTML</v>
          </cell>
          <cell r="K39" t="str">
            <v>COOL GEN</v>
          </cell>
        </row>
        <row r="40">
          <cell r="A40" t="str">
            <v>EDI</v>
          </cell>
          <cell r="E40" t="str">
            <v>INNOVATOR-객체지향</v>
          </cell>
          <cell r="F40" t="str">
            <v>Windiw XP</v>
          </cell>
          <cell r="G40" t="str">
            <v>MS-Acess</v>
          </cell>
          <cell r="H40" t="str">
            <v>ISIS</v>
          </cell>
          <cell r="I40" t="str">
            <v>HP</v>
          </cell>
          <cell r="J40" t="str">
            <v>Sapphire Web</v>
          </cell>
          <cell r="K40" t="str">
            <v>ANALYZER</v>
          </cell>
        </row>
        <row r="41">
          <cell r="A41" t="str">
            <v>GIS</v>
          </cell>
          <cell r="E41" t="str">
            <v>INNOVATOR-공정제어</v>
          </cell>
          <cell r="F41" t="str">
            <v>NEC</v>
          </cell>
          <cell r="G41" t="str">
            <v>OODB</v>
          </cell>
          <cell r="H41" t="str">
            <v>MQ-Series</v>
          </cell>
          <cell r="I41" t="str">
            <v>HP-K series</v>
          </cell>
          <cell r="J41" t="str">
            <v>Perl</v>
          </cell>
          <cell r="K41" t="str">
            <v>기타</v>
          </cell>
        </row>
        <row r="42">
          <cell r="A42" t="str">
            <v xml:space="preserve">Multimedia </v>
          </cell>
          <cell r="E42" t="str">
            <v>INNOVATOR-유지보수</v>
          </cell>
          <cell r="F42" t="str">
            <v>기타</v>
          </cell>
          <cell r="G42" t="str">
            <v>Oracle</v>
          </cell>
          <cell r="H42" t="str">
            <v>RPC</v>
          </cell>
          <cell r="I42" t="str">
            <v>HP-D series</v>
          </cell>
          <cell r="J42" t="str">
            <v>C</v>
          </cell>
        </row>
        <row r="43">
          <cell r="A43" t="str">
            <v>Financial</v>
          </cell>
          <cell r="E43" t="str">
            <v>INNOVATOR-CBD</v>
          </cell>
          <cell r="G43" t="str">
            <v>SQL Server</v>
          </cell>
          <cell r="H43" t="str">
            <v>SEQUE-LINK</v>
          </cell>
          <cell r="I43" t="str">
            <v>HP-T series</v>
          </cell>
          <cell r="J43" t="str">
            <v>C++</v>
          </cell>
        </row>
        <row r="44">
          <cell r="A44" t="str">
            <v>Accounting</v>
          </cell>
          <cell r="E44" t="str">
            <v>INNOVATOR-기타</v>
          </cell>
          <cell r="G44" t="str">
            <v>Sybase</v>
          </cell>
          <cell r="H44" t="str">
            <v>Tuxedo</v>
          </cell>
          <cell r="I44" t="str">
            <v>SUN</v>
          </cell>
          <cell r="J44" t="str">
            <v>Visual Basic</v>
          </cell>
        </row>
        <row r="45">
          <cell r="A45" t="str">
            <v>Logistics Control</v>
          </cell>
          <cell r="E45" t="str">
            <v>SLIC</v>
          </cell>
          <cell r="G45" t="str">
            <v>ADBAS</v>
          </cell>
          <cell r="H45" t="str">
            <v>RPC</v>
          </cell>
          <cell r="I45" t="str">
            <v>SUN-workstation</v>
          </cell>
          <cell r="J45" t="str">
            <v>Cisual C++</v>
          </cell>
        </row>
        <row r="46">
          <cell r="A46" t="str">
            <v>Online Analysis</v>
          </cell>
          <cell r="E46" t="str">
            <v>METHOD/1</v>
          </cell>
          <cell r="G46" t="str">
            <v>DB관리툴</v>
          </cell>
          <cell r="H46" t="str">
            <v>CORBA</v>
          </cell>
          <cell r="I46" t="str">
            <v>SUN-server</v>
          </cell>
          <cell r="J46" t="str">
            <v>Delphi</v>
          </cell>
        </row>
        <row r="47">
          <cell r="A47" t="str">
            <v>MIS</v>
          </cell>
          <cell r="E47" t="str">
            <v>OMT</v>
          </cell>
          <cell r="G47" t="str">
            <v>DBMS활용</v>
          </cell>
          <cell r="H47" t="str">
            <v>CICS</v>
          </cell>
          <cell r="I47" t="str">
            <v>DEC</v>
          </cell>
          <cell r="J47" t="str">
            <v>SQL</v>
          </cell>
        </row>
        <row r="48">
          <cell r="A48" t="str">
            <v>Imbeded Software</v>
          </cell>
          <cell r="E48" t="str">
            <v>NAVIGATOR</v>
          </cell>
          <cell r="G48" t="str">
            <v>데이타베이스구축</v>
          </cell>
          <cell r="H48" t="str">
            <v>IMS DC</v>
          </cell>
          <cell r="I48" t="str">
            <v>DEC-ALPHA 300</v>
          </cell>
          <cell r="J48" t="str">
            <v>COBOL</v>
          </cell>
        </row>
        <row r="49">
          <cell r="A49" t="str">
            <v>Mathematical Modeling</v>
          </cell>
          <cell r="E49" t="str">
            <v>DOD</v>
          </cell>
          <cell r="G49" t="str">
            <v>기타</v>
          </cell>
          <cell r="H49" t="str">
            <v>기타</v>
          </cell>
          <cell r="I49" t="str">
            <v>DEC-ALPHA 800</v>
          </cell>
          <cell r="J49" t="str">
            <v>XML</v>
          </cell>
        </row>
        <row r="50">
          <cell r="E50" t="str">
            <v>UML</v>
          </cell>
          <cell r="I50" t="str">
            <v>DEC-ALPHA 4100</v>
          </cell>
          <cell r="J50" t="str">
            <v>PowerBuilder</v>
          </cell>
        </row>
        <row r="51">
          <cell r="E51" t="str">
            <v>개발방법론 기타</v>
          </cell>
          <cell r="I51" t="str">
            <v>삼성전자</v>
          </cell>
          <cell r="J51" t="str">
            <v>BASIC</v>
          </cell>
        </row>
        <row r="52">
          <cell r="I52" t="str">
            <v>삼성전자-SSM Series</v>
          </cell>
          <cell r="J52" t="str">
            <v>PRO*C</v>
          </cell>
        </row>
        <row r="53">
          <cell r="I53" t="str">
            <v>삼성전자-Magic Pro Server</v>
          </cell>
          <cell r="J53" t="str">
            <v>PRO*COBOL</v>
          </cell>
        </row>
        <row r="54">
          <cell r="I54" t="str">
            <v>삼성전자-Smartnet Server</v>
          </cell>
          <cell r="J54" t="str">
            <v>VRML</v>
          </cell>
        </row>
        <row r="55">
          <cell r="I55" t="str">
            <v>NCR</v>
          </cell>
          <cell r="J55" t="str">
            <v>SGML</v>
          </cell>
        </row>
        <row r="56">
          <cell r="I56" t="str">
            <v>NCR-POS</v>
          </cell>
          <cell r="J56" t="str">
            <v>JCL</v>
          </cell>
        </row>
        <row r="57">
          <cell r="I57" t="str">
            <v>NCR-Server</v>
          </cell>
          <cell r="J57" t="str">
            <v>ABAP/4</v>
          </cell>
        </row>
        <row r="58">
          <cell r="I58" t="str">
            <v>기타</v>
          </cell>
          <cell r="J58" t="str">
            <v>Fortran</v>
          </cell>
        </row>
        <row r="59">
          <cell r="I59" t="str">
            <v>N/A</v>
          </cell>
          <cell r="J59" t="str">
            <v>PL*SQL</v>
          </cell>
        </row>
        <row r="60">
          <cell r="J60" t="str">
            <v>기타</v>
          </cell>
        </row>
        <row r="61">
          <cell r="J61" t="str">
            <v>N/A</v>
          </cell>
        </row>
      </sheetData>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코드표"/>
      <sheetName val="필드설명"/>
      <sheetName val="업무분류"/>
      <sheetName val="서버"/>
      <sheetName val="네트워크"/>
      <sheetName val="보안"/>
      <sheetName val="스토리지"/>
      <sheetName val="백업"/>
      <sheetName val="기타"/>
      <sheetName val="소프트웨어"/>
    </sheetNames>
    <sheetDataSet>
      <sheetData sheetId="0">
        <row r="2">
          <cell r="C2">
            <v>1</v>
          </cell>
        </row>
        <row r="3">
          <cell r="C3">
            <v>2</v>
          </cell>
        </row>
        <row r="4">
          <cell r="C4" t="str">
            <v>O</v>
          </cell>
        </row>
        <row r="5">
          <cell r="C5" t="str">
            <v>D</v>
          </cell>
        </row>
        <row r="6">
          <cell r="C6" t="str">
            <v>T</v>
          </cell>
        </row>
        <row r="7">
          <cell r="C7" t="str">
            <v>Active</v>
          </cell>
        </row>
        <row r="8">
          <cell r="C8" t="str">
            <v>InActive</v>
          </cell>
        </row>
        <row r="9">
          <cell r="C9" t="str">
            <v>Delete</v>
          </cell>
        </row>
        <row r="11">
          <cell r="C11" t="str">
            <v>P</v>
          </cell>
        </row>
        <row r="12">
          <cell r="C12" t="str">
            <v>C</v>
          </cell>
        </row>
        <row r="13">
          <cell r="C13" t="str">
            <v>Y</v>
          </cell>
        </row>
        <row r="14">
          <cell r="C14" t="str">
            <v>N</v>
          </cell>
        </row>
        <row r="15">
          <cell r="C15" t="str">
            <v>Active</v>
          </cell>
        </row>
        <row r="16">
          <cell r="C16" t="str">
            <v>Standbay</v>
          </cell>
        </row>
        <row r="17">
          <cell r="C17" t="str">
            <v>R</v>
          </cell>
        </row>
        <row r="18">
          <cell r="C18" t="str">
            <v>T</v>
          </cell>
        </row>
        <row r="19">
          <cell r="C19" t="str">
            <v>APPLICATION</v>
          </cell>
        </row>
        <row r="20">
          <cell r="C20" t="str">
            <v>BACKUP</v>
          </cell>
        </row>
        <row r="21">
          <cell r="C21" t="str">
            <v>DB</v>
          </cell>
        </row>
        <row r="22">
          <cell r="C22" t="str">
            <v>DHCP</v>
          </cell>
        </row>
        <row r="23">
          <cell r="C23" t="str">
            <v>WASWEB</v>
          </cell>
        </row>
        <row r="24">
          <cell r="C24" t="str">
            <v>FILE</v>
          </cell>
        </row>
        <row r="25">
          <cell r="C25" t="str">
            <v>MAIL</v>
          </cell>
        </row>
        <row r="26">
          <cell r="C26" t="str">
            <v>CON</v>
          </cell>
        </row>
        <row r="27">
          <cell r="C27" t="str">
            <v>WASWEB APP</v>
          </cell>
        </row>
        <row r="28">
          <cell r="C28" t="str">
            <v>DB APP</v>
          </cell>
        </row>
        <row r="29">
          <cell r="C29" t="str">
            <v>UN</v>
          </cell>
        </row>
        <row r="30">
          <cell r="C30" t="str">
            <v>NT</v>
          </cell>
        </row>
        <row r="31">
          <cell r="C31" t="str">
            <v>LX</v>
          </cell>
        </row>
        <row r="32">
          <cell r="C32" t="str">
            <v>Y</v>
          </cell>
        </row>
        <row r="33">
          <cell r="C33" t="str">
            <v>N</v>
          </cell>
        </row>
        <row r="34">
          <cell r="C34" t="str">
            <v>대</v>
          </cell>
        </row>
        <row r="35">
          <cell r="C35" t="str">
            <v>중</v>
          </cell>
        </row>
        <row r="36">
          <cell r="C36" t="str">
            <v>소</v>
          </cell>
        </row>
        <row r="37">
          <cell r="C37" t="str">
            <v>CD</v>
          </cell>
        </row>
        <row r="38">
          <cell r="C38" t="str">
            <v>DVD</v>
          </cell>
        </row>
        <row r="39">
          <cell r="C39" t="str">
            <v>DAT</v>
          </cell>
        </row>
        <row r="40">
          <cell r="C40" t="str">
            <v>LTO</v>
          </cell>
        </row>
        <row r="41">
          <cell r="C41">
            <v>1</v>
          </cell>
        </row>
        <row r="42">
          <cell r="C42">
            <v>2</v>
          </cell>
        </row>
        <row r="43">
          <cell r="C43">
            <v>3</v>
          </cell>
        </row>
        <row r="44">
          <cell r="C44">
            <v>99</v>
          </cell>
        </row>
        <row r="45">
          <cell r="C45">
            <v>1</v>
          </cell>
        </row>
        <row r="46">
          <cell r="C46">
            <v>2</v>
          </cell>
        </row>
        <row r="47">
          <cell r="C47" t="str">
            <v>L2</v>
          </cell>
        </row>
        <row r="48">
          <cell r="C48" t="str">
            <v>L3</v>
          </cell>
        </row>
        <row r="49">
          <cell r="C49" t="str">
            <v>L4</v>
          </cell>
        </row>
        <row r="50">
          <cell r="C50" t="str">
            <v>라우터</v>
          </cell>
        </row>
        <row r="51">
          <cell r="C51" t="str">
            <v>허브</v>
          </cell>
        </row>
        <row r="52">
          <cell r="C52" t="str">
            <v>Y</v>
          </cell>
        </row>
        <row r="53">
          <cell r="C53" t="str">
            <v>N</v>
          </cell>
        </row>
        <row r="54">
          <cell r="C54" t="str">
            <v>Y</v>
          </cell>
        </row>
        <row r="55">
          <cell r="C55" t="str">
            <v>N</v>
          </cell>
        </row>
        <row r="56">
          <cell r="C56" t="str">
            <v>U</v>
          </cell>
        </row>
        <row r="57">
          <cell r="C57" t="str">
            <v>M</v>
          </cell>
        </row>
        <row r="58">
          <cell r="C58" t="str">
            <v>RJ45</v>
          </cell>
        </row>
        <row r="59">
          <cell r="C59" t="str">
            <v>DB9</v>
          </cell>
        </row>
        <row r="60">
          <cell r="C60" t="str">
            <v>F/W</v>
          </cell>
        </row>
        <row r="61">
          <cell r="C61" t="str">
            <v>IPS</v>
          </cell>
        </row>
        <row r="62">
          <cell r="C62" t="str">
            <v>IDS</v>
          </cell>
        </row>
        <row r="63">
          <cell r="C63" t="str">
            <v>VPN</v>
          </cell>
        </row>
        <row r="64">
          <cell r="C64" t="str">
            <v>SCETC</v>
          </cell>
        </row>
        <row r="65">
          <cell r="C65" t="str">
            <v>UTP10</v>
          </cell>
        </row>
        <row r="66">
          <cell r="C66" t="str">
            <v>UTP100</v>
          </cell>
        </row>
        <row r="67">
          <cell r="C67" t="str">
            <v>FIBERSC</v>
          </cell>
        </row>
        <row r="68">
          <cell r="C68" t="str">
            <v>FIBERLC</v>
          </cell>
        </row>
        <row r="69">
          <cell r="C69" t="str">
            <v>EXT</v>
          </cell>
        </row>
        <row r="70">
          <cell r="C70" t="str">
            <v>SAN</v>
          </cell>
        </row>
        <row r="71">
          <cell r="C71" t="str">
            <v>RAID 0</v>
          </cell>
        </row>
        <row r="72">
          <cell r="C72" t="str">
            <v>RAID 1</v>
          </cell>
        </row>
        <row r="73">
          <cell r="C73" t="str">
            <v>RAID 3</v>
          </cell>
        </row>
        <row r="74">
          <cell r="C74" t="str">
            <v>RAID 5</v>
          </cell>
        </row>
        <row r="75">
          <cell r="C75" t="str">
            <v>RAID 0+1</v>
          </cell>
        </row>
        <row r="76">
          <cell r="C76" t="str">
            <v>DAT</v>
          </cell>
        </row>
        <row r="77">
          <cell r="C77" t="str">
            <v>LTO</v>
          </cell>
        </row>
        <row r="78">
          <cell r="C78" t="str">
            <v>SAIT</v>
          </cell>
        </row>
        <row r="79">
          <cell r="C79" t="str">
            <v>AIT</v>
          </cell>
        </row>
        <row r="80">
          <cell r="C80" t="str">
            <v>SDLT</v>
          </cell>
        </row>
        <row r="81">
          <cell r="C81" t="str">
            <v>DLT</v>
          </cell>
        </row>
        <row r="82">
          <cell r="C82" t="str">
            <v>DDS</v>
          </cell>
        </row>
        <row r="83">
          <cell r="C83" t="str">
            <v>L</v>
          </cell>
        </row>
        <row r="84">
          <cell r="C84" t="str">
            <v>S</v>
          </cell>
        </row>
        <row r="85">
          <cell r="C85">
            <v>1</v>
          </cell>
        </row>
        <row r="86">
          <cell r="C86">
            <v>2</v>
          </cell>
        </row>
        <row r="87">
          <cell r="C87">
            <v>3</v>
          </cell>
        </row>
        <row r="88">
          <cell r="B88" t="str">
            <v>시스템 S/W</v>
          </cell>
        </row>
        <row r="89">
          <cell r="B89" t="str">
            <v>상용 S/W</v>
          </cell>
        </row>
        <row r="90">
          <cell r="B90" t="str">
            <v>응용 S/W</v>
          </cell>
        </row>
        <row r="91">
          <cell r="C91" t="str">
            <v>DBSW</v>
          </cell>
        </row>
        <row r="92">
          <cell r="C92" t="str">
            <v>MDSW</v>
          </cell>
        </row>
        <row r="93">
          <cell r="C93" t="str">
            <v>WESW</v>
          </cell>
        </row>
        <row r="94">
          <cell r="C94" t="str">
            <v>APSW</v>
          </cell>
        </row>
        <row r="95">
          <cell r="C95" t="str">
            <v>BKSW</v>
          </cell>
        </row>
        <row r="96">
          <cell r="C96" t="str">
            <v>SCSW</v>
          </cell>
        </row>
        <row r="97">
          <cell r="C97" t="str">
            <v>APSW01</v>
          </cell>
        </row>
        <row r="98">
          <cell r="C98" t="str">
            <v>APSW02</v>
          </cell>
        </row>
        <row r="99">
          <cell r="C99" t="str">
            <v>APSW03</v>
          </cell>
        </row>
        <row r="100">
          <cell r="C100" t="str">
            <v>APSW04</v>
          </cell>
        </row>
        <row r="101">
          <cell r="C101" t="str">
            <v>BKSW01</v>
          </cell>
        </row>
        <row r="102">
          <cell r="C102" t="str">
            <v>BKSW02</v>
          </cell>
        </row>
        <row r="103">
          <cell r="C103" t="str">
            <v>BKSW03</v>
          </cell>
        </row>
        <row r="104">
          <cell r="C104" t="str">
            <v>BKSW04</v>
          </cell>
        </row>
        <row r="105">
          <cell r="C105" t="str">
            <v>BKSW05</v>
          </cell>
        </row>
        <row r="106">
          <cell r="C106" t="str">
            <v>DBMS01</v>
          </cell>
        </row>
        <row r="107">
          <cell r="C107" t="str">
            <v>DBMS02</v>
          </cell>
        </row>
        <row r="108">
          <cell r="C108" t="str">
            <v>DBMS03</v>
          </cell>
        </row>
        <row r="109">
          <cell r="C109" t="str">
            <v>DBMS04</v>
          </cell>
        </row>
        <row r="110">
          <cell r="C110" t="str">
            <v>DBMS05</v>
          </cell>
        </row>
        <row r="111">
          <cell r="C111" t="str">
            <v>DBMS06</v>
          </cell>
        </row>
        <row r="112">
          <cell r="C112" t="str">
            <v>DBMS07</v>
          </cell>
        </row>
        <row r="113">
          <cell r="C113" t="str">
            <v>MDSW01</v>
          </cell>
        </row>
        <row r="114">
          <cell r="C114" t="str">
            <v>MDSW02</v>
          </cell>
        </row>
        <row r="115">
          <cell r="C115" t="str">
            <v>MDSW03</v>
          </cell>
        </row>
        <row r="116">
          <cell r="C116" t="str">
            <v>MDSW04</v>
          </cell>
        </row>
        <row r="117">
          <cell r="C117" t="str">
            <v>MDSW05</v>
          </cell>
        </row>
        <row r="118">
          <cell r="C118" t="str">
            <v>MDSW06</v>
          </cell>
        </row>
        <row r="119">
          <cell r="C119" t="str">
            <v>MDSW07</v>
          </cell>
        </row>
        <row r="120">
          <cell r="C120" t="str">
            <v>SCSW01</v>
          </cell>
        </row>
        <row r="121">
          <cell r="C121" t="str">
            <v>SCSW02</v>
          </cell>
        </row>
        <row r="122">
          <cell r="C122" t="str">
            <v>SCSW03</v>
          </cell>
        </row>
        <row r="123">
          <cell r="C123" t="str">
            <v>SCSW04</v>
          </cell>
        </row>
        <row r="124">
          <cell r="C124" t="str">
            <v>SCSW05</v>
          </cell>
        </row>
        <row r="125">
          <cell r="C125" t="str">
            <v>SCSW06</v>
          </cell>
        </row>
        <row r="126">
          <cell r="C126" t="str">
            <v>SCSW07</v>
          </cell>
        </row>
        <row r="127">
          <cell r="C127" t="str">
            <v>SCSW08</v>
          </cell>
        </row>
        <row r="128">
          <cell r="C128" t="str">
            <v>SCSW09</v>
          </cell>
        </row>
        <row r="129">
          <cell r="C129" t="str">
            <v>SCSW10</v>
          </cell>
        </row>
        <row r="130">
          <cell r="C130" t="str">
            <v>SCSW11</v>
          </cell>
        </row>
        <row r="131">
          <cell r="C131" t="str">
            <v>SCSW12</v>
          </cell>
        </row>
        <row r="132">
          <cell r="C132" t="str">
            <v>WESW01</v>
          </cell>
        </row>
        <row r="133">
          <cell r="C133" t="str">
            <v>WESW02</v>
          </cell>
        </row>
        <row r="134">
          <cell r="C134" t="str">
            <v>WESW03</v>
          </cell>
        </row>
        <row r="135">
          <cell r="C135" t="str">
            <v>WESW04</v>
          </cell>
        </row>
        <row r="136">
          <cell r="C136" t="str">
            <v>WESW10</v>
          </cell>
        </row>
        <row r="137">
          <cell r="C137" t="str">
            <v>사이트</v>
          </cell>
        </row>
        <row r="138">
          <cell r="C138" t="str">
            <v>개별</v>
          </cell>
        </row>
        <row r="139">
          <cell r="C139" t="str">
            <v>CPU</v>
          </cell>
        </row>
        <row r="140">
          <cell r="C140" t="str">
            <v>Named User</v>
          </cell>
        </row>
        <row r="141">
          <cell r="C141" t="str">
            <v>KVM</v>
          </cell>
        </row>
        <row r="142">
          <cell r="C142" t="str">
            <v>MONITOR</v>
          </cell>
        </row>
        <row r="143">
          <cell r="C143" t="str">
            <v>CONSOL</v>
          </cell>
        </row>
      </sheetData>
      <sheetData sheetId="1"/>
      <sheetData sheetId="2"/>
      <sheetData sheetId="3"/>
      <sheetData sheetId="4"/>
      <sheetData sheetId="5"/>
      <sheetData sheetId="6"/>
      <sheetData sheetId="7"/>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점검표(재분류)"/>
      <sheetName val="설문(일반)"/>
      <sheetName val="1차일반"/>
      <sheetName val="1차일반필터링"/>
      <sheetName val="요청서-일반"/>
      <sheetName val="설문(CP)"/>
      <sheetName val="1차CP"/>
      <sheetName val="1차CP필터링"/>
      <sheetName val="요청서-CP"/>
      <sheetName val="변경내역"/>
      <sheetName val="대쉬위험"/>
      <sheetName val="취급자"/>
      <sheetName val="CP통계"/>
      <sheetName val="2차(일반)"/>
      <sheetName val="2차(CP)"/>
      <sheetName val="요청서-대상확인"/>
      <sheetName val="IDC"/>
      <sheetName val="서비스분류"/>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자산분류체계"/>
      <sheetName val="1.정보시스템"/>
      <sheetName val="2.서버"/>
      <sheetName val="정보시스템도입자산"/>
      <sheetName val="3.스토리지"/>
      <sheetName val="4.네트워크"/>
      <sheetName val="5.소프트웨어"/>
      <sheetName val="SW설치정보"/>
      <sheetName val="6.부품"/>
      <sheetName val="부품설치정보"/>
      <sheetName val="11.정보화인력"/>
      <sheetName val="12.협력업체"/>
      <sheetName val="13.협력업체담당자"/>
      <sheetName val="14.유지보수계약정보"/>
      <sheetName val="파일업로드"/>
      <sheetName val="공통코드"/>
      <sheetName val="중분류"/>
      <sheetName val="소분류"/>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2">
          <cell r="C2" t="str">
            <v>구매</v>
          </cell>
          <cell r="Y2" t="str">
            <v>중소형광단국</v>
          </cell>
          <cell r="AI2" t="str">
            <v>K1,K3</v>
          </cell>
        </row>
        <row r="3">
          <cell r="Y3" t="str">
            <v>FLC</v>
          </cell>
          <cell r="AI3" t="str">
            <v>K4</v>
          </cell>
        </row>
        <row r="4">
          <cell r="Y4" t="str">
            <v>WDM</v>
          </cell>
          <cell r="AI4" t="str">
            <v>K4이상</v>
          </cell>
        </row>
        <row r="5">
          <cell r="AI5" t="str">
            <v>K1E,K3E</v>
          </cell>
        </row>
        <row r="6">
          <cell r="AI6" t="str">
            <v>K4E</v>
          </cell>
        </row>
        <row r="15">
          <cell r="Y15" t="str">
            <v>static</v>
          </cell>
          <cell r="AC15" t="str">
            <v xml:space="preserve">1년 </v>
          </cell>
        </row>
        <row r="16">
          <cell r="Y16" t="str">
            <v>dynamic</v>
          </cell>
          <cell r="AC16" t="str">
            <v>2년</v>
          </cell>
        </row>
      </sheetData>
      <sheetData sheetId="16"/>
      <sheetData sheetId="1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sheetName val="분류체계"/>
      <sheetName val="분류"/>
      <sheetName val="관리.물리평가사항(5.4)"/>
      <sheetName val="IT체계평가사항(5.4)"/>
      <sheetName val="관리.물리평가사항(5.4) (2)"/>
      <sheetName val="IT체계평가사항(5.4) (2)"/>
    </sheetNames>
    <sheetDataSet>
      <sheetData sheetId="0" refreshError="1"/>
      <sheetData sheetId="1" refreshError="1"/>
      <sheetData sheetId="2" refreshError="1">
        <row r="27">
          <cell r="B27">
            <v>0</v>
          </cell>
        </row>
        <row r="28">
          <cell r="B28">
            <v>1</v>
          </cell>
        </row>
      </sheetData>
      <sheetData sheetId="3" refreshError="1"/>
      <sheetData sheetId="4" refreshError="1"/>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표지"/>
      <sheetName val="제개정이력"/>
      <sheetName val="위험조치계획서"/>
      <sheetName val="위험조치계획 기준"/>
    </sheetNames>
    <sheetDataSet>
      <sheetData sheetId="0"/>
      <sheetData sheetId="1"/>
      <sheetData sheetId="2"/>
      <sheetData sheetId="3">
        <row r="7">
          <cell r="B7">
            <v>5</v>
          </cell>
        </row>
        <row r="8">
          <cell r="B8">
            <v>4</v>
          </cell>
        </row>
        <row r="9">
          <cell r="B9">
            <v>3</v>
          </cell>
        </row>
        <row r="10">
          <cell r="B10">
            <v>2</v>
          </cell>
        </row>
        <row r="11">
          <cell r="B11">
            <v>1</v>
          </cell>
        </row>
        <row r="17">
          <cell r="B17" t="str">
            <v>단기</v>
          </cell>
        </row>
        <row r="18">
          <cell r="B18" t="str">
            <v>중기</v>
          </cell>
        </row>
        <row r="19">
          <cell r="B19" t="str">
            <v>장기</v>
          </cell>
        </row>
        <row r="20">
          <cell r="B20" t="str">
            <v>긴급</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프로젝트 현황"/>
      <sheetName val="프로젝트 상세"/>
      <sheetName val="코드"/>
    </sheetNames>
    <sheetDataSet>
      <sheetData sheetId="0" refreshError="1"/>
      <sheetData sheetId="1" refreshError="1"/>
      <sheetData sheetId="2">
        <row r="2">
          <cell r="B2" t="str">
            <v>공공</v>
          </cell>
        </row>
        <row r="3">
          <cell r="B3" t="str">
            <v>금융</v>
          </cell>
        </row>
        <row r="4">
          <cell r="B4" t="str">
            <v>제조</v>
          </cell>
        </row>
        <row r="5">
          <cell r="B5" t="str">
            <v>기타</v>
          </cell>
        </row>
      </sheetData>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8100" cap="flat" cmpd="sng" algn="ctr">
          <a:solidFill>
            <a:srgbClr val="FF0000"/>
          </a:solidFill>
          <a:prstDash val="sysDot"/>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38100" cap="flat" cmpd="sng" algn="ctr">
          <a:solidFill>
            <a:srgbClr val="FF0000"/>
          </a:solidFill>
          <a:prstDash val="sysDot"/>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Q26"/>
  <sheetViews>
    <sheetView tabSelected="1" view="pageBreakPreview" zoomScaleNormal="100" zoomScaleSheetLayoutView="100" workbookViewId="0"/>
  </sheetViews>
  <sheetFormatPr defaultColWidth="8.77734375" defaultRowHeight="16.5"/>
  <cols>
    <col min="1" max="1" width="4.44140625" style="81" customWidth="1"/>
    <col min="2" max="12" width="7.109375" style="81" customWidth="1"/>
    <col min="13" max="13" width="6.5546875" style="81" customWidth="1"/>
    <col min="14" max="16" width="9.6640625" style="81" customWidth="1"/>
    <col min="17" max="17" width="4.44140625" style="81" customWidth="1"/>
    <col min="18" max="16384" width="8.77734375" style="81"/>
  </cols>
  <sheetData>
    <row r="1" spans="1:17" ht="14.25" customHeight="1" thickBot="1">
      <c r="A1" s="80"/>
      <c r="B1" s="80"/>
      <c r="C1" s="80"/>
      <c r="D1" s="80"/>
      <c r="E1" s="80"/>
      <c r="F1" s="80"/>
      <c r="G1" s="80"/>
      <c r="H1" s="80"/>
      <c r="I1" s="80"/>
      <c r="J1" s="80"/>
      <c r="K1" s="80"/>
      <c r="L1" s="80"/>
      <c r="M1" s="80"/>
      <c r="N1" s="80"/>
      <c r="O1" s="80"/>
      <c r="P1" s="80"/>
      <c r="Q1" s="80"/>
    </row>
    <row r="2" spans="1:17" ht="16.899999999999999" customHeight="1" thickTop="1" thickBot="1">
      <c r="A2" s="80"/>
      <c r="B2" s="265" t="s">
        <v>194</v>
      </c>
      <c r="C2" s="266"/>
      <c r="D2" s="267" t="s">
        <v>195</v>
      </c>
      <c r="E2" s="268"/>
      <c r="F2" s="269" t="s">
        <v>196</v>
      </c>
      <c r="G2" s="270"/>
      <c r="H2" s="271"/>
      <c r="I2" s="80"/>
      <c r="J2" s="80"/>
      <c r="K2" s="80"/>
      <c r="L2" s="80"/>
      <c r="M2" s="80"/>
      <c r="N2" s="80"/>
      <c r="P2" s="82" t="s">
        <v>197</v>
      </c>
      <c r="Q2" s="80"/>
    </row>
    <row r="3" spans="1:17" ht="16.899999999999999" customHeight="1" thickTop="1">
      <c r="A3" s="80"/>
      <c r="B3" s="266" t="s">
        <v>198</v>
      </c>
      <c r="C3" s="266"/>
      <c r="D3" s="267"/>
      <c r="E3" s="268"/>
      <c r="F3" s="272"/>
      <c r="G3" s="273"/>
      <c r="H3" s="274"/>
      <c r="I3" s="80"/>
      <c r="J3" s="80"/>
      <c r="K3" s="80"/>
      <c r="L3" s="80"/>
      <c r="M3" s="80"/>
      <c r="N3" s="80"/>
      <c r="O3" s="80"/>
      <c r="P3" s="80"/>
      <c r="Q3" s="80"/>
    </row>
    <row r="4" spans="1:17" ht="14.25" customHeight="1">
      <c r="A4" s="80"/>
      <c r="B4" s="80"/>
      <c r="C4" s="80"/>
      <c r="D4" s="80"/>
      <c r="E4" s="80"/>
      <c r="F4" s="80"/>
      <c r="G4" s="80"/>
      <c r="H4" s="80"/>
      <c r="I4" s="80"/>
      <c r="J4" s="80"/>
      <c r="K4" s="80"/>
      <c r="L4" s="80"/>
      <c r="M4" s="80"/>
      <c r="N4" s="80"/>
      <c r="O4" s="80"/>
      <c r="P4" s="80"/>
      <c r="Q4" s="80"/>
    </row>
    <row r="5" spans="1:17" ht="14.25" customHeight="1">
      <c r="A5" s="80"/>
      <c r="B5" s="80"/>
      <c r="C5" s="80"/>
      <c r="D5" s="80"/>
      <c r="E5" s="80"/>
      <c r="F5" s="80"/>
      <c r="G5" s="80"/>
      <c r="H5" s="80"/>
      <c r="I5" s="80"/>
      <c r="J5" s="80"/>
      <c r="K5" s="80"/>
      <c r="L5" s="80"/>
      <c r="M5" s="80"/>
      <c r="N5" s="80"/>
      <c r="O5" s="80"/>
      <c r="P5" s="80"/>
      <c r="Q5" s="80"/>
    </row>
    <row r="6" spans="1:17" ht="14.25" customHeight="1">
      <c r="A6" s="80"/>
      <c r="B6" s="80"/>
      <c r="C6" s="80"/>
      <c r="D6" s="80"/>
      <c r="E6" s="80"/>
      <c r="F6" s="80"/>
      <c r="G6" s="80"/>
      <c r="H6" s="80"/>
      <c r="I6" s="80"/>
      <c r="J6" s="80"/>
      <c r="K6" s="80"/>
      <c r="L6" s="80"/>
      <c r="M6" s="80"/>
      <c r="N6" s="80"/>
      <c r="O6" s="80"/>
      <c r="P6" s="80"/>
      <c r="Q6" s="80"/>
    </row>
    <row r="7" spans="1:17" ht="17.45" customHeight="1">
      <c r="A7" s="80"/>
      <c r="B7" s="80"/>
      <c r="C7" s="80"/>
      <c r="D7" s="80"/>
      <c r="E7" s="80"/>
      <c r="F7" s="80"/>
      <c r="G7" s="80"/>
      <c r="H7" s="80"/>
      <c r="I7" s="80"/>
      <c r="J7" s="80"/>
      <c r="K7" s="80"/>
      <c r="L7" s="80"/>
      <c r="M7" s="80"/>
      <c r="N7" s="80"/>
      <c r="O7" s="80"/>
      <c r="P7" s="80"/>
      <c r="Q7" s="80"/>
    </row>
    <row r="8" spans="1:17" ht="14.25" customHeight="1">
      <c r="A8" s="80"/>
      <c r="B8" s="80"/>
      <c r="C8" s="80"/>
      <c r="D8" s="80"/>
      <c r="E8" s="80"/>
      <c r="F8" s="80"/>
      <c r="G8" s="80"/>
      <c r="H8" s="80"/>
      <c r="I8" s="80"/>
      <c r="J8" s="80"/>
      <c r="K8" s="80"/>
      <c r="L8" s="80"/>
      <c r="M8" s="80"/>
      <c r="N8" s="80"/>
      <c r="O8" s="80"/>
      <c r="P8" s="80"/>
      <c r="Q8" s="80"/>
    </row>
    <row r="9" spans="1:17" ht="14.25" customHeight="1">
      <c r="A9" s="80"/>
      <c r="B9" s="80"/>
      <c r="C9" s="80"/>
      <c r="D9" s="80"/>
      <c r="E9" s="80"/>
      <c r="F9" s="80"/>
      <c r="G9" s="80"/>
      <c r="H9" s="80"/>
      <c r="I9" s="80"/>
      <c r="J9" s="80"/>
      <c r="K9" s="80"/>
      <c r="L9" s="80"/>
      <c r="M9" s="80"/>
      <c r="N9" s="80"/>
      <c r="O9" s="80"/>
      <c r="P9" s="80"/>
      <c r="Q9" s="80"/>
    </row>
    <row r="10" spans="1:17" ht="40.9" customHeight="1">
      <c r="A10" s="80"/>
      <c r="B10" s="275" t="s">
        <v>574</v>
      </c>
      <c r="C10" s="275"/>
      <c r="D10" s="275"/>
      <c r="E10" s="275"/>
      <c r="F10" s="275"/>
      <c r="G10" s="275"/>
      <c r="H10" s="275"/>
      <c r="I10" s="275"/>
      <c r="J10" s="275"/>
      <c r="K10" s="275"/>
      <c r="L10" s="275"/>
      <c r="M10" s="275"/>
      <c r="N10" s="275"/>
      <c r="O10" s="275"/>
      <c r="P10" s="275"/>
      <c r="Q10" s="80"/>
    </row>
    <row r="11" spans="1:17" ht="14.25" customHeight="1">
      <c r="A11" s="80"/>
      <c r="B11" s="80"/>
      <c r="C11" s="80"/>
      <c r="D11" s="80"/>
      <c r="E11" s="80"/>
      <c r="F11" s="80"/>
      <c r="G11" s="80"/>
      <c r="H11" s="80"/>
      <c r="I11" s="80"/>
      <c r="J11" s="80"/>
      <c r="K11" s="80"/>
      <c r="L11" s="80"/>
      <c r="M11" s="80"/>
      <c r="N11" s="80"/>
      <c r="O11" s="80"/>
      <c r="P11" s="80"/>
      <c r="Q11" s="80"/>
    </row>
    <row r="12" spans="1:17" ht="14.25" customHeight="1">
      <c r="A12" s="80"/>
      <c r="B12" s="263" t="s">
        <v>573</v>
      </c>
      <c r="C12" s="263"/>
      <c r="D12" s="263"/>
      <c r="E12" s="263"/>
      <c r="F12" s="263"/>
      <c r="G12" s="263"/>
      <c r="H12" s="263"/>
      <c r="I12" s="263"/>
      <c r="J12" s="263"/>
      <c r="K12" s="263"/>
      <c r="L12" s="263"/>
      <c r="M12" s="263"/>
      <c r="N12" s="263"/>
      <c r="O12" s="263"/>
      <c r="P12" s="263"/>
      <c r="Q12" s="80"/>
    </row>
    <row r="13" spans="1:17" ht="14.25" customHeight="1">
      <c r="A13" s="80"/>
      <c r="B13" s="263"/>
      <c r="C13" s="263"/>
      <c r="D13" s="263"/>
      <c r="E13" s="263"/>
      <c r="F13" s="263"/>
      <c r="G13" s="263"/>
      <c r="H13" s="263"/>
      <c r="I13" s="263"/>
      <c r="J13" s="263"/>
      <c r="K13" s="263"/>
      <c r="L13" s="263"/>
      <c r="M13" s="263"/>
      <c r="N13" s="263"/>
      <c r="O13" s="263"/>
      <c r="P13" s="263"/>
      <c r="Q13" s="80"/>
    </row>
    <row r="14" spans="1:17" ht="14.25" customHeight="1">
      <c r="A14" s="80"/>
      <c r="B14" s="263"/>
      <c r="C14" s="263"/>
      <c r="D14" s="263"/>
      <c r="E14" s="263"/>
      <c r="F14" s="263"/>
      <c r="G14" s="263"/>
      <c r="H14" s="263"/>
      <c r="I14" s="263"/>
      <c r="J14" s="263"/>
      <c r="K14" s="263"/>
      <c r="L14" s="263"/>
      <c r="M14" s="263"/>
      <c r="N14" s="263"/>
      <c r="O14" s="263"/>
      <c r="P14" s="263"/>
      <c r="Q14" s="80"/>
    </row>
    <row r="15" spans="1:17" ht="14.25" customHeight="1">
      <c r="A15" s="80"/>
      <c r="B15" s="263"/>
      <c r="C15" s="263"/>
      <c r="D15" s="263"/>
      <c r="E15" s="263"/>
      <c r="F15" s="263"/>
      <c r="G15" s="263"/>
      <c r="H15" s="263"/>
      <c r="I15" s="263"/>
      <c r="J15" s="263"/>
      <c r="K15" s="263"/>
      <c r="L15" s="263"/>
      <c r="M15" s="263"/>
      <c r="N15" s="263"/>
      <c r="O15" s="263"/>
      <c r="P15" s="263"/>
      <c r="Q15" s="80"/>
    </row>
    <row r="16" spans="1:17" ht="41.25" customHeight="1">
      <c r="A16" s="80"/>
      <c r="B16" s="263"/>
      <c r="C16" s="263"/>
      <c r="D16" s="263"/>
      <c r="E16" s="263"/>
      <c r="F16" s="263"/>
      <c r="G16" s="263"/>
      <c r="H16" s="263"/>
      <c r="I16" s="263"/>
      <c r="J16" s="263"/>
      <c r="K16" s="263"/>
      <c r="L16" s="263"/>
      <c r="M16" s="263"/>
      <c r="N16" s="263"/>
      <c r="O16" s="263"/>
      <c r="P16" s="263"/>
      <c r="Q16" s="80"/>
    </row>
    <row r="17" spans="1:17" ht="41.25" customHeight="1">
      <c r="A17" s="80"/>
      <c r="B17" s="80"/>
      <c r="C17" s="80"/>
      <c r="D17" s="80"/>
      <c r="E17" s="80"/>
      <c r="F17" s="80"/>
      <c r="G17" s="80"/>
      <c r="H17" s="80"/>
      <c r="I17" s="80"/>
      <c r="J17" s="80"/>
      <c r="K17" s="80"/>
      <c r="L17" s="80"/>
      <c r="M17" s="80"/>
      <c r="N17" s="80"/>
      <c r="O17" s="80"/>
      <c r="P17" s="80"/>
      <c r="Q17" s="80"/>
    </row>
    <row r="18" spans="1:17" ht="9.75" customHeight="1">
      <c r="A18" s="80"/>
      <c r="B18" s="80"/>
      <c r="C18" s="80"/>
      <c r="D18" s="80"/>
      <c r="E18" s="80"/>
      <c r="F18" s="80"/>
      <c r="G18" s="80"/>
      <c r="H18" s="80"/>
      <c r="I18" s="80"/>
      <c r="J18" s="80"/>
      <c r="K18" s="80"/>
      <c r="L18" s="80"/>
      <c r="M18" s="80"/>
      <c r="N18" s="80"/>
      <c r="O18" s="80"/>
      <c r="P18" s="80"/>
      <c r="Q18" s="80"/>
    </row>
    <row r="19" spans="1:17" ht="14.25" customHeight="1">
      <c r="A19" s="80"/>
      <c r="B19" s="80"/>
      <c r="C19" s="80"/>
      <c r="D19" s="80"/>
      <c r="E19" s="80"/>
      <c r="F19" s="80"/>
      <c r="G19" s="80"/>
      <c r="H19" s="80"/>
      <c r="I19" s="80"/>
      <c r="J19" s="80"/>
      <c r="K19" s="80"/>
      <c r="L19" s="80"/>
      <c r="M19" s="80"/>
      <c r="N19" s="264"/>
      <c r="O19" s="264"/>
      <c r="P19" s="264"/>
      <c r="Q19" s="80"/>
    </row>
    <row r="20" spans="1:17" ht="9.75" customHeight="1">
      <c r="A20" s="80"/>
      <c r="B20" s="80"/>
      <c r="C20" s="80"/>
      <c r="D20" s="80"/>
      <c r="E20" s="80"/>
      <c r="F20" s="80"/>
      <c r="G20" s="80"/>
      <c r="H20" s="80"/>
      <c r="I20" s="80"/>
      <c r="J20" s="80"/>
      <c r="K20" s="80"/>
      <c r="L20" s="80"/>
      <c r="M20" s="80"/>
      <c r="N20" s="264"/>
      <c r="O20" s="264"/>
      <c r="P20" s="264"/>
      <c r="Q20" s="80"/>
    </row>
    <row r="21" spans="1:17" ht="50.25" customHeight="1">
      <c r="A21" s="80"/>
      <c r="B21" s="80"/>
      <c r="C21" s="80"/>
      <c r="D21" s="80"/>
      <c r="E21" s="80"/>
      <c r="F21" s="80"/>
      <c r="G21" s="80"/>
      <c r="H21" s="80"/>
      <c r="I21" s="264" t="s">
        <v>575</v>
      </c>
      <c r="J21" s="264"/>
      <c r="K21" s="264"/>
      <c r="L21" s="80"/>
      <c r="M21" s="80"/>
      <c r="N21" s="264"/>
      <c r="O21" s="264"/>
      <c r="P21" s="264"/>
      <c r="Q21" s="80"/>
    </row>
    <row r="22" spans="1:17" ht="14.25" customHeight="1">
      <c r="A22" s="80"/>
      <c r="B22" s="80"/>
      <c r="C22" s="80"/>
      <c r="D22" s="80"/>
      <c r="E22" s="80"/>
      <c r="F22" s="80"/>
      <c r="G22" s="80"/>
      <c r="H22" s="80"/>
      <c r="I22" s="264"/>
      <c r="J22" s="264"/>
      <c r="K22" s="264"/>
      <c r="L22" s="80"/>
      <c r="M22" s="80"/>
      <c r="N22" s="264"/>
      <c r="O22" s="264"/>
      <c r="P22" s="264"/>
      <c r="Q22" s="80"/>
    </row>
    <row r="23" spans="1:17" ht="14.25" customHeight="1">
      <c r="A23" s="80"/>
      <c r="B23" s="80"/>
      <c r="C23" s="80"/>
      <c r="D23" s="80"/>
      <c r="E23" s="80"/>
      <c r="F23" s="80"/>
      <c r="G23" s="80"/>
      <c r="H23" s="80"/>
      <c r="I23" s="264"/>
      <c r="J23" s="264"/>
      <c r="K23" s="264"/>
      <c r="L23" s="80"/>
      <c r="M23" s="80"/>
      <c r="N23" s="80"/>
      <c r="O23" s="80"/>
      <c r="P23" s="80"/>
      <c r="Q23" s="80"/>
    </row>
    <row r="24" spans="1:17" ht="14.25" customHeight="1">
      <c r="A24" s="80"/>
      <c r="B24" s="80"/>
      <c r="C24" s="80"/>
      <c r="D24" s="80"/>
      <c r="E24" s="80"/>
      <c r="F24" s="80"/>
      <c r="G24" s="80"/>
      <c r="H24" s="80"/>
      <c r="I24" s="264"/>
      <c r="J24" s="264"/>
      <c r="K24" s="264"/>
      <c r="L24" s="80"/>
      <c r="M24" s="80"/>
      <c r="N24" s="80"/>
      <c r="O24" s="80"/>
      <c r="P24" s="80"/>
      <c r="Q24" s="80"/>
    </row>
    <row r="25" spans="1:17" ht="14.25" customHeight="1">
      <c r="A25" s="80"/>
      <c r="B25" s="80"/>
      <c r="C25" s="80"/>
      <c r="D25" s="80"/>
      <c r="E25" s="80"/>
      <c r="F25" s="80"/>
      <c r="G25" s="80"/>
      <c r="H25" s="80"/>
      <c r="I25" s="80"/>
      <c r="J25" s="80"/>
      <c r="K25" s="80"/>
      <c r="L25" s="80"/>
      <c r="M25" s="80"/>
      <c r="N25" s="80"/>
      <c r="O25" s="80"/>
      <c r="P25" s="80"/>
      <c r="Q25" s="80"/>
    </row>
    <row r="26" spans="1:17" ht="14.25" customHeight="1">
      <c r="A26" s="80"/>
      <c r="B26" s="80"/>
      <c r="C26" s="80"/>
      <c r="D26" s="80"/>
      <c r="E26" s="80"/>
      <c r="F26" s="80"/>
      <c r="G26" s="80"/>
      <c r="H26" s="80"/>
      <c r="I26" s="80"/>
      <c r="J26" s="80"/>
      <c r="K26" s="80"/>
      <c r="L26" s="80"/>
      <c r="M26" s="80"/>
      <c r="N26" s="80"/>
      <c r="O26" s="80"/>
      <c r="P26" s="80"/>
      <c r="Q26" s="80"/>
    </row>
  </sheetData>
  <mergeCells count="9">
    <mergeCell ref="B12:P16"/>
    <mergeCell ref="N19:P22"/>
    <mergeCell ref="I21:K24"/>
    <mergeCell ref="B2:C2"/>
    <mergeCell ref="D2:E2"/>
    <mergeCell ref="F2:H3"/>
    <mergeCell ref="B3:C3"/>
    <mergeCell ref="D3:E3"/>
    <mergeCell ref="B10:P10"/>
  </mergeCells>
  <phoneticPr fontId="7" type="noConversion"/>
  <printOptions horizontalCentered="1" verticalCentered="1"/>
  <pageMargins left="0" right="0" top="0.78740157480314965" bottom="0.39370078740157483" header="0.11811023622047245" footer="0.11811023622047245"/>
  <pageSetup paperSize="9" fitToWidth="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N54"/>
  <sheetViews>
    <sheetView showGridLines="0" zoomScale="70" zoomScaleNormal="70" zoomScaleSheetLayoutView="70" zoomScalePageLayoutView="70" workbookViewId="0">
      <selection sqref="A1:D1"/>
    </sheetView>
  </sheetViews>
  <sheetFormatPr defaultColWidth="38.109375" defaultRowHeight="13.5"/>
  <cols>
    <col min="1" max="1" width="22.33203125" style="107" customWidth="1"/>
    <col min="2" max="2" width="36.77734375" style="107" customWidth="1"/>
    <col min="3" max="3" width="19" style="124" customWidth="1"/>
    <col min="4" max="5" width="38.109375" style="107" customWidth="1"/>
    <col min="6" max="6" width="4" style="107" customWidth="1"/>
    <col min="7" max="16384" width="38.109375" style="107"/>
  </cols>
  <sheetData>
    <row r="1" spans="1:14" s="105" customFormat="1" ht="43.9" customHeight="1">
      <c r="A1" s="288" t="s">
        <v>259</v>
      </c>
      <c r="B1" s="288"/>
      <c r="C1" s="288"/>
      <c r="D1" s="288"/>
    </row>
    <row r="2" spans="1:14" ht="13.5" customHeight="1">
      <c r="A2" s="106"/>
      <c r="B2" s="106"/>
      <c r="C2" s="106"/>
      <c r="D2" s="106"/>
      <c r="E2" s="106"/>
      <c r="F2" s="106"/>
      <c r="G2" s="106"/>
      <c r="H2" s="106"/>
      <c r="I2" s="106"/>
      <c r="J2" s="106"/>
      <c r="K2" s="106"/>
      <c r="L2" s="106"/>
      <c r="M2" s="106"/>
      <c r="N2" s="106"/>
    </row>
    <row r="3" spans="1:14" s="109" customFormat="1" ht="19.149999999999999" customHeight="1">
      <c r="A3" s="289" t="s">
        <v>260</v>
      </c>
      <c r="B3" s="289"/>
      <c r="C3" s="289"/>
      <c r="D3" s="289"/>
      <c r="E3" s="289"/>
      <c r="F3" s="108"/>
      <c r="G3" s="108"/>
      <c r="H3" s="108"/>
      <c r="I3" s="108"/>
      <c r="J3" s="108"/>
      <c r="K3" s="108"/>
      <c r="L3" s="108"/>
      <c r="M3" s="108"/>
      <c r="N3" s="108"/>
    </row>
    <row r="4" spans="1:14" s="109" customFormat="1" ht="17.25">
      <c r="A4" s="289"/>
      <c r="B4" s="289"/>
      <c r="C4" s="289"/>
      <c r="D4" s="289"/>
      <c r="E4" s="289"/>
      <c r="F4" s="108"/>
      <c r="G4" s="108"/>
      <c r="H4" s="108"/>
      <c r="I4" s="108"/>
      <c r="J4" s="108"/>
      <c r="K4" s="108"/>
      <c r="L4" s="108"/>
      <c r="M4" s="108"/>
      <c r="N4" s="108"/>
    </row>
    <row r="5" spans="1:14" s="109" customFormat="1" ht="17.25">
      <c r="A5" s="110" t="s">
        <v>261</v>
      </c>
      <c r="B5" s="111"/>
      <c r="C5" s="111"/>
      <c r="D5" s="111"/>
      <c r="E5" s="111"/>
      <c r="F5" s="111"/>
      <c r="G5" s="111"/>
      <c r="H5" s="111"/>
      <c r="I5" s="111"/>
      <c r="J5" s="111"/>
      <c r="K5" s="111"/>
      <c r="L5" s="111"/>
      <c r="M5" s="111"/>
      <c r="N5" s="111"/>
    </row>
    <row r="6" spans="1:14" s="109" customFormat="1" ht="17.25">
      <c r="A6" s="278" t="s">
        <v>0</v>
      </c>
      <c r="B6" s="278"/>
      <c r="C6" s="278" t="s">
        <v>262</v>
      </c>
      <c r="D6" s="278"/>
      <c r="E6" s="278"/>
      <c r="F6" s="111"/>
      <c r="G6" s="111"/>
      <c r="H6" s="111"/>
      <c r="I6" s="111"/>
      <c r="J6" s="111"/>
      <c r="K6" s="111"/>
      <c r="L6" s="111"/>
      <c r="M6" s="111"/>
      <c r="N6" s="111"/>
    </row>
    <row r="7" spans="1:14" s="109" customFormat="1" ht="21.6" customHeight="1">
      <c r="A7" s="276" t="s">
        <v>263</v>
      </c>
      <c r="B7" s="276"/>
      <c r="C7" s="287" t="s">
        <v>264</v>
      </c>
      <c r="D7" s="287"/>
      <c r="E7" s="287"/>
      <c r="F7" s="112"/>
      <c r="G7" s="112"/>
      <c r="H7" s="112"/>
      <c r="I7" s="112"/>
      <c r="J7" s="112"/>
      <c r="K7" s="112"/>
      <c r="L7" s="112"/>
      <c r="M7" s="112"/>
      <c r="N7" s="111"/>
    </row>
    <row r="8" spans="1:14" s="109" customFormat="1" ht="21.6" customHeight="1">
      <c r="A8" s="276"/>
      <c r="B8" s="276"/>
      <c r="C8" s="287"/>
      <c r="D8" s="287"/>
      <c r="E8" s="287"/>
      <c r="F8" s="112"/>
      <c r="G8" s="112"/>
      <c r="H8" s="112"/>
      <c r="I8" s="112"/>
      <c r="J8" s="112"/>
      <c r="K8" s="112"/>
      <c r="L8" s="112"/>
      <c r="M8" s="112"/>
      <c r="N8" s="111"/>
    </row>
    <row r="9" spans="1:14" s="109" customFormat="1" ht="21.6" customHeight="1">
      <c r="A9" s="276" t="s">
        <v>265</v>
      </c>
      <c r="B9" s="276"/>
      <c r="C9" s="287" t="s">
        <v>266</v>
      </c>
      <c r="D9" s="287"/>
      <c r="E9" s="287"/>
      <c r="F9" s="112"/>
      <c r="G9" s="112"/>
      <c r="H9" s="112"/>
      <c r="I9" s="112"/>
      <c r="J9" s="112"/>
      <c r="K9" s="112"/>
      <c r="L9" s="112"/>
      <c r="M9" s="112"/>
      <c r="N9" s="111"/>
    </row>
    <row r="10" spans="1:14" s="109" customFormat="1" ht="21.6" customHeight="1">
      <c r="A10" s="276"/>
      <c r="B10" s="276"/>
      <c r="C10" s="287"/>
      <c r="D10" s="287"/>
      <c r="E10" s="287"/>
      <c r="F10" s="112"/>
      <c r="G10" s="112"/>
      <c r="H10" s="112"/>
      <c r="I10" s="112"/>
      <c r="J10" s="112"/>
      <c r="K10" s="112"/>
      <c r="L10" s="112"/>
      <c r="M10" s="112"/>
      <c r="N10" s="111"/>
    </row>
    <row r="11" spans="1:14" s="109" customFormat="1" ht="21.6" customHeight="1">
      <c r="A11" s="276" t="s">
        <v>267</v>
      </c>
      <c r="B11" s="276"/>
      <c r="C11" s="287" t="s">
        <v>268</v>
      </c>
      <c r="D11" s="287"/>
      <c r="E11" s="287"/>
      <c r="F11" s="112"/>
      <c r="G11" s="112"/>
      <c r="H11" s="112"/>
      <c r="I11" s="112"/>
      <c r="J11" s="112"/>
      <c r="K11" s="112"/>
      <c r="L11" s="112"/>
      <c r="M11" s="112"/>
      <c r="N11" s="111"/>
    </row>
    <row r="12" spans="1:14" s="109" customFormat="1" ht="21.6" customHeight="1">
      <c r="A12" s="276"/>
      <c r="B12" s="276"/>
      <c r="C12" s="287"/>
      <c r="D12" s="287"/>
      <c r="E12" s="287"/>
      <c r="F12" s="111"/>
      <c r="G12" s="111"/>
      <c r="H12" s="111"/>
      <c r="I12" s="111"/>
      <c r="J12" s="111"/>
      <c r="K12" s="111"/>
      <c r="L12" s="111"/>
      <c r="M12" s="111"/>
      <c r="N12" s="111"/>
    </row>
    <row r="13" spans="1:14" s="109" customFormat="1" ht="21.6" customHeight="1">
      <c r="A13" s="276" t="s">
        <v>269</v>
      </c>
      <c r="B13" s="276"/>
      <c r="C13" s="287" t="s">
        <v>270</v>
      </c>
      <c r="D13" s="287"/>
      <c r="E13" s="287"/>
      <c r="F13" s="111"/>
      <c r="G13" s="111"/>
      <c r="H13" s="111"/>
      <c r="I13" s="111"/>
      <c r="J13" s="111"/>
      <c r="K13" s="111"/>
      <c r="L13" s="111"/>
      <c r="M13" s="111"/>
      <c r="N13" s="111"/>
    </row>
    <row r="14" spans="1:14" s="109" customFormat="1" ht="21.6" customHeight="1">
      <c r="A14" s="276"/>
      <c r="B14" s="276"/>
      <c r="C14" s="287"/>
      <c r="D14" s="287"/>
      <c r="E14" s="287"/>
      <c r="F14" s="111"/>
      <c r="G14" s="111"/>
      <c r="H14" s="111"/>
      <c r="I14" s="111"/>
      <c r="J14" s="111"/>
      <c r="K14" s="111"/>
      <c r="L14" s="111"/>
      <c r="M14" s="111"/>
      <c r="N14" s="111"/>
    </row>
    <row r="15" spans="1:14" s="109" customFormat="1" ht="17.25">
      <c r="A15" s="111"/>
      <c r="B15" s="111"/>
      <c r="C15" s="111"/>
      <c r="D15" s="111"/>
      <c r="E15" s="111"/>
      <c r="F15" s="111"/>
      <c r="G15" s="111"/>
      <c r="H15" s="111"/>
      <c r="I15" s="111"/>
      <c r="J15" s="111"/>
      <c r="K15" s="111"/>
      <c r="L15" s="111"/>
      <c r="M15" s="111"/>
      <c r="N15" s="111"/>
    </row>
    <row r="16" spans="1:14" s="109" customFormat="1" ht="17.25">
      <c r="A16" s="113" t="s">
        <v>271</v>
      </c>
      <c r="B16" s="113"/>
      <c r="C16" s="113"/>
      <c r="D16" s="113"/>
      <c r="E16" s="111"/>
      <c r="F16" s="111"/>
      <c r="G16" s="111"/>
      <c r="H16" s="111"/>
      <c r="I16" s="111"/>
      <c r="J16" s="111"/>
      <c r="K16" s="111"/>
      <c r="L16" s="111"/>
      <c r="M16" s="111"/>
      <c r="N16" s="111"/>
    </row>
    <row r="17" spans="1:14" s="109" customFormat="1" ht="17.25">
      <c r="A17" s="283" t="s">
        <v>272</v>
      </c>
      <c r="B17" s="283"/>
      <c r="C17" s="283"/>
      <c r="D17" s="283"/>
      <c r="E17" s="283"/>
      <c r="F17" s="283"/>
      <c r="G17" s="283"/>
      <c r="H17" s="283"/>
      <c r="I17" s="283"/>
      <c r="J17" s="283"/>
      <c r="K17" s="283"/>
      <c r="L17" s="283"/>
      <c r="M17" s="283"/>
      <c r="N17" s="283"/>
    </row>
    <row r="18" spans="1:14" s="109" customFormat="1" ht="17.25">
      <c r="A18" s="114" t="s">
        <v>273</v>
      </c>
      <c r="B18" s="115" t="s">
        <v>274</v>
      </c>
      <c r="C18" s="278" t="s">
        <v>275</v>
      </c>
      <c r="D18" s="278"/>
      <c r="E18" s="278"/>
      <c r="M18" s="111"/>
      <c r="N18" s="111"/>
    </row>
    <row r="19" spans="1:14" s="109" customFormat="1" ht="17.25">
      <c r="A19" s="280" t="s">
        <v>276</v>
      </c>
      <c r="B19" s="116">
        <v>5</v>
      </c>
      <c r="C19" s="279" t="s">
        <v>277</v>
      </c>
      <c r="D19" s="279"/>
      <c r="E19" s="279"/>
      <c r="M19" s="111"/>
      <c r="N19" s="111"/>
    </row>
    <row r="20" spans="1:14" s="109" customFormat="1" ht="17.25">
      <c r="A20" s="281"/>
      <c r="B20" s="116">
        <v>4</v>
      </c>
      <c r="C20" s="279" t="s">
        <v>278</v>
      </c>
      <c r="D20" s="279"/>
      <c r="E20" s="279"/>
      <c r="M20" s="111"/>
      <c r="N20" s="111"/>
    </row>
    <row r="21" spans="1:14" s="109" customFormat="1" ht="17.25">
      <c r="A21" s="281"/>
      <c r="B21" s="116">
        <v>3</v>
      </c>
      <c r="C21" s="279" t="s">
        <v>279</v>
      </c>
      <c r="D21" s="279"/>
      <c r="E21" s="279"/>
      <c r="M21" s="111"/>
      <c r="N21" s="111"/>
    </row>
    <row r="22" spans="1:14" s="109" customFormat="1" ht="17.25">
      <c r="A22" s="281"/>
      <c r="B22" s="116">
        <v>2</v>
      </c>
      <c r="C22" s="279" t="s">
        <v>280</v>
      </c>
      <c r="D22" s="279"/>
      <c r="E22" s="279"/>
      <c r="M22" s="111"/>
      <c r="N22" s="111"/>
    </row>
    <row r="23" spans="1:14" s="109" customFormat="1" ht="17.25">
      <c r="A23" s="282"/>
      <c r="B23" s="116">
        <v>1</v>
      </c>
      <c r="C23" s="279" t="s">
        <v>281</v>
      </c>
      <c r="D23" s="279"/>
      <c r="E23" s="279"/>
      <c r="M23" s="111"/>
      <c r="N23" s="111"/>
    </row>
    <row r="24" spans="1:14" s="109" customFormat="1" ht="15.6" customHeight="1">
      <c r="A24" s="284" t="s">
        <v>282</v>
      </c>
      <c r="B24" s="116">
        <v>5</v>
      </c>
      <c r="C24" s="279" t="s">
        <v>283</v>
      </c>
      <c r="D24" s="279"/>
      <c r="E24" s="279"/>
      <c r="M24" s="111"/>
      <c r="N24" s="111"/>
    </row>
    <row r="25" spans="1:14" s="109" customFormat="1" ht="17.25">
      <c r="A25" s="285"/>
      <c r="B25" s="116">
        <v>4</v>
      </c>
      <c r="C25" s="279" t="s">
        <v>284</v>
      </c>
      <c r="D25" s="279"/>
      <c r="E25" s="279"/>
      <c r="M25" s="111"/>
      <c r="N25" s="111"/>
    </row>
    <row r="26" spans="1:14" s="109" customFormat="1" ht="17.25">
      <c r="A26" s="285"/>
      <c r="B26" s="116">
        <v>3</v>
      </c>
      <c r="C26" s="279" t="s">
        <v>285</v>
      </c>
      <c r="D26" s="279"/>
      <c r="E26" s="279"/>
      <c r="M26" s="111"/>
      <c r="N26" s="111"/>
    </row>
    <row r="27" spans="1:14" s="109" customFormat="1" ht="17.25">
      <c r="A27" s="285"/>
      <c r="B27" s="116">
        <v>2</v>
      </c>
      <c r="C27" s="279" t="s">
        <v>286</v>
      </c>
      <c r="D27" s="279"/>
      <c r="E27" s="279"/>
      <c r="M27" s="111"/>
      <c r="N27" s="111"/>
    </row>
    <row r="28" spans="1:14" s="109" customFormat="1" ht="17.25">
      <c r="A28" s="286"/>
      <c r="B28" s="116">
        <v>1</v>
      </c>
      <c r="C28" s="279" t="s">
        <v>287</v>
      </c>
      <c r="D28" s="279"/>
      <c r="E28" s="279"/>
      <c r="M28" s="111"/>
      <c r="N28" s="111"/>
    </row>
    <row r="29" spans="1:14" s="109" customFormat="1" ht="17.25">
      <c r="A29" s="280" t="s">
        <v>288</v>
      </c>
      <c r="B29" s="116">
        <v>5</v>
      </c>
      <c r="C29" s="279" t="s">
        <v>289</v>
      </c>
      <c r="D29" s="279"/>
      <c r="E29" s="279"/>
      <c r="M29" s="111"/>
      <c r="N29" s="111"/>
    </row>
    <row r="30" spans="1:14" s="109" customFormat="1" ht="17.25">
      <c r="A30" s="281"/>
      <c r="B30" s="116">
        <v>4</v>
      </c>
      <c r="C30" s="279" t="s">
        <v>290</v>
      </c>
      <c r="D30" s="279"/>
      <c r="E30" s="279"/>
      <c r="M30" s="111"/>
      <c r="N30" s="111"/>
    </row>
    <row r="31" spans="1:14" s="109" customFormat="1" ht="17.25">
      <c r="A31" s="281"/>
      <c r="B31" s="116">
        <v>3</v>
      </c>
      <c r="C31" s="279" t="s">
        <v>291</v>
      </c>
      <c r="D31" s="279"/>
      <c r="E31" s="279"/>
      <c r="M31" s="111"/>
      <c r="N31" s="111"/>
    </row>
    <row r="32" spans="1:14" s="109" customFormat="1" ht="17.25">
      <c r="A32" s="281"/>
      <c r="B32" s="116">
        <v>2</v>
      </c>
      <c r="C32" s="279" t="s">
        <v>292</v>
      </c>
      <c r="D32" s="279"/>
      <c r="E32" s="279"/>
      <c r="M32" s="111"/>
      <c r="N32" s="111"/>
    </row>
    <row r="33" spans="1:14" s="109" customFormat="1" ht="17.25">
      <c r="A33" s="282"/>
      <c r="B33" s="116">
        <v>1</v>
      </c>
      <c r="C33" s="279" t="s">
        <v>293</v>
      </c>
      <c r="D33" s="279"/>
      <c r="E33" s="279"/>
      <c r="M33" s="111"/>
      <c r="N33" s="111"/>
    </row>
    <row r="34" spans="1:14" s="109" customFormat="1" ht="17.25">
      <c r="A34" s="111"/>
      <c r="B34" s="111"/>
      <c r="C34" s="117"/>
      <c r="D34" s="118"/>
      <c r="E34" s="119"/>
      <c r="F34" s="119"/>
      <c r="G34" s="119"/>
      <c r="H34" s="119"/>
      <c r="I34" s="119"/>
      <c r="J34" s="119"/>
      <c r="K34" s="119"/>
      <c r="L34" s="119"/>
      <c r="M34" s="111"/>
      <c r="N34" s="111"/>
    </row>
    <row r="35" spans="1:14" s="109" customFormat="1" ht="17.25">
      <c r="A35" s="113" t="s">
        <v>294</v>
      </c>
      <c r="B35" s="111"/>
      <c r="C35" s="111"/>
      <c r="D35" s="111"/>
      <c r="E35" s="111"/>
      <c r="F35" s="111"/>
      <c r="G35" s="111"/>
      <c r="H35" s="111"/>
      <c r="I35" s="111"/>
      <c r="J35" s="111"/>
      <c r="K35" s="111"/>
      <c r="L35" s="111"/>
      <c r="M35" s="111"/>
      <c r="N35" s="111"/>
    </row>
    <row r="36" spans="1:14" s="109" customFormat="1" ht="17.25">
      <c r="A36" s="283" t="s">
        <v>295</v>
      </c>
      <c r="B36" s="283"/>
      <c r="C36" s="283"/>
      <c r="D36" s="283"/>
      <c r="E36" s="283"/>
      <c r="F36" s="283"/>
      <c r="G36" s="283"/>
      <c r="H36" s="283"/>
      <c r="I36" s="283"/>
      <c r="J36" s="283"/>
      <c r="K36" s="283"/>
      <c r="L36" s="283"/>
      <c r="M36" s="283"/>
      <c r="N36" s="283"/>
    </row>
    <row r="37" spans="1:14" s="109" customFormat="1" ht="15.6" customHeight="1">
      <c r="A37" s="278" t="s">
        <v>296</v>
      </c>
      <c r="B37" s="278" t="s">
        <v>297</v>
      </c>
      <c r="C37" s="278"/>
      <c r="D37" s="278" t="s">
        <v>298</v>
      </c>
      <c r="E37" s="278"/>
      <c r="M37" s="111"/>
      <c r="N37" s="111"/>
    </row>
    <row r="38" spans="1:14" s="109" customFormat="1" ht="17.25">
      <c r="A38" s="120" t="s">
        <v>299</v>
      </c>
      <c r="B38" s="121" t="s">
        <v>325</v>
      </c>
      <c r="C38" s="121" t="s">
        <v>300</v>
      </c>
      <c r="D38" s="279" t="s">
        <v>301</v>
      </c>
      <c r="E38" s="279"/>
      <c r="M38" s="111"/>
      <c r="N38" s="111"/>
    </row>
    <row r="39" spans="1:14" s="109" customFormat="1" ht="17.25">
      <c r="A39" s="120" t="s">
        <v>302</v>
      </c>
      <c r="B39" s="121" t="s">
        <v>303</v>
      </c>
      <c r="C39" s="121" t="s">
        <v>304</v>
      </c>
      <c r="D39" s="279" t="s">
        <v>305</v>
      </c>
      <c r="E39" s="279"/>
      <c r="M39" s="111"/>
      <c r="N39" s="111"/>
    </row>
    <row r="40" spans="1:14" s="109" customFormat="1" ht="17.25">
      <c r="A40" s="120" t="s">
        <v>306</v>
      </c>
      <c r="B40" s="121" t="s">
        <v>307</v>
      </c>
      <c r="C40" s="121" t="s">
        <v>308</v>
      </c>
      <c r="D40" s="279" t="s">
        <v>309</v>
      </c>
      <c r="E40" s="279"/>
      <c r="M40" s="111"/>
      <c r="N40" s="111"/>
    </row>
    <row r="41" spans="1:14" s="109" customFormat="1" ht="17.25">
      <c r="A41" s="111"/>
      <c r="B41" s="111"/>
      <c r="C41" s="111"/>
      <c r="D41" s="111"/>
      <c r="E41" s="111"/>
      <c r="F41" s="111"/>
      <c r="G41" s="111"/>
      <c r="H41" s="111"/>
      <c r="I41" s="111"/>
      <c r="J41" s="111"/>
      <c r="K41" s="111"/>
      <c r="L41" s="111"/>
      <c r="M41" s="111"/>
      <c r="N41" s="111"/>
    </row>
    <row r="42" spans="1:14" s="109" customFormat="1" ht="17.25">
      <c r="A42" s="113" t="s">
        <v>310</v>
      </c>
      <c r="B42" s="111"/>
      <c r="C42" s="111"/>
      <c r="D42" s="111"/>
      <c r="E42" s="111"/>
      <c r="F42" s="111"/>
      <c r="G42" s="111"/>
      <c r="H42" s="111"/>
      <c r="I42" s="111"/>
      <c r="J42" s="111"/>
      <c r="K42" s="111"/>
      <c r="L42" s="111"/>
      <c r="M42" s="111"/>
      <c r="N42" s="111"/>
    </row>
    <row r="43" spans="1:14" s="109" customFormat="1" ht="17.25">
      <c r="A43" s="111" t="s">
        <v>311</v>
      </c>
      <c r="B43" s="111"/>
      <c r="C43" s="111"/>
      <c r="D43" s="111"/>
      <c r="E43" s="111"/>
      <c r="F43" s="111"/>
      <c r="G43" s="111"/>
      <c r="H43" s="111"/>
      <c r="I43" s="111"/>
      <c r="J43" s="111"/>
      <c r="K43" s="111"/>
      <c r="L43" s="111"/>
      <c r="M43" s="111"/>
      <c r="N43" s="111"/>
    </row>
    <row r="44" spans="1:14" s="109" customFormat="1" ht="17.25">
      <c r="A44" s="278" t="s">
        <v>0</v>
      </c>
      <c r="B44" s="278"/>
      <c r="C44" s="278" t="s">
        <v>262</v>
      </c>
      <c r="D44" s="278"/>
      <c r="E44" s="278"/>
      <c r="F44" s="122"/>
      <c r="G44" s="122"/>
      <c r="H44" s="122"/>
      <c r="I44" s="122"/>
      <c r="J44" s="122"/>
      <c r="K44" s="122"/>
      <c r="L44" s="122"/>
      <c r="M44" s="122"/>
      <c r="N44" s="111"/>
    </row>
    <row r="45" spans="1:14" s="109" customFormat="1" ht="32.450000000000003" customHeight="1">
      <c r="A45" s="276" t="s">
        <v>312</v>
      </c>
      <c r="B45" s="276"/>
      <c r="C45" s="277" t="s">
        <v>313</v>
      </c>
      <c r="D45" s="277"/>
      <c r="E45" s="277"/>
      <c r="F45" s="122"/>
      <c r="G45" s="122"/>
      <c r="H45" s="122"/>
      <c r="I45" s="122"/>
      <c r="J45" s="122"/>
      <c r="K45" s="122"/>
      <c r="L45" s="122"/>
      <c r="M45" s="122"/>
      <c r="N45" s="111"/>
    </row>
    <row r="46" spans="1:14" s="109" customFormat="1" ht="32.450000000000003" customHeight="1">
      <c r="A46" s="276" t="s">
        <v>314</v>
      </c>
      <c r="B46" s="276"/>
      <c r="C46" s="277" t="s">
        <v>315</v>
      </c>
      <c r="D46" s="277"/>
      <c r="E46" s="277"/>
      <c r="F46" s="122"/>
      <c r="G46" s="122"/>
      <c r="H46" s="122"/>
      <c r="I46" s="122"/>
      <c r="J46" s="122"/>
      <c r="K46" s="122"/>
      <c r="L46" s="122"/>
      <c r="M46" s="122"/>
      <c r="N46" s="111"/>
    </row>
    <row r="47" spans="1:14" s="109" customFormat="1" ht="17.25">
      <c r="A47" s="111"/>
      <c r="B47" s="111"/>
      <c r="C47" s="111"/>
      <c r="D47" s="111"/>
      <c r="E47" s="111"/>
      <c r="F47" s="111"/>
      <c r="G47" s="111"/>
      <c r="H47" s="111"/>
      <c r="I47" s="111"/>
      <c r="J47" s="111"/>
      <c r="K47" s="111"/>
      <c r="L47" s="111"/>
      <c r="M47" s="111"/>
      <c r="N47" s="111"/>
    </row>
    <row r="48" spans="1:14" s="109" customFormat="1" ht="17.25">
      <c r="A48" s="113" t="s">
        <v>316</v>
      </c>
      <c r="B48" s="111"/>
      <c r="C48" s="111"/>
      <c r="D48" s="111"/>
      <c r="E48" s="111"/>
      <c r="F48" s="111"/>
      <c r="G48" s="111"/>
      <c r="H48" s="111"/>
      <c r="I48" s="111"/>
      <c r="J48" s="111"/>
      <c r="K48" s="111"/>
      <c r="L48" s="111"/>
      <c r="M48" s="111"/>
      <c r="N48" s="111"/>
    </row>
    <row r="49" spans="1:14" s="109" customFormat="1" ht="17.25">
      <c r="A49" s="111" t="s">
        <v>317</v>
      </c>
      <c r="B49" s="111"/>
      <c r="C49" s="111"/>
      <c r="D49" s="111"/>
      <c r="E49" s="111"/>
      <c r="F49" s="111"/>
      <c r="G49" s="111"/>
      <c r="H49" s="111"/>
      <c r="I49" s="111"/>
      <c r="J49" s="111"/>
      <c r="K49" s="111"/>
      <c r="L49" s="111"/>
      <c r="M49" s="111"/>
      <c r="N49" s="111"/>
    </row>
    <row r="50" spans="1:14" s="109" customFormat="1" ht="17.25">
      <c r="A50" s="278" t="s">
        <v>0</v>
      </c>
      <c r="B50" s="278"/>
      <c r="C50" s="278" t="s">
        <v>262</v>
      </c>
      <c r="D50" s="278"/>
      <c r="E50" s="278"/>
      <c r="F50" s="122"/>
      <c r="G50" s="122"/>
      <c r="H50" s="122"/>
      <c r="I50" s="122"/>
      <c r="J50" s="122"/>
      <c r="K50" s="122"/>
      <c r="L50" s="122"/>
      <c r="M50" s="122"/>
      <c r="N50" s="111"/>
    </row>
    <row r="51" spans="1:14" s="109" customFormat="1" ht="31.9" customHeight="1">
      <c r="A51" s="276" t="s">
        <v>318</v>
      </c>
      <c r="B51" s="276"/>
      <c r="C51" s="277" t="s">
        <v>319</v>
      </c>
      <c r="D51" s="277"/>
      <c r="E51" s="277"/>
      <c r="F51" s="122"/>
      <c r="G51" s="122"/>
      <c r="H51" s="122"/>
      <c r="I51" s="122"/>
      <c r="J51" s="122"/>
      <c r="K51" s="122"/>
      <c r="L51" s="122"/>
      <c r="M51" s="122"/>
      <c r="N51" s="111"/>
    </row>
    <row r="52" spans="1:14" s="109" customFormat="1" ht="31.9" customHeight="1">
      <c r="A52" s="276" t="s">
        <v>320</v>
      </c>
      <c r="B52" s="276"/>
      <c r="C52" s="277" t="s">
        <v>321</v>
      </c>
      <c r="D52" s="277"/>
      <c r="E52" s="277"/>
      <c r="F52" s="122"/>
      <c r="G52" s="122"/>
      <c r="H52" s="122"/>
      <c r="I52" s="122"/>
      <c r="J52" s="122"/>
      <c r="K52" s="122"/>
      <c r="L52" s="122"/>
      <c r="M52" s="122"/>
      <c r="N52" s="111"/>
    </row>
    <row r="53" spans="1:14" s="109" customFormat="1" ht="31.9" customHeight="1">
      <c r="A53" s="276" t="s">
        <v>322</v>
      </c>
      <c r="B53" s="276"/>
      <c r="C53" s="277" t="s">
        <v>323</v>
      </c>
      <c r="D53" s="277"/>
      <c r="E53" s="277"/>
      <c r="F53" s="122"/>
      <c r="G53" s="122"/>
      <c r="H53" s="122"/>
      <c r="I53" s="122"/>
      <c r="J53" s="122"/>
      <c r="K53" s="122"/>
      <c r="L53" s="122"/>
      <c r="M53" s="122"/>
      <c r="N53" s="111"/>
    </row>
    <row r="54" spans="1:14" s="109" customFormat="1" ht="17.25">
      <c r="A54" s="123"/>
      <c r="B54" s="123"/>
      <c r="C54" s="123"/>
      <c r="D54" s="123"/>
      <c r="E54" s="123"/>
      <c r="F54" s="123"/>
      <c r="G54" s="123"/>
      <c r="H54" s="123"/>
      <c r="I54" s="123"/>
      <c r="J54" s="123"/>
      <c r="K54" s="123"/>
      <c r="L54" s="123"/>
      <c r="M54" s="123"/>
      <c r="N54" s="123"/>
    </row>
  </sheetData>
  <mergeCells count="52">
    <mergeCell ref="A1:D1"/>
    <mergeCell ref="A3:E4"/>
    <mergeCell ref="A6:B6"/>
    <mergeCell ref="C6:E6"/>
    <mergeCell ref="A7:B8"/>
    <mergeCell ref="C7:E8"/>
    <mergeCell ref="A9:B10"/>
    <mergeCell ref="C9:E10"/>
    <mergeCell ref="A11:B12"/>
    <mergeCell ref="C11:E12"/>
    <mergeCell ref="A13:B14"/>
    <mergeCell ref="C13:E14"/>
    <mergeCell ref="A17:N17"/>
    <mergeCell ref="C18:E18"/>
    <mergeCell ref="A19:A23"/>
    <mergeCell ref="C19:E19"/>
    <mergeCell ref="C20:E20"/>
    <mergeCell ref="C21:E21"/>
    <mergeCell ref="C22:E22"/>
    <mergeCell ref="C23:E23"/>
    <mergeCell ref="A24:A28"/>
    <mergeCell ref="C24:E24"/>
    <mergeCell ref="C25:E25"/>
    <mergeCell ref="C26:E26"/>
    <mergeCell ref="C27:E27"/>
    <mergeCell ref="C28:E28"/>
    <mergeCell ref="D40:E40"/>
    <mergeCell ref="A29:A33"/>
    <mergeCell ref="C29:E29"/>
    <mergeCell ref="C30:E30"/>
    <mergeCell ref="C31:E31"/>
    <mergeCell ref="C32:E32"/>
    <mergeCell ref="C33:E33"/>
    <mergeCell ref="A36:N36"/>
    <mergeCell ref="A37:C37"/>
    <mergeCell ref="D37:E37"/>
    <mergeCell ref="D38:E38"/>
    <mergeCell ref="D39:E39"/>
    <mergeCell ref="A44:B44"/>
    <mergeCell ref="C44:E44"/>
    <mergeCell ref="A45:B45"/>
    <mergeCell ref="C45:E45"/>
    <mergeCell ref="A46:B46"/>
    <mergeCell ref="C46:E46"/>
    <mergeCell ref="A53:B53"/>
    <mergeCell ref="C53:E53"/>
    <mergeCell ref="A50:B50"/>
    <mergeCell ref="C50:E50"/>
    <mergeCell ref="A51:B51"/>
    <mergeCell ref="C51:E51"/>
    <mergeCell ref="A52:B52"/>
    <mergeCell ref="C52:E52"/>
  </mergeCells>
  <phoneticPr fontId="7" type="noConversion"/>
  <printOptions horizontalCentered="1"/>
  <pageMargins left="0.15748031496062992" right="0.15748031496062992" top="0.86614173228346458" bottom="0.86614173228346458" header="0.39370078740157483" footer="0.39370078740157483"/>
  <pageSetup paperSize="9" scale="43" orientation="landscape" r:id="rId1"/>
  <headerFooter>
    <oddFooter>&amp;C&amp;P/&amp;N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U55"/>
  <sheetViews>
    <sheetView view="pageBreakPreview" zoomScale="70" zoomScaleNormal="100" zoomScaleSheetLayoutView="70" workbookViewId="0"/>
  </sheetViews>
  <sheetFormatPr defaultColWidth="8.6640625" defaultRowHeight="0" customHeight="1" zeroHeight="1"/>
  <cols>
    <col min="1" max="1" width="2.5546875" style="19" customWidth="1"/>
    <col min="2" max="4" width="1.6640625" style="19" customWidth="1"/>
    <col min="5" max="5" width="13.88671875" style="19" customWidth="1"/>
    <col min="6" max="6" width="8.88671875" style="19" customWidth="1"/>
    <col min="7" max="12" width="10.5546875" style="19" customWidth="1"/>
    <col min="13" max="13" width="3.6640625" style="19" customWidth="1"/>
    <col min="14" max="15" width="6.109375" style="19" customWidth="1"/>
    <col min="16" max="16" width="6.44140625" style="19" customWidth="1"/>
    <col min="17" max="17" width="2.44140625" style="19" customWidth="1"/>
    <col min="18" max="16384" width="8.6640625" style="19"/>
  </cols>
  <sheetData>
    <row r="1" spans="2:21" ht="17.25">
      <c r="B1" s="32"/>
      <c r="C1" s="32"/>
      <c r="D1" s="32"/>
      <c r="E1" s="31"/>
      <c r="F1" s="31"/>
      <c r="G1" s="31"/>
      <c r="H1" s="31"/>
      <c r="I1" s="31"/>
      <c r="J1" s="31"/>
      <c r="K1" s="31"/>
    </row>
    <row r="2" spans="2:21" ht="16.5">
      <c r="B2" s="30" t="s">
        <v>154</v>
      </c>
      <c r="C2" s="30"/>
      <c r="D2" s="30"/>
      <c r="E2" s="30"/>
      <c r="F2" s="30"/>
      <c r="G2" s="30"/>
      <c r="H2" s="30"/>
      <c r="I2" s="30"/>
      <c r="J2" s="30"/>
      <c r="K2" s="30"/>
      <c r="L2" s="30"/>
      <c r="M2" s="30"/>
      <c r="N2" s="30"/>
      <c r="O2" s="30"/>
    </row>
    <row r="3" spans="2:21" ht="69" customHeight="1">
      <c r="B3" s="31"/>
      <c r="C3" s="319" t="s">
        <v>572</v>
      </c>
      <c r="D3" s="319"/>
      <c r="E3" s="319"/>
      <c r="F3" s="319"/>
      <c r="G3" s="319"/>
      <c r="H3" s="319"/>
      <c r="I3" s="319"/>
      <c r="J3" s="319"/>
      <c r="K3" s="319"/>
      <c r="L3" s="319"/>
      <c r="M3" s="66"/>
      <c r="N3" s="66"/>
      <c r="O3" s="66"/>
      <c r="P3" s="66"/>
    </row>
    <row r="4" spans="2:21" ht="16.5"/>
    <row r="5" spans="2:21" ht="20.100000000000001" customHeight="1">
      <c r="B5" s="30" t="s">
        <v>153</v>
      </c>
      <c r="C5" s="30"/>
      <c r="D5" s="30"/>
      <c r="E5" s="30"/>
      <c r="F5" s="30"/>
      <c r="G5" s="30"/>
      <c r="H5" s="30"/>
      <c r="I5" s="30"/>
      <c r="J5" s="30"/>
      <c r="K5" s="30"/>
      <c r="L5" s="30"/>
      <c r="M5" s="30"/>
      <c r="N5" s="30"/>
      <c r="O5" s="30"/>
    </row>
    <row r="6" spans="2:21" ht="20.100000000000001" customHeight="1">
      <c r="C6" s="30" t="s">
        <v>152</v>
      </c>
      <c r="D6" s="30"/>
      <c r="E6" s="30"/>
      <c r="F6" s="30"/>
      <c r="G6" s="30"/>
      <c r="H6" s="30"/>
      <c r="I6" s="30"/>
      <c r="J6" s="30"/>
      <c r="K6" s="30"/>
      <c r="L6" s="30"/>
      <c r="M6" s="30"/>
      <c r="N6" s="30"/>
      <c r="O6" s="30"/>
    </row>
    <row r="7" spans="2:21" ht="20.100000000000001" customHeight="1" thickBot="1">
      <c r="D7" s="30" t="s">
        <v>151</v>
      </c>
      <c r="E7" s="30"/>
      <c r="F7" s="30"/>
      <c r="G7" s="30"/>
      <c r="H7" s="30"/>
      <c r="I7" s="30"/>
      <c r="J7" s="30"/>
      <c r="K7" s="30"/>
      <c r="L7" s="30"/>
      <c r="M7" s="30"/>
      <c r="N7" s="30"/>
      <c r="O7" s="30"/>
    </row>
    <row r="8" spans="2:21" ht="20.100000000000001" customHeight="1">
      <c r="D8" s="307" t="s">
        <v>150</v>
      </c>
      <c r="E8" s="308"/>
      <c r="F8" s="308"/>
      <c r="G8" s="308" t="s">
        <v>149</v>
      </c>
      <c r="H8" s="308"/>
      <c r="I8" s="308"/>
      <c r="J8" s="308"/>
      <c r="K8" s="308"/>
      <c r="L8" s="309"/>
      <c r="O8" s="30"/>
    </row>
    <row r="9" spans="2:21" ht="20.100000000000001" customHeight="1">
      <c r="D9" s="320"/>
      <c r="E9" s="321"/>
      <c r="F9" s="321"/>
      <c r="G9" s="321" t="s">
        <v>148</v>
      </c>
      <c r="H9" s="321"/>
      <c r="I9" s="321" t="s">
        <v>147</v>
      </c>
      <c r="J9" s="321"/>
      <c r="K9" s="321" t="s">
        <v>146</v>
      </c>
      <c r="L9" s="322"/>
      <c r="O9" s="30"/>
    </row>
    <row r="10" spans="2:21" ht="30" customHeight="1">
      <c r="B10" s="21"/>
      <c r="C10" s="21"/>
      <c r="D10" s="302" t="s">
        <v>145</v>
      </c>
      <c r="E10" s="303"/>
      <c r="F10" s="303"/>
      <c r="G10" s="298" t="s">
        <v>238</v>
      </c>
      <c r="H10" s="298"/>
      <c r="I10" s="298" t="s">
        <v>239</v>
      </c>
      <c r="J10" s="298"/>
      <c r="K10" s="298" t="s">
        <v>240</v>
      </c>
      <c r="L10" s="299"/>
      <c r="N10" s="21"/>
      <c r="O10" s="30"/>
      <c r="S10" s="21"/>
      <c r="T10" s="21"/>
      <c r="U10" s="21"/>
    </row>
    <row r="11" spans="2:21" ht="30" customHeight="1" thickBot="1">
      <c r="B11" s="21"/>
      <c r="C11" s="20"/>
      <c r="D11" s="304" t="s">
        <v>144</v>
      </c>
      <c r="E11" s="305"/>
      <c r="F11" s="305"/>
      <c r="G11" s="300" t="s">
        <v>143</v>
      </c>
      <c r="H11" s="300"/>
      <c r="I11" s="300" t="s">
        <v>143</v>
      </c>
      <c r="J11" s="300"/>
      <c r="K11" s="300" t="s">
        <v>143</v>
      </c>
      <c r="L11" s="301"/>
      <c r="O11" s="21"/>
    </row>
    <row r="12" spans="2:21" ht="16.5">
      <c r="B12" s="21"/>
      <c r="O12" s="21"/>
    </row>
    <row r="13" spans="2:21" ht="20.100000000000001" customHeight="1" thickBot="1">
      <c r="B13" s="21"/>
      <c r="D13" s="306" t="s">
        <v>142</v>
      </c>
      <c r="E13" s="306"/>
      <c r="F13" s="306"/>
      <c r="G13" s="306"/>
      <c r="H13" s="306"/>
      <c r="I13" s="306"/>
    </row>
    <row r="14" spans="2:21" ht="25.15" customHeight="1">
      <c r="B14" s="21"/>
      <c r="D14" s="24"/>
      <c r="E14" s="23" t="s">
        <v>31</v>
      </c>
      <c r="F14" s="23"/>
      <c r="G14" s="23"/>
      <c r="H14" s="23"/>
      <c r="I14" s="23"/>
      <c r="J14" s="23"/>
      <c r="K14" s="23"/>
      <c r="L14" s="29"/>
      <c r="M14" s="20"/>
      <c r="N14" s="20"/>
      <c r="O14" s="20"/>
      <c r="T14" s="21"/>
      <c r="U14" s="21"/>
    </row>
    <row r="15" spans="2:21" ht="31.5" customHeight="1">
      <c r="B15" s="21"/>
      <c r="D15" s="28"/>
      <c r="E15" s="20" t="s">
        <v>32</v>
      </c>
      <c r="F15" s="20"/>
      <c r="G15" s="20"/>
      <c r="H15" s="20"/>
      <c r="I15" s="20"/>
      <c r="J15" s="20"/>
      <c r="K15" s="20"/>
      <c r="L15" s="27"/>
      <c r="M15" s="20"/>
      <c r="N15" s="20"/>
      <c r="O15" s="20"/>
      <c r="T15" s="21"/>
      <c r="U15" s="21"/>
    </row>
    <row r="16" spans="2:21" ht="31.15" customHeight="1">
      <c r="B16" s="21"/>
      <c r="D16" s="28"/>
      <c r="E16" s="20" t="s">
        <v>141</v>
      </c>
      <c r="F16" s="20"/>
      <c r="G16" s="20"/>
      <c r="H16" s="20"/>
      <c r="I16" s="20"/>
      <c r="J16" s="20"/>
      <c r="K16" s="20"/>
      <c r="L16" s="27"/>
      <c r="M16" s="20"/>
      <c r="N16" s="20"/>
      <c r="O16" s="20"/>
      <c r="T16" s="21"/>
      <c r="U16" s="21"/>
    </row>
    <row r="17" spans="2:21" ht="26.65" customHeight="1">
      <c r="B17" s="21"/>
      <c r="D17" s="28"/>
      <c r="E17" s="20" t="s">
        <v>34</v>
      </c>
      <c r="F17" s="20"/>
      <c r="G17" s="20"/>
      <c r="H17" s="20"/>
      <c r="I17" s="20"/>
      <c r="J17" s="20"/>
      <c r="K17" s="20"/>
      <c r="L17" s="27"/>
      <c r="M17" s="20"/>
      <c r="N17" s="20"/>
      <c r="O17" s="20"/>
      <c r="T17" s="21"/>
      <c r="U17" s="21"/>
    </row>
    <row r="18" spans="2:21" ht="33.6" customHeight="1">
      <c r="B18" s="21"/>
      <c r="D18" s="28"/>
      <c r="E18" s="20" t="s">
        <v>35</v>
      </c>
      <c r="F18" s="20"/>
      <c r="G18" s="20"/>
      <c r="H18" s="20"/>
      <c r="I18" s="20"/>
      <c r="J18" s="20"/>
      <c r="K18" s="20"/>
      <c r="L18" s="27"/>
      <c r="M18" s="20"/>
      <c r="N18" s="20"/>
      <c r="O18" s="20"/>
      <c r="T18" s="21"/>
      <c r="U18" s="21"/>
    </row>
    <row r="19" spans="2:21" ht="31.5" customHeight="1" thickBot="1">
      <c r="B19" s="21"/>
      <c r="D19" s="26"/>
      <c r="E19" s="22" t="s">
        <v>33</v>
      </c>
      <c r="F19" s="22"/>
      <c r="G19" s="22"/>
      <c r="H19" s="22"/>
      <c r="I19" s="22"/>
      <c r="J19" s="22"/>
      <c r="K19" s="22"/>
      <c r="L19" s="25"/>
      <c r="M19" s="20"/>
      <c r="N19" s="20"/>
      <c r="O19" s="20"/>
    </row>
    <row r="20" spans="2:21" ht="16.5">
      <c r="B20" s="21"/>
      <c r="D20" s="21"/>
      <c r="E20" s="21"/>
      <c r="F20" s="21"/>
      <c r="G20" s="21"/>
      <c r="H20" s="21"/>
      <c r="I20" s="21"/>
    </row>
    <row r="21" spans="2:21" ht="20.100000000000001" customHeight="1">
      <c r="B21" s="21"/>
      <c r="C21" s="315" t="s">
        <v>164</v>
      </c>
      <c r="D21" s="315"/>
      <c r="E21" s="315"/>
      <c r="F21" s="315"/>
      <c r="G21" s="315"/>
      <c r="H21" s="315"/>
      <c r="I21" s="315"/>
      <c r="J21" s="315"/>
      <c r="K21" s="315"/>
      <c r="L21" s="315"/>
      <c r="M21" s="315"/>
      <c r="N21" s="315"/>
      <c r="O21" s="315"/>
    </row>
    <row r="22" spans="2:21" ht="20.100000000000001" customHeight="1" thickBot="1">
      <c r="B22" s="21"/>
      <c r="D22" s="70" t="s">
        <v>165</v>
      </c>
      <c r="E22" s="70"/>
      <c r="F22" s="70"/>
      <c r="G22" s="70"/>
      <c r="H22" s="70"/>
      <c r="I22" s="70"/>
      <c r="J22" s="70"/>
      <c r="K22" s="70"/>
      <c r="L22" s="70"/>
      <c r="M22" s="21"/>
      <c r="N22" s="21"/>
      <c r="O22" s="21"/>
      <c r="P22" s="21"/>
      <c r="Q22" s="21"/>
      <c r="R22" s="21"/>
      <c r="T22" s="21"/>
      <c r="U22" s="21"/>
    </row>
    <row r="23" spans="2:21" ht="20.100000000000001" customHeight="1">
      <c r="B23" s="21"/>
      <c r="D23" s="316" t="s">
        <v>2</v>
      </c>
      <c r="E23" s="317"/>
      <c r="F23" s="318"/>
      <c r="G23" s="308" t="s">
        <v>166</v>
      </c>
      <c r="H23" s="308"/>
      <c r="I23" s="308"/>
      <c r="J23" s="308" t="s">
        <v>167</v>
      </c>
      <c r="K23" s="308"/>
      <c r="L23" s="309"/>
      <c r="M23" s="21"/>
      <c r="N23" s="21"/>
      <c r="O23" s="21"/>
      <c r="P23" s="21"/>
      <c r="Q23" s="21"/>
      <c r="R23" s="21"/>
      <c r="T23" s="21"/>
      <c r="U23" s="21"/>
    </row>
    <row r="24" spans="2:21" ht="41.65" customHeight="1">
      <c r="B24" s="21"/>
      <c r="D24" s="302" t="s">
        <v>243</v>
      </c>
      <c r="E24" s="303"/>
      <c r="F24" s="100" t="s">
        <v>244</v>
      </c>
      <c r="G24" s="290" t="s">
        <v>245</v>
      </c>
      <c r="H24" s="291"/>
      <c r="I24" s="291"/>
      <c r="J24" s="291"/>
      <c r="K24" s="292"/>
      <c r="L24" s="101">
        <v>3</v>
      </c>
      <c r="M24" s="21"/>
      <c r="N24" s="21"/>
      <c r="O24" s="21"/>
      <c r="P24" s="21"/>
      <c r="Q24" s="21"/>
      <c r="R24" s="21"/>
      <c r="T24" s="21"/>
      <c r="U24" s="21"/>
    </row>
    <row r="25" spans="2:21" ht="48" customHeight="1">
      <c r="B25" s="21"/>
      <c r="D25" s="302"/>
      <c r="E25" s="303"/>
      <c r="F25" s="100" t="s">
        <v>246</v>
      </c>
      <c r="G25" s="290" t="s">
        <v>247</v>
      </c>
      <c r="H25" s="291"/>
      <c r="I25" s="291"/>
      <c r="J25" s="291"/>
      <c r="K25" s="292"/>
      <c r="L25" s="101">
        <v>2</v>
      </c>
      <c r="M25" s="21"/>
      <c r="N25" s="21"/>
      <c r="O25" s="21"/>
      <c r="P25" s="21"/>
      <c r="T25" s="21"/>
      <c r="U25" s="21"/>
    </row>
    <row r="26" spans="2:21" ht="26.65" customHeight="1" thickBot="1">
      <c r="B26" s="21"/>
      <c r="D26" s="304"/>
      <c r="E26" s="305"/>
      <c r="F26" s="98" t="s">
        <v>248</v>
      </c>
      <c r="G26" s="293" t="s">
        <v>249</v>
      </c>
      <c r="H26" s="294"/>
      <c r="I26" s="294"/>
      <c r="J26" s="294"/>
      <c r="K26" s="295"/>
      <c r="L26" s="99">
        <v>1</v>
      </c>
      <c r="M26" s="21"/>
      <c r="N26" s="21"/>
      <c r="O26" s="21"/>
      <c r="P26" s="21"/>
      <c r="T26" s="21"/>
      <c r="U26" s="21"/>
    </row>
    <row r="27" spans="2:21" ht="16.5">
      <c r="B27" s="21"/>
      <c r="D27" s="21"/>
      <c r="E27" s="21"/>
      <c r="F27" s="21"/>
      <c r="G27" s="21"/>
      <c r="H27" s="21"/>
      <c r="I27" s="21"/>
      <c r="J27" s="21"/>
      <c r="K27" s="21"/>
      <c r="L27" s="21"/>
      <c r="M27" s="21"/>
      <c r="N27" s="21"/>
      <c r="O27" s="21"/>
      <c r="P27" s="21"/>
      <c r="T27" s="21"/>
      <c r="U27" s="21"/>
    </row>
    <row r="28" spans="2:21" ht="20.100000000000001" customHeight="1" thickBot="1">
      <c r="B28" s="21"/>
      <c r="D28" s="306" t="s">
        <v>168</v>
      </c>
      <c r="E28" s="306"/>
      <c r="F28" s="306"/>
      <c r="G28" s="306"/>
      <c r="H28" s="306"/>
      <c r="I28" s="306"/>
      <c r="J28" s="306"/>
      <c r="K28" s="306"/>
      <c r="L28" s="306"/>
      <c r="M28" s="306"/>
      <c r="N28" s="306"/>
      <c r="O28" s="306"/>
      <c r="P28" s="21"/>
      <c r="T28" s="21"/>
      <c r="U28" s="21"/>
    </row>
    <row r="29" spans="2:21" ht="18" customHeight="1">
      <c r="B29" s="21"/>
      <c r="D29" s="307" t="s">
        <v>2</v>
      </c>
      <c r="E29" s="308"/>
      <c r="F29" s="308"/>
      <c r="G29" s="308"/>
      <c r="H29" s="308"/>
      <c r="I29" s="308" t="s">
        <v>169</v>
      </c>
      <c r="J29" s="308"/>
      <c r="K29" s="308"/>
      <c r="L29" s="309"/>
      <c r="T29" s="21"/>
      <c r="U29" s="21"/>
    </row>
    <row r="30" spans="2:21" ht="26.1" customHeight="1">
      <c r="B30" s="21"/>
      <c r="D30" s="302" t="s">
        <v>170</v>
      </c>
      <c r="E30" s="303"/>
      <c r="F30" s="303"/>
      <c r="G30" s="298" t="s">
        <v>171</v>
      </c>
      <c r="H30" s="298"/>
      <c r="I30" s="298" t="s">
        <v>172</v>
      </c>
      <c r="J30" s="298"/>
      <c r="K30" s="298"/>
      <c r="L30" s="299"/>
      <c r="T30" s="21"/>
      <c r="U30" s="21"/>
    </row>
    <row r="31" spans="2:21" ht="26.1" customHeight="1">
      <c r="B31" s="21"/>
      <c r="D31" s="302"/>
      <c r="E31" s="303"/>
      <c r="F31" s="303"/>
      <c r="G31" s="298" t="s">
        <v>173</v>
      </c>
      <c r="H31" s="298"/>
      <c r="I31" s="298" t="s">
        <v>174</v>
      </c>
      <c r="J31" s="298"/>
      <c r="K31" s="298"/>
      <c r="L31" s="299"/>
      <c r="T31" s="21"/>
      <c r="U31" s="21"/>
    </row>
    <row r="32" spans="2:21" ht="26.1" customHeight="1" thickBot="1">
      <c r="B32" s="21"/>
      <c r="D32" s="304"/>
      <c r="E32" s="305"/>
      <c r="F32" s="305"/>
      <c r="G32" s="300" t="s">
        <v>175</v>
      </c>
      <c r="H32" s="300"/>
      <c r="I32" s="300" t="s">
        <v>176</v>
      </c>
      <c r="J32" s="300"/>
      <c r="K32" s="300"/>
      <c r="L32" s="301"/>
      <c r="Q32" s="21"/>
      <c r="R32" s="21"/>
      <c r="S32" s="21"/>
      <c r="T32" s="21"/>
      <c r="U32" s="21"/>
    </row>
    <row r="33" spans="2:21" ht="22.5" customHeight="1" thickBot="1">
      <c r="B33" s="21"/>
      <c r="D33" s="21"/>
      <c r="E33" s="21"/>
      <c r="F33" s="21"/>
      <c r="G33" s="21"/>
      <c r="R33" s="21"/>
      <c r="S33" s="21"/>
      <c r="T33" s="21"/>
      <c r="U33" s="21"/>
    </row>
    <row r="34" spans="2:21" ht="38.1" customHeight="1">
      <c r="B34" s="21"/>
      <c r="D34" s="24"/>
      <c r="E34" s="296" t="s">
        <v>177</v>
      </c>
      <c r="F34" s="296"/>
      <c r="G34" s="296"/>
      <c r="H34" s="296"/>
      <c r="I34" s="71"/>
      <c r="J34" s="71"/>
      <c r="K34" s="71"/>
      <c r="L34" s="72"/>
      <c r="M34" s="21"/>
      <c r="R34" s="21"/>
      <c r="S34" s="21"/>
      <c r="T34" s="21"/>
      <c r="U34" s="21"/>
    </row>
    <row r="35" spans="2:21" ht="38.1" customHeight="1">
      <c r="B35" s="21"/>
      <c r="D35" s="28"/>
      <c r="E35" s="21" t="s">
        <v>250</v>
      </c>
      <c r="F35" s="20"/>
      <c r="G35" s="20"/>
      <c r="H35" s="20"/>
      <c r="I35" s="21"/>
      <c r="J35" s="21"/>
      <c r="K35" s="21"/>
      <c r="L35" s="74"/>
      <c r="M35" s="21"/>
      <c r="R35" s="21"/>
      <c r="S35" s="21"/>
      <c r="T35" s="21"/>
      <c r="U35" s="21"/>
    </row>
    <row r="36" spans="2:21" ht="44.1" customHeight="1">
      <c r="B36" s="21"/>
      <c r="D36" s="73"/>
      <c r="E36" s="21" t="s">
        <v>241</v>
      </c>
      <c r="F36" s="21"/>
      <c r="G36" s="21"/>
      <c r="H36" s="21"/>
      <c r="I36" s="21"/>
      <c r="J36" s="21"/>
      <c r="K36" s="21"/>
      <c r="L36" s="74"/>
      <c r="M36" s="21"/>
      <c r="R36" s="21"/>
      <c r="S36" s="21"/>
      <c r="T36" s="21"/>
      <c r="U36" s="21"/>
    </row>
    <row r="37" spans="2:21" ht="38.1" customHeight="1" thickBot="1">
      <c r="C37" s="21"/>
      <c r="D37" s="75"/>
      <c r="E37" s="297" t="s">
        <v>178</v>
      </c>
      <c r="F37" s="297"/>
      <c r="G37" s="297"/>
      <c r="H37" s="297"/>
      <c r="I37" s="76"/>
      <c r="J37" s="76"/>
      <c r="K37" s="76"/>
      <c r="L37" s="77"/>
      <c r="M37" s="21"/>
      <c r="N37" s="21"/>
      <c r="O37" s="21"/>
      <c r="P37" s="21"/>
      <c r="R37" s="21"/>
      <c r="S37" s="21"/>
    </row>
    <row r="38" spans="2:21" ht="16.5">
      <c r="C38" s="21"/>
      <c r="D38" s="21"/>
      <c r="E38" s="21"/>
      <c r="F38" s="21"/>
      <c r="G38" s="21"/>
      <c r="H38" s="21"/>
      <c r="I38" s="21"/>
      <c r="J38" s="21"/>
      <c r="K38" s="21"/>
      <c r="L38" s="21"/>
      <c r="M38" s="21"/>
      <c r="N38" s="21"/>
      <c r="O38" s="21"/>
      <c r="P38" s="21"/>
      <c r="R38" s="21"/>
      <c r="S38" s="21"/>
    </row>
    <row r="39" spans="2:21" ht="25.15" customHeight="1" thickBot="1">
      <c r="C39" s="21"/>
      <c r="D39" s="306" t="s">
        <v>179</v>
      </c>
      <c r="E39" s="306"/>
      <c r="F39" s="306"/>
      <c r="G39" s="306"/>
      <c r="H39" s="306"/>
      <c r="I39" s="306"/>
      <c r="J39" s="306"/>
      <c r="K39" s="306"/>
      <c r="L39" s="306"/>
      <c r="M39" s="306"/>
      <c r="N39" s="306"/>
      <c r="O39" s="306"/>
      <c r="P39" s="21"/>
      <c r="R39" s="21"/>
      <c r="S39" s="21"/>
    </row>
    <row r="40" spans="2:21" ht="20.100000000000001" customHeight="1">
      <c r="D40" s="307" t="s">
        <v>180</v>
      </c>
      <c r="E40" s="308"/>
      <c r="F40" s="308"/>
      <c r="G40" s="308"/>
      <c r="H40" s="67" t="s">
        <v>181</v>
      </c>
      <c r="I40" s="308" t="s">
        <v>169</v>
      </c>
      <c r="J40" s="308"/>
      <c r="K40" s="308"/>
      <c r="L40" s="309"/>
      <c r="S40" s="21"/>
    </row>
    <row r="41" spans="2:21" ht="44.25" customHeight="1">
      <c r="D41" s="302" t="s">
        <v>182</v>
      </c>
      <c r="E41" s="303"/>
      <c r="F41" s="303"/>
      <c r="G41" s="303"/>
      <c r="H41" s="68" t="s">
        <v>183</v>
      </c>
      <c r="I41" s="303" t="s">
        <v>184</v>
      </c>
      <c r="J41" s="303"/>
      <c r="K41" s="303"/>
      <c r="L41" s="314"/>
      <c r="S41" s="21"/>
    </row>
    <row r="42" spans="2:21" ht="44.25" customHeight="1" thickBot="1">
      <c r="D42" s="304" t="s">
        <v>182</v>
      </c>
      <c r="E42" s="305"/>
      <c r="F42" s="305"/>
      <c r="G42" s="305"/>
      <c r="H42" s="69" t="s">
        <v>185</v>
      </c>
      <c r="I42" s="305" t="s">
        <v>186</v>
      </c>
      <c r="J42" s="305"/>
      <c r="K42" s="305"/>
      <c r="L42" s="312"/>
      <c r="S42" s="21"/>
    </row>
    <row r="43" spans="2:21" ht="50.1" customHeight="1">
      <c r="R43" s="21"/>
      <c r="S43" s="21"/>
    </row>
    <row r="44" spans="2:21" ht="25.15" customHeight="1">
      <c r="B44" s="313" t="s">
        <v>187</v>
      </c>
      <c r="C44" s="313"/>
      <c r="D44" s="313"/>
      <c r="E44" s="313"/>
      <c r="F44" s="313"/>
      <c r="G44" s="313"/>
      <c r="H44" s="313"/>
      <c r="I44" s="313"/>
      <c r="J44" s="313"/>
      <c r="K44" s="313"/>
      <c r="L44" s="313"/>
      <c r="M44" s="313"/>
      <c r="N44" s="313"/>
      <c r="O44" s="313"/>
    </row>
    <row r="45" spans="2:21" ht="25.15" customHeight="1">
      <c r="C45" s="306" t="s">
        <v>188</v>
      </c>
      <c r="D45" s="306"/>
      <c r="E45" s="306"/>
      <c r="F45" s="306"/>
      <c r="G45" s="306"/>
      <c r="H45" s="306"/>
      <c r="I45" s="306"/>
      <c r="J45" s="306"/>
      <c r="K45" s="306"/>
      <c r="L45" s="306"/>
      <c r="M45" s="306"/>
      <c r="N45" s="306"/>
      <c r="O45" s="306"/>
    </row>
    <row r="46" spans="2:21" ht="25.15" customHeight="1">
      <c r="D46" s="306" t="s">
        <v>189</v>
      </c>
      <c r="E46" s="306"/>
      <c r="F46" s="306"/>
      <c r="G46" s="306"/>
      <c r="H46" s="306"/>
      <c r="I46" s="306"/>
      <c r="J46" s="306"/>
      <c r="K46" s="306"/>
      <c r="L46" s="306"/>
      <c r="M46" s="306"/>
      <c r="N46" s="306"/>
      <c r="O46" s="306"/>
    </row>
    <row r="47" spans="2:21" ht="27" customHeight="1">
      <c r="C47" s="78"/>
      <c r="D47" s="78"/>
      <c r="E47" s="78"/>
      <c r="F47" s="78"/>
      <c r="G47" s="78"/>
      <c r="H47" s="78"/>
      <c r="I47" s="78"/>
      <c r="J47" s="78"/>
      <c r="L47" s="78"/>
      <c r="M47" s="78"/>
      <c r="N47" s="78"/>
      <c r="O47" s="78"/>
    </row>
    <row r="48" spans="2:21" ht="27" customHeight="1">
      <c r="C48" s="306" t="s">
        <v>190</v>
      </c>
      <c r="D48" s="306"/>
      <c r="E48" s="306"/>
      <c r="F48" s="306"/>
      <c r="G48" s="306"/>
      <c r="H48" s="306"/>
      <c r="I48" s="306"/>
      <c r="J48" s="306"/>
      <c r="K48" s="306"/>
      <c r="L48" s="306"/>
      <c r="M48" s="306"/>
      <c r="N48" s="306"/>
      <c r="O48" s="306"/>
    </row>
    <row r="49" spans="4:15" ht="27" customHeight="1">
      <c r="D49" s="311" t="s">
        <v>191</v>
      </c>
      <c r="E49" s="311"/>
      <c r="F49" s="311"/>
      <c r="G49" s="311"/>
      <c r="H49" s="311"/>
      <c r="I49" s="311"/>
      <c r="J49" s="311"/>
      <c r="K49" s="311"/>
      <c r="L49" s="311"/>
      <c r="M49" s="311"/>
      <c r="N49" s="311"/>
      <c r="O49" s="311"/>
    </row>
    <row r="50" spans="4:15" ht="50.1" customHeight="1">
      <c r="D50" s="310" t="s">
        <v>192</v>
      </c>
      <c r="E50" s="310"/>
      <c r="F50" s="310"/>
      <c r="G50" s="310"/>
      <c r="H50" s="310"/>
      <c r="I50" s="310"/>
      <c r="J50" s="310"/>
      <c r="K50" s="310"/>
      <c r="L50" s="310"/>
      <c r="M50" s="20"/>
      <c r="N50" s="20"/>
      <c r="O50" s="20"/>
    </row>
    <row r="51" spans="4:15" ht="27" customHeight="1">
      <c r="D51" s="311" t="s">
        <v>193</v>
      </c>
      <c r="E51" s="311"/>
      <c r="F51" s="311"/>
      <c r="G51" s="311"/>
      <c r="H51" s="311"/>
      <c r="I51" s="311"/>
      <c r="J51" s="311"/>
      <c r="K51" s="311"/>
      <c r="L51" s="311"/>
      <c r="M51" s="311"/>
      <c r="N51" s="311"/>
      <c r="O51" s="311"/>
    </row>
    <row r="52" spans="4:15" ht="27" customHeight="1"/>
    <row r="53" spans="4:15" ht="16.5"/>
    <row r="54" spans="4:15" ht="13.5" customHeight="1"/>
    <row r="55" spans="4:15" ht="13.5" customHeight="1"/>
  </sheetData>
  <mergeCells count="49">
    <mergeCell ref="C3:L3"/>
    <mergeCell ref="D8:F9"/>
    <mergeCell ref="G8:L8"/>
    <mergeCell ref="G9:H9"/>
    <mergeCell ref="I9:J9"/>
    <mergeCell ref="K9:L9"/>
    <mergeCell ref="D10:F10"/>
    <mergeCell ref="G10:H10"/>
    <mergeCell ref="I10:J10"/>
    <mergeCell ref="K10:L10"/>
    <mergeCell ref="D11:F11"/>
    <mergeCell ref="G11:H11"/>
    <mergeCell ref="I11:J11"/>
    <mergeCell ref="K11:L11"/>
    <mergeCell ref="D13:I13"/>
    <mergeCell ref="C21:O21"/>
    <mergeCell ref="D23:F23"/>
    <mergeCell ref="G23:I23"/>
    <mergeCell ref="J23:L23"/>
    <mergeCell ref="D39:O39"/>
    <mergeCell ref="D50:L50"/>
    <mergeCell ref="D51:O51"/>
    <mergeCell ref="I42:L42"/>
    <mergeCell ref="B44:O44"/>
    <mergeCell ref="D46:O46"/>
    <mergeCell ref="C48:O48"/>
    <mergeCell ref="D49:O49"/>
    <mergeCell ref="C45:O45"/>
    <mergeCell ref="D41:G41"/>
    <mergeCell ref="I41:L41"/>
    <mergeCell ref="D42:G42"/>
    <mergeCell ref="D40:G40"/>
    <mergeCell ref="I40:L40"/>
    <mergeCell ref="G24:K24"/>
    <mergeCell ref="G25:K25"/>
    <mergeCell ref="G26:K26"/>
    <mergeCell ref="E34:H34"/>
    <mergeCell ref="E37:H37"/>
    <mergeCell ref="G30:H30"/>
    <mergeCell ref="I30:L30"/>
    <mergeCell ref="G31:H31"/>
    <mergeCell ref="I31:L31"/>
    <mergeCell ref="G32:H32"/>
    <mergeCell ref="I32:L32"/>
    <mergeCell ref="D30:F32"/>
    <mergeCell ref="D28:O28"/>
    <mergeCell ref="D29:H29"/>
    <mergeCell ref="I29:L29"/>
    <mergeCell ref="D24:E26"/>
  </mergeCells>
  <phoneticPr fontId="7" type="noConversion"/>
  <printOptions horizontalCentered="1"/>
  <pageMargins left="0.25" right="0.25" top="0.75" bottom="0.75" header="0.3" footer="0.3"/>
  <pageSetup paperSize="9" scale="97" fitToHeight="0" orientation="landscape" horizontalDpi="300" verticalDpi="300" r:id="rId1"/>
  <rowBreaks count="2" manualBreakCount="2">
    <brk id="20" max="12" man="1"/>
    <brk id="38" max="12"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2:H10"/>
  <sheetViews>
    <sheetView view="pageBreakPreview" zoomScale="70" zoomScaleNormal="85" zoomScaleSheetLayoutView="70" workbookViewId="0">
      <selection activeCell="A3" sqref="A3"/>
    </sheetView>
  </sheetViews>
  <sheetFormatPr defaultColWidth="8.6640625" defaultRowHeight="16.5"/>
  <cols>
    <col min="1" max="1" width="2.44140625" style="1" customWidth="1"/>
    <col min="2" max="3" width="11.109375" style="1" customWidth="1"/>
    <col min="4" max="4" width="55.5546875" style="1" customWidth="1"/>
    <col min="5" max="5" width="16.6640625" style="1" customWidth="1"/>
    <col min="6" max="6" width="8.6640625" style="1" customWidth="1"/>
    <col min="7" max="7" width="2.44140625" style="1" customWidth="1"/>
    <col min="8" max="16384" width="8.6640625" style="1"/>
  </cols>
  <sheetData>
    <row r="2" spans="2:8" s="3" customFormat="1" ht="18" customHeight="1">
      <c r="B2" s="36" t="s">
        <v>155</v>
      </c>
      <c r="C2" s="7"/>
      <c r="D2" s="7"/>
      <c r="E2" s="7"/>
      <c r="F2" s="7"/>
    </row>
    <row r="3" spans="2:8" s="3" customFormat="1" ht="5.0999999999999996" customHeight="1" thickBot="1">
      <c r="C3" s="2"/>
      <c r="D3" s="2"/>
      <c r="E3" s="2"/>
      <c r="F3" s="2"/>
    </row>
    <row r="4" spans="2:8" ht="18" customHeight="1">
      <c r="B4" s="51" t="s">
        <v>135</v>
      </c>
      <c r="C4" s="52" t="s">
        <v>136</v>
      </c>
      <c r="D4" s="52" t="s">
        <v>137</v>
      </c>
      <c r="E4" s="52" t="s">
        <v>138</v>
      </c>
      <c r="F4" s="53" t="s">
        <v>139</v>
      </c>
      <c r="G4" s="6"/>
      <c r="H4" s="6"/>
    </row>
    <row r="5" spans="2:8">
      <c r="B5" s="15" t="s">
        <v>332</v>
      </c>
      <c r="C5" s="33" t="s">
        <v>334</v>
      </c>
      <c r="D5" s="34" t="s">
        <v>140</v>
      </c>
      <c r="E5" s="35" t="s">
        <v>326</v>
      </c>
      <c r="F5" s="11"/>
      <c r="G5" s="6"/>
      <c r="H5" s="6"/>
    </row>
    <row r="6" spans="2:8">
      <c r="B6" s="15"/>
      <c r="C6" s="16"/>
      <c r="D6" s="14"/>
      <c r="E6" s="17"/>
      <c r="F6" s="11"/>
    </row>
    <row r="7" spans="2:8">
      <c r="B7" s="15"/>
      <c r="C7" s="16"/>
      <c r="D7" s="14"/>
      <c r="E7" s="17"/>
      <c r="F7" s="11"/>
    </row>
    <row r="8" spans="2:8">
      <c r="B8" s="15"/>
      <c r="C8" s="16"/>
      <c r="D8" s="14"/>
      <c r="E8" s="17"/>
      <c r="F8" s="11"/>
    </row>
    <row r="9" spans="2:8">
      <c r="B9" s="15"/>
      <c r="C9" s="16"/>
      <c r="D9" s="14"/>
      <c r="E9" s="17"/>
      <c r="F9" s="11"/>
    </row>
    <row r="10" spans="2:8">
      <c r="B10" s="15"/>
      <c r="C10" s="16"/>
      <c r="D10" s="14"/>
      <c r="E10" s="17"/>
      <c r="F10" s="11"/>
    </row>
  </sheetData>
  <phoneticPr fontId="7" type="noConversion"/>
  <printOptions horizontalCentered="1"/>
  <pageMargins left="0.39370078740157483" right="0.39370078740157483" top="0.59055118110236215" bottom="0.59055118110236215" header="0.19685039370078741" footer="0.19685039370078741"/>
  <pageSetup paperSize="9" orientation="landscape"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B2:L119"/>
  <sheetViews>
    <sheetView view="pageBreakPreview" zoomScale="70" zoomScaleNormal="85" zoomScaleSheetLayoutView="70" workbookViewId="0">
      <pane ySplit="5" topLeftCell="A6" activePane="bottomLeft" state="frozen"/>
      <selection pane="bottomLeft" activeCell="L4" sqref="L4:L5"/>
    </sheetView>
  </sheetViews>
  <sheetFormatPr defaultColWidth="8.88671875" defaultRowHeight="16.5"/>
  <cols>
    <col min="1" max="1" width="2.44140625" style="1" customWidth="1"/>
    <col min="2" max="2" width="8.33203125" style="1" bestFit="1" customWidth="1"/>
    <col min="3" max="3" width="8.88671875" style="1"/>
    <col min="4" max="4" width="39.109375" style="1" customWidth="1"/>
    <col min="5" max="6" width="5.5546875" style="1" customWidth="1"/>
    <col min="7" max="8" width="6.109375" style="1" customWidth="1"/>
    <col min="9" max="9" width="5.88671875" style="1" customWidth="1"/>
    <col min="10" max="10" width="6" style="1" customWidth="1"/>
    <col min="11" max="11" width="6.109375" style="1" customWidth="1"/>
    <col min="12" max="12" width="9.33203125" style="13" customWidth="1"/>
    <col min="13" max="16384" width="8.88671875" style="1"/>
  </cols>
  <sheetData>
    <row r="2" spans="2:12" s="3" customFormat="1" ht="18" customHeight="1">
      <c r="B2" s="36" t="s">
        <v>235</v>
      </c>
      <c r="C2" s="7"/>
      <c r="D2" s="7"/>
      <c r="E2" s="7"/>
      <c r="F2" s="7"/>
      <c r="G2" s="7"/>
      <c r="H2" s="7"/>
      <c r="I2" s="7"/>
      <c r="J2" s="7"/>
      <c r="K2" s="7"/>
      <c r="L2" s="79"/>
    </row>
    <row r="3" spans="2:12" s="3" customFormat="1" ht="5.0999999999999996" customHeight="1">
      <c r="B3" s="179"/>
      <c r="C3" s="180"/>
      <c r="D3" s="180"/>
      <c r="E3" s="180"/>
      <c r="F3" s="180"/>
      <c r="G3" s="180"/>
      <c r="H3" s="180"/>
      <c r="I3" s="180"/>
      <c r="J3" s="180"/>
      <c r="K3" s="180"/>
      <c r="L3" s="181"/>
    </row>
    <row r="4" spans="2:12" ht="18" customHeight="1">
      <c r="B4" s="325" t="s">
        <v>21</v>
      </c>
      <c r="C4" s="325"/>
      <c r="D4" s="325"/>
      <c r="E4" s="325" t="s">
        <v>22</v>
      </c>
      <c r="F4" s="325" t="s">
        <v>23</v>
      </c>
      <c r="G4" s="327" t="s">
        <v>133</v>
      </c>
      <c r="H4" s="327" t="s">
        <v>134</v>
      </c>
      <c r="I4" s="327" t="s">
        <v>160</v>
      </c>
      <c r="J4" s="327" t="s">
        <v>161</v>
      </c>
      <c r="K4" s="327" t="s">
        <v>13</v>
      </c>
      <c r="L4" s="338" t="str">
        <f t="shared" ref="L4" ca="1" si="0">INDIRECT("'"&amp;INDIRECT("점검대상!C"&amp;COLUMN()-5)&amp;"'!D4")</f>
        <v>sample</v>
      </c>
    </row>
    <row r="5" spans="2:12">
      <c r="B5" s="261" t="s">
        <v>24</v>
      </c>
      <c r="C5" s="261" t="s">
        <v>25</v>
      </c>
      <c r="D5" s="261" t="s">
        <v>36</v>
      </c>
      <c r="E5" s="326"/>
      <c r="F5" s="326"/>
      <c r="G5" s="328"/>
      <c r="H5" s="328"/>
      <c r="I5" s="328"/>
      <c r="J5" s="328"/>
      <c r="K5" s="328"/>
      <c r="L5" s="339"/>
    </row>
    <row r="6" spans="2:12" s="8" customFormat="1" ht="28.15" customHeight="1">
      <c r="B6" s="329" t="s">
        <v>156</v>
      </c>
      <c r="C6" s="131" t="s">
        <v>41</v>
      </c>
      <c r="D6" s="184" t="s">
        <v>343</v>
      </c>
      <c r="E6" s="182" t="s">
        <v>3</v>
      </c>
      <c r="F6" s="182">
        <f>IF(E6="상", 3, IF(E6="중", 2, IF(E6="하", 1, "-")))</f>
        <v>3</v>
      </c>
      <c r="G6" s="182">
        <f ca="1">COUNTIF($L6:$XFD6, "Y")</f>
        <v>0</v>
      </c>
      <c r="H6" s="182">
        <f ca="1">COUNTIF($L6:$XFD6,"N")</f>
        <v>1</v>
      </c>
      <c r="I6" s="182">
        <f ca="1">F6*G6</f>
        <v>0</v>
      </c>
      <c r="J6" s="182">
        <f ca="1">F6*H6</f>
        <v>3</v>
      </c>
      <c r="K6" s="182">
        <f ca="1">COUNTIF($L6:$XFD6,"N/A")</f>
        <v>0</v>
      </c>
      <c r="L6" s="182" t="str">
        <f ca="1">INDIRECT("'"&amp;INDIRECT("점검대상!C"&amp;COLUMN()-5)&amp;"'!M"&amp;ROW()+15)</f>
        <v>N</v>
      </c>
    </row>
    <row r="7" spans="2:12" s="8" customFormat="1" ht="28.15" customHeight="1">
      <c r="B7" s="329"/>
      <c r="C7" s="131" t="s">
        <v>42</v>
      </c>
      <c r="D7" s="184" t="s">
        <v>344</v>
      </c>
      <c r="E7" s="182" t="s">
        <v>3</v>
      </c>
      <c r="F7" s="182">
        <f t="shared" ref="F7:F70" si="1">IF(E7="상", 3, IF(E7="중", 2, IF(E7="하", 1, "-")))</f>
        <v>3</v>
      </c>
      <c r="G7" s="182">
        <f ca="1">COUNTIF($L7:$XFD7, "Y")</f>
        <v>1</v>
      </c>
      <c r="H7" s="182">
        <f ca="1">COUNTIF($L7:$XFD7,"N")</f>
        <v>0</v>
      </c>
      <c r="I7" s="182">
        <f t="shared" ref="I7:I68" ca="1" si="2">F7*G7</f>
        <v>3</v>
      </c>
      <c r="J7" s="182">
        <f t="shared" ref="J7:J68" ca="1" si="3">F7*H7</f>
        <v>0</v>
      </c>
      <c r="K7" s="182">
        <f ca="1">COUNTIF($L7:$XFD7,"N/A")</f>
        <v>0</v>
      </c>
      <c r="L7" s="182" t="str">
        <f t="shared" ref="L7:L35" ca="1" si="4">INDIRECT("'"&amp;INDIRECT("점검대상!C"&amp;COLUMN()-5)&amp;"'!M"&amp;ROW()+15)</f>
        <v>Y</v>
      </c>
    </row>
    <row r="8" spans="2:12" s="8" customFormat="1" ht="28.15" customHeight="1">
      <c r="B8" s="329"/>
      <c r="C8" s="131" t="s">
        <v>43</v>
      </c>
      <c r="D8" s="184" t="s">
        <v>345</v>
      </c>
      <c r="E8" s="182" t="s">
        <v>3</v>
      </c>
      <c r="F8" s="182">
        <f t="shared" si="1"/>
        <v>3</v>
      </c>
      <c r="G8" s="182">
        <f ca="1">COUNTIF($L8:$XFD8, "Y")</f>
        <v>0</v>
      </c>
      <c r="H8" s="182">
        <f ca="1">COUNTIF($L8:$XFD8,"N")</f>
        <v>1</v>
      </c>
      <c r="I8" s="182">
        <f t="shared" ca="1" si="2"/>
        <v>0</v>
      </c>
      <c r="J8" s="182">
        <f t="shared" ca="1" si="3"/>
        <v>3</v>
      </c>
      <c r="K8" s="182">
        <f ca="1">COUNTIF($L8:$XFD8,"N/A")</f>
        <v>0</v>
      </c>
      <c r="L8" s="182" t="str">
        <f t="shared" ca="1" si="4"/>
        <v>N</v>
      </c>
    </row>
    <row r="9" spans="2:12" s="8" customFormat="1" ht="28.15" customHeight="1">
      <c r="B9" s="329"/>
      <c r="C9" s="131" t="s">
        <v>44</v>
      </c>
      <c r="D9" s="184" t="s">
        <v>346</v>
      </c>
      <c r="E9" s="182" t="s">
        <v>3</v>
      </c>
      <c r="F9" s="182">
        <f t="shared" si="1"/>
        <v>3</v>
      </c>
      <c r="G9" s="182">
        <f ca="1">COUNTIF($L9:$XFD9, "Y")</f>
        <v>1</v>
      </c>
      <c r="H9" s="182">
        <f ca="1">COUNTIF($L9:$XFD9,"N")</f>
        <v>0</v>
      </c>
      <c r="I9" s="182">
        <f t="shared" ca="1" si="2"/>
        <v>3</v>
      </c>
      <c r="J9" s="182">
        <f t="shared" ca="1" si="3"/>
        <v>0</v>
      </c>
      <c r="K9" s="182">
        <f ca="1">COUNTIF($L9:$XFD9,"N/A")</f>
        <v>0</v>
      </c>
      <c r="L9" s="182" t="str">
        <f t="shared" ca="1" si="4"/>
        <v>Y</v>
      </c>
    </row>
    <row r="10" spans="2:12" s="8" customFormat="1" ht="28.15" customHeight="1">
      <c r="B10" s="329"/>
      <c r="C10" s="131" t="s">
        <v>335</v>
      </c>
      <c r="D10" s="184" t="s">
        <v>126</v>
      </c>
      <c r="E10" s="182" t="s">
        <v>3</v>
      </c>
      <c r="F10" s="182">
        <f t="shared" si="1"/>
        <v>3</v>
      </c>
      <c r="G10" s="182">
        <f ca="1">COUNTIF($L10:$XFD10, "Y")</f>
        <v>0</v>
      </c>
      <c r="H10" s="182">
        <f ca="1">COUNTIF($L10:$XFD10,"N")</f>
        <v>1</v>
      </c>
      <c r="I10" s="182">
        <f t="shared" ca="1" si="2"/>
        <v>0</v>
      </c>
      <c r="J10" s="182">
        <f t="shared" ca="1" si="3"/>
        <v>3</v>
      </c>
      <c r="K10" s="182">
        <f ca="1">COUNTIF($L10:$XFD10,"N/A")</f>
        <v>0</v>
      </c>
      <c r="L10" s="182" t="str">
        <f t="shared" ca="1" si="4"/>
        <v>N</v>
      </c>
    </row>
    <row r="11" spans="2:12" s="8" customFormat="1" ht="28.15" customHeight="1">
      <c r="B11" s="329"/>
      <c r="C11" s="131" t="s">
        <v>45</v>
      </c>
      <c r="D11" s="184" t="s">
        <v>347</v>
      </c>
      <c r="E11" s="182" t="s">
        <v>3</v>
      </c>
      <c r="F11" s="182">
        <f t="shared" si="1"/>
        <v>3</v>
      </c>
      <c r="G11" s="182">
        <f ca="1">COUNTIF($L11:$XFD11, "Y")</f>
        <v>1</v>
      </c>
      <c r="H11" s="182">
        <f ca="1">COUNTIF($L11:$XFD11,"N")</f>
        <v>0</v>
      </c>
      <c r="I11" s="182">
        <f t="shared" ca="1" si="2"/>
        <v>3</v>
      </c>
      <c r="J11" s="182">
        <f t="shared" ca="1" si="3"/>
        <v>0</v>
      </c>
      <c r="K11" s="182">
        <f ca="1">COUNTIF($L11:$XFD11,"N/A")</f>
        <v>0</v>
      </c>
      <c r="L11" s="182" t="str">
        <f t="shared" ca="1" si="4"/>
        <v>Y</v>
      </c>
    </row>
    <row r="12" spans="2:12" s="8" customFormat="1" ht="28.15" customHeight="1">
      <c r="B12" s="329"/>
      <c r="C12" s="131" t="s">
        <v>46</v>
      </c>
      <c r="D12" s="184" t="s">
        <v>37</v>
      </c>
      <c r="E12" s="182" t="s">
        <v>12</v>
      </c>
      <c r="F12" s="182">
        <f t="shared" si="1"/>
        <v>1</v>
      </c>
      <c r="G12" s="182">
        <f ca="1">COUNTIF($L12:$XFD12, "Y")</f>
        <v>1</v>
      </c>
      <c r="H12" s="182">
        <f ca="1">COUNTIF($L12:$XFD12,"N")</f>
        <v>0</v>
      </c>
      <c r="I12" s="182">
        <f t="shared" ca="1" si="2"/>
        <v>1</v>
      </c>
      <c r="J12" s="182">
        <f t="shared" ca="1" si="3"/>
        <v>0</v>
      </c>
      <c r="K12" s="182">
        <f ca="1">COUNTIF($L12:$XFD12,"N/A")</f>
        <v>0</v>
      </c>
      <c r="L12" s="182" t="str">
        <f t="shared" ca="1" si="4"/>
        <v>Y</v>
      </c>
    </row>
    <row r="13" spans="2:12" s="8" customFormat="1" ht="28.15" customHeight="1">
      <c r="B13" s="329"/>
      <c r="C13" s="131" t="s">
        <v>47</v>
      </c>
      <c r="D13" s="184" t="s">
        <v>51</v>
      </c>
      <c r="E13" s="182" t="s">
        <v>11</v>
      </c>
      <c r="F13" s="182">
        <f t="shared" si="1"/>
        <v>2</v>
      </c>
      <c r="G13" s="182">
        <f ca="1">COUNTIF($L13:$XFD13, "Y")</f>
        <v>1</v>
      </c>
      <c r="H13" s="182">
        <f ca="1">COUNTIF($L13:$XFD13,"N")</f>
        <v>0</v>
      </c>
      <c r="I13" s="182">
        <f t="shared" ca="1" si="2"/>
        <v>2</v>
      </c>
      <c r="J13" s="182">
        <f t="shared" ca="1" si="3"/>
        <v>0</v>
      </c>
      <c r="K13" s="182">
        <f ca="1">COUNTIF($L13:$XFD13,"N/A")</f>
        <v>0</v>
      </c>
      <c r="L13" s="182" t="str">
        <f t="shared" ca="1" si="4"/>
        <v>Y</v>
      </c>
    </row>
    <row r="14" spans="2:12" s="8" customFormat="1" ht="28.15" customHeight="1">
      <c r="B14" s="329"/>
      <c r="C14" s="131" t="s">
        <v>48</v>
      </c>
      <c r="D14" s="184" t="s">
        <v>53</v>
      </c>
      <c r="E14" s="182" t="s">
        <v>12</v>
      </c>
      <c r="F14" s="182">
        <f t="shared" si="1"/>
        <v>1</v>
      </c>
      <c r="G14" s="182">
        <f ca="1">COUNTIF($L14:$XFD14, "Y")</f>
        <v>1</v>
      </c>
      <c r="H14" s="182">
        <f ca="1">COUNTIF($L14:$XFD14,"N")</f>
        <v>0</v>
      </c>
      <c r="I14" s="182">
        <f t="shared" ca="1" si="2"/>
        <v>1</v>
      </c>
      <c r="J14" s="182">
        <f t="shared" ca="1" si="3"/>
        <v>0</v>
      </c>
      <c r="K14" s="182">
        <f ca="1">COUNTIF($L14:$XFD14,"N/A")</f>
        <v>0</v>
      </c>
      <c r="L14" s="182" t="str">
        <f t="shared" ca="1" si="4"/>
        <v>Y</v>
      </c>
    </row>
    <row r="15" spans="2:12" s="8" customFormat="1" ht="28.15" customHeight="1">
      <c r="B15" s="329"/>
      <c r="C15" s="131" t="s">
        <v>49</v>
      </c>
      <c r="D15" s="184" t="s">
        <v>55</v>
      </c>
      <c r="E15" s="182" t="s">
        <v>11</v>
      </c>
      <c r="F15" s="182">
        <f t="shared" si="1"/>
        <v>2</v>
      </c>
      <c r="G15" s="182">
        <f ca="1">COUNTIF($L15:$XFD15, "Y")</f>
        <v>1</v>
      </c>
      <c r="H15" s="182">
        <f ca="1">COUNTIF($L15:$XFD15,"N")</f>
        <v>0</v>
      </c>
      <c r="I15" s="182">
        <f t="shared" ca="1" si="2"/>
        <v>2</v>
      </c>
      <c r="J15" s="182">
        <f t="shared" ca="1" si="3"/>
        <v>0</v>
      </c>
      <c r="K15" s="182">
        <f ca="1">COUNTIF($L15:$XFD15,"N/A")</f>
        <v>0</v>
      </c>
      <c r="L15" s="182" t="str">
        <f t="shared" ca="1" si="4"/>
        <v>Y</v>
      </c>
    </row>
    <row r="16" spans="2:12" s="8" customFormat="1" ht="28.15" customHeight="1">
      <c r="B16" s="329"/>
      <c r="C16" s="131" t="s">
        <v>50</v>
      </c>
      <c r="D16" s="184" t="s">
        <v>127</v>
      </c>
      <c r="E16" s="182" t="s">
        <v>12</v>
      </c>
      <c r="F16" s="182">
        <f t="shared" si="1"/>
        <v>1</v>
      </c>
      <c r="G16" s="182">
        <f ca="1">COUNTIF($L16:$XFD16, "Y")</f>
        <v>1</v>
      </c>
      <c r="H16" s="182">
        <f ca="1">COUNTIF($L16:$XFD16,"N")</f>
        <v>0</v>
      </c>
      <c r="I16" s="182">
        <f t="shared" ca="1" si="2"/>
        <v>1</v>
      </c>
      <c r="J16" s="182">
        <f t="shared" ca="1" si="3"/>
        <v>0</v>
      </c>
      <c r="K16" s="182">
        <f ca="1">COUNTIF($L16:$XFD16,"N/A")</f>
        <v>0</v>
      </c>
      <c r="L16" s="182" t="str">
        <f t="shared" ca="1" si="4"/>
        <v>Y</v>
      </c>
    </row>
    <row r="17" spans="2:12" s="8" customFormat="1" ht="28.15" customHeight="1">
      <c r="B17" s="329"/>
      <c r="C17" s="131" t="s">
        <v>52</v>
      </c>
      <c r="D17" s="184" t="s">
        <v>348</v>
      </c>
      <c r="E17" s="182" t="s">
        <v>12</v>
      </c>
      <c r="F17" s="182">
        <f t="shared" si="1"/>
        <v>1</v>
      </c>
      <c r="G17" s="182">
        <f ca="1">COUNTIF($L17:$XFD17, "Y")</f>
        <v>1</v>
      </c>
      <c r="H17" s="182">
        <f ca="1">COUNTIF($L17:$XFD17,"N")</f>
        <v>0</v>
      </c>
      <c r="I17" s="182">
        <f t="shared" ca="1" si="2"/>
        <v>1</v>
      </c>
      <c r="J17" s="182">
        <f t="shared" ca="1" si="3"/>
        <v>0</v>
      </c>
      <c r="K17" s="182">
        <f ca="1">COUNTIF($L17:$XFD17,"N/A")</f>
        <v>0</v>
      </c>
      <c r="L17" s="182" t="str">
        <f t="shared" ca="1" si="4"/>
        <v>Y</v>
      </c>
    </row>
    <row r="18" spans="2:12" s="8" customFormat="1" ht="28.15" customHeight="1">
      <c r="B18" s="329"/>
      <c r="C18" s="131" t="s">
        <v>54</v>
      </c>
      <c r="D18" s="184" t="s">
        <v>349</v>
      </c>
      <c r="E18" s="182" t="s">
        <v>11</v>
      </c>
      <c r="F18" s="182">
        <f t="shared" si="1"/>
        <v>2</v>
      </c>
      <c r="G18" s="182">
        <f ca="1">COUNTIF($L18:$XFD18, "Y")</f>
        <v>1</v>
      </c>
      <c r="H18" s="182">
        <f ca="1">COUNTIF($L18:$XFD18,"N")</f>
        <v>0</v>
      </c>
      <c r="I18" s="182">
        <f t="shared" ca="1" si="2"/>
        <v>2</v>
      </c>
      <c r="J18" s="182">
        <f t="shared" ca="1" si="3"/>
        <v>0</v>
      </c>
      <c r="K18" s="182">
        <f ca="1">COUNTIF($L18:$XFD18,"N/A")</f>
        <v>0</v>
      </c>
      <c r="L18" s="182" t="str">
        <f t="shared" ca="1" si="4"/>
        <v>Y</v>
      </c>
    </row>
    <row r="19" spans="2:12" s="8" customFormat="1" ht="28.15" customHeight="1">
      <c r="B19" s="330" t="s">
        <v>131</v>
      </c>
      <c r="C19" s="136" t="s">
        <v>56</v>
      </c>
      <c r="D19" s="185" t="s">
        <v>59</v>
      </c>
      <c r="E19" s="183" t="s">
        <v>3</v>
      </c>
      <c r="F19" s="249">
        <f t="shared" si="1"/>
        <v>3</v>
      </c>
      <c r="G19" s="183">
        <f ca="1">COUNTIF($L19:$XFD19, "Y")</f>
        <v>1</v>
      </c>
      <c r="H19" s="183">
        <f ca="1">COUNTIF($L19:$XFD19,"N")</f>
        <v>0</v>
      </c>
      <c r="I19" s="249">
        <f t="shared" ca="1" si="2"/>
        <v>3</v>
      </c>
      <c r="J19" s="249">
        <f t="shared" ca="1" si="3"/>
        <v>0</v>
      </c>
      <c r="K19" s="183">
        <f ca="1">COUNTIF($L19:$XFD19,"N/A")</f>
        <v>0</v>
      </c>
      <c r="L19" s="182" t="str">
        <f t="shared" ca="1" si="4"/>
        <v>Y</v>
      </c>
    </row>
    <row r="20" spans="2:12" s="8" customFormat="1" ht="28.15" customHeight="1">
      <c r="B20" s="330"/>
      <c r="C20" s="136" t="s">
        <v>57</v>
      </c>
      <c r="D20" s="185" t="s">
        <v>61</v>
      </c>
      <c r="E20" s="183" t="s">
        <v>3</v>
      </c>
      <c r="F20" s="249">
        <f t="shared" si="1"/>
        <v>3</v>
      </c>
      <c r="G20" s="183">
        <f ca="1">COUNTIF($L20:$XFD20, "Y")</f>
        <v>1</v>
      </c>
      <c r="H20" s="183">
        <f ca="1">COUNTIF($L20:$XFD20,"N")</f>
        <v>0</v>
      </c>
      <c r="I20" s="249">
        <f t="shared" ca="1" si="2"/>
        <v>3</v>
      </c>
      <c r="J20" s="249">
        <f t="shared" ca="1" si="3"/>
        <v>0</v>
      </c>
      <c r="K20" s="183">
        <f ca="1">COUNTIF($L20:$XFD20,"N/A")</f>
        <v>0</v>
      </c>
      <c r="L20" s="182" t="str">
        <f t="shared" ca="1" si="4"/>
        <v>Y</v>
      </c>
    </row>
    <row r="21" spans="2:12" s="8" customFormat="1" ht="28.15" customHeight="1">
      <c r="B21" s="330"/>
      <c r="C21" s="136" t="s">
        <v>58</v>
      </c>
      <c r="D21" s="185" t="s">
        <v>63</v>
      </c>
      <c r="E21" s="183" t="s">
        <v>3</v>
      </c>
      <c r="F21" s="249">
        <f t="shared" si="1"/>
        <v>3</v>
      </c>
      <c r="G21" s="183">
        <f ca="1">COUNTIF($L21:$XFD21, "Y")</f>
        <v>1</v>
      </c>
      <c r="H21" s="183">
        <f ca="1">COUNTIF($L21:$XFD21,"N")</f>
        <v>0</v>
      </c>
      <c r="I21" s="249">
        <f t="shared" ca="1" si="2"/>
        <v>3</v>
      </c>
      <c r="J21" s="249">
        <f t="shared" ca="1" si="3"/>
        <v>0</v>
      </c>
      <c r="K21" s="183">
        <f ca="1">COUNTIF($L21:$XFD21,"N/A")</f>
        <v>0</v>
      </c>
      <c r="L21" s="182" t="str">
        <f t="shared" ca="1" si="4"/>
        <v>Y</v>
      </c>
    </row>
    <row r="22" spans="2:12" s="8" customFormat="1" ht="28.15" customHeight="1">
      <c r="B22" s="330"/>
      <c r="C22" s="136" t="s">
        <v>60</v>
      </c>
      <c r="D22" s="185" t="s">
        <v>350</v>
      </c>
      <c r="E22" s="183" t="s">
        <v>3</v>
      </c>
      <c r="F22" s="249">
        <f t="shared" si="1"/>
        <v>3</v>
      </c>
      <c r="G22" s="183">
        <f ca="1">COUNTIF($L22:$XFD22, "Y")</f>
        <v>1</v>
      </c>
      <c r="H22" s="183">
        <f ca="1">COUNTIF($L22:$XFD22,"N")</f>
        <v>0</v>
      </c>
      <c r="I22" s="249">
        <f t="shared" ca="1" si="2"/>
        <v>3</v>
      </c>
      <c r="J22" s="249">
        <f t="shared" ca="1" si="3"/>
        <v>0</v>
      </c>
      <c r="K22" s="183">
        <f ca="1">COUNTIF($L22:$XFD22,"N/A")</f>
        <v>0</v>
      </c>
      <c r="L22" s="182" t="str">
        <f t="shared" ca="1" si="4"/>
        <v>Y</v>
      </c>
    </row>
    <row r="23" spans="2:12" s="8" customFormat="1" ht="28.15" customHeight="1">
      <c r="B23" s="330"/>
      <c r="C23" s="136" t="s">
        <v>62</v>
      </c>
      <c r="D23" s="185" t="s">
        <v>64</v>
      </c>
      <c r="E23" s="183" t="s">
        <v>3</v>
      </c>
      <c r="F23" s="249">
        <f t="shared" si="1"/>
        <v>3</v>
      </c>
      <c r="G23" s="183">
        <f ca="1">COUNTIF($L23:$XFD23, "Y")</f>
        <v>1</v>
      </c>
      <c r="H23" s="183">
        <f ca="1">COUNTIF($L23:$XFD23,"N")</f>
        <v>0</v>
      </c>
      <c r="I23" s="249">
        <f t="shared" ca="1" si="2"/>
        <v>3</v>
      </c>
      <c r="J23" s="249">
        <f t="shared" ca="1" si="3"/>
        <v>0</v>
      </c>
      <c r="K23" s="183">
        <f ca="1">COUNTIF($L23:$XFD23,"N/A")</f>
        <v>0</v>
      </c>
      <c r="L23" s="182" t="str">
        <f t="shared" ca="1" si="4"/>
        <v>Y</v>
      </c>
    </row>
    <row r="24" spans="2:12" s="8" customFormat="1" ht="28.15" customHeight="1">
      <c r="B24" s="330"/>
      <c r="C24" s="136" t="s">
        <v>336</v>
      </c>
      <c r="D24" s="185" t="s">
        <v>65</v>
      </c>
      <c r="E24" s="183" t="s">
        <v>3</v>
      </c>
      <c r="F24" s="249">
        <f t="shared" si="1"/>
        <v>3</v>
      </c>
      <c r="G24" s="183">
        <f ca="1">COUNTIF($L24:$XFD24, "Y")</f>
        <v>1</v>
      </c>
      <c r="H24" s="183">
        <f ca="1">COUNTIF($L24:$XFD24,"N")</f>
        <v>0</v>
      </c>
      <c r="I24" s="249">
        <f t="shared" ca="1" si="2"/>
        <v>3</v>
      </c>
      <c r="J24" s="249">
        <f t="shared" ca="1" si="3"/>
        <v>0</v>
      </c>
      <c r="K24" s="183">
        <f ca="1">COUNTIF($L24:$XFD24,"N/A")</f>
        <v>0</v>
      </c>
      <c r="L24" s="182" t="str">
        <f t="shared" ca="1" si="4"/>
        <v>Y</v>
      </c>
    </row>
    <row r="25" spans="2:12" s="8" customFormat="1" ht="28.15" customHeight="1">
      <c r="B25" s="330"/>
      <c r="C25" s="136" t="s">
        <v>337</v>
      </c>
      <c r="D25" s="185" t="s">
        <v>67</v>
      </c>
      <c r="E25" s="183" t="s">
        <v>3</v>
      </c>
      <c r="F25" s="249">
        <f t="shared" si="1"/>
        <v>3</v>
      </c>
      <c r="G25" s="183">
        <f ca="1">COUNTIF($L25:$XFD25, "Y")</f>
        <v>1</v>
      </c>
      <c r="H25" s="183">
        <f ca="1">COUNTIF($L25:$XFD25,"N")</f>
        <v>0</v>
      </c>
      <c r="I25" s="249">
        <f t="shared" ca="1" si="2"/>
        <v>3</v>
      </c>
      <c r="J25" s="249">
        <f t="shared" ca="1" si="3"/>
        <v>0</v>
      </c>
      <c r="K25" s="183">
        <f ca="1">COUNTIF($L25:$XFD25,"N/A")</f>
        <v>0</v>
      </c>
      <c r="L25" s="182" t="str">
        <f t="shared" ca="1" si="4"/>
        <v>Y</v>
      </c>
    </row>
    <row r="26" spans="2:12" s="8" customFormat="1" ht="28.15" customHeight="1">
      <c r="B26" s="330"/>
      <c r="C26" s="136" t="s">
        <v>66</v>
      </c>
      <c r="D26" s="185" t="s">
        <v>351</v>
      </c>
      <c r="E26" s="183" t="s">
        <v>3</v>
      </c>
      <c r="F26" s="249">
        <f t="shared" si="1"/>
        <v>3</v>
      </c>
      <c r="G26" s="183">
        <f ca="1">COUNTIF($L26:$XFD26, "Y")</f>
        <v>1</v>
      </c>
      <c r="H26" s="183">
        <f ca="1">COUNTIF($L26:$XFD26,"N")</f>
        <v>0</v>
      </c>
      <c r="I26" s="249">
        <f t="shared" ca="1" si="2"/>
        <v>3</v>
      </c>
      <c r="J26" s="249">
        <f t="shared" ca="1" si="3"/>
        <v>0</v>
      </c>
      <c r="K26" s="183">
        <f ca="1">COUNTIF($L26:$XFD26,"N/A")</f>
        <v>0</v>
      </c>
      <c r="L26" s="182" t="str">
        <f t="shared" ca="1" si="4"/>
        <v>Y</v>
      </c>
    </row>
    <row r="27" spans="2:12" s="8" customFormat="1" ht="28.15" customHeight="1">
      <c r="B27" s="330"/>
      <c r="C27" s="136" t="s">
        <v>68</v>
      </c>
      <c r="D27" s="185" t="s">
        <v>70</v>
      </c>
      <c r="E27" s="183" t="s">
        <v>3</v>
      </c>
      <c r="F27" s="249">
        <f t="shared" si="1"/>
        <v>3</v>
      </c>
      <c r="G27" s="183">
        <f ca="1">COUNTIF($L27:$XFD27, "Y")</f>
        <v>1</v>
      </c>
      <c r="H27" s="183">
        <f ca="1">COUNTIF($L27:$XFD27,"N")</f>
        <v>0</v>
      </c>
      <c r="I27" s="249">
        <f t="shared" ca="1" si="2"/>
        <v>3</v>
      </c>
      <c r="J27" s="249">
        <f t="shared" ca="1" si="3"/>
        <v>0</v>
      </c>
      <c r="K27" s="183">
        <f ca="1">COUNTIF($L27:$XFD27,"N/A")</f>
        <v>0</v>
      </c>
      <c r="L27" s="182" t="str">
        <f t="shared" ca="1" si="4"/>
        <v>Y</v>
      </c>
    </row>
    <row r="28" spans="2:12" s="8" customFormat="1" ht="28.15" customHeight="1">
      <c r="B28" s="330"/>
      <c r="C28" s="136" t="s">
        <v>69</v>
      </c>
      <c r="D28" s="185" t="s">
        <v>130</v>
      </c>
      <c r="E28" s="183" t="s">
        <v>3</v>
      </c>
      <c r="F28" s="249">
        <f t="shared" si="1"/>
        <v>3</v>
      </c>
      <c r="G28" s="183">
        <f ca="1">COUNTIF($L28:$XFD28, "Y")</f>
        <v>1</v>
      </c>
      <c r="H28" s="183">
        <f ca="1">COUNTIF($L28:$XFD28,"N")</f>
        <v>0</v>
      </c>
      <c r="I28" s="249">
        <f t="shared" ca="1" si="2"/>
        <v>3</v>
      </c>
      <c r="J28" s="249">
        <f t="shared" ca="1" si="3"/>
        <v>0</v>
      </c>
      <c r="K28" s="183">
        <f ca="1">COUNTIF($L28:$XFD28,"N/A")</f>
        <v>0</v>
      </c>
      <c r="L28" s="182" t="str">
        <f t="shared" ca="1" si="4"/>
        <v>Y</v>
      </c>
    </row>
    <row r="29" spans="2:12" s="8" customFormat="1" ht="28.15" customHeight="1">
      <c r="B29" s="330"/>
      <c r="C29" s="136" t="s">
        <v>71</v>
      </c>
      <c r="D29" s="185" t="s">
        <v>352</v>
      </c>
      <c r="E29" s="183" t="s">
        <v>3</v>
      </c>
      <c r="F29" s="249">
        <f t="shared" si="1"/>
        <v>3</v>
      </c>
      <c r="G29" s="183">
        <f ca="1">COUNTIF($L29:$XFD29, "Y")</f>
        <v>1</v>
      </c>
      <c r="H29" s="183">
        <f ca="1">COUNTIF($L29:$XFD29,"N")</f>
        <v>0</v>
      </c>
      <c r="I29" s="249">
        <f t="shared" ca="1" si="2"/>
        <v>3</v>
      </c>
      <c r="J29" s="249">
        <f t="shared" ca="1" si="3"/>
        <v>0</v>
      </c>
      <c r="K29" s="183">
        <f ca="1">COUNTIF($L29:$XFD29,"N/A")</f>
        <v>0</v>
      </c>
      <c r="L29" s="182" t="str">
        <f t="shared" ca="1" si="4"/>
        <v>Y</v>
      </c>
    </row>
    <row r="30" spans="2:12" s="8" customFormat="1" ht="28.15" customHeight="1">
      <c r="B30" s="330"/>
      <c r="C30" s="136" t="s">
        <v>72</v>
      </c>
      <c r="D30" s="185" t="s">
        <v>74</v>
      </c>
      <c r="E30" s="183" t="s">
        <v>3</v>
      </c>
      <c r="F30" s="249">
        <f t="shared" si="1"/>
        <v>3</v>
      </c>
      <c r="G30" s="183">
        <f ca="1">COUNTIF($L30:$XFD30, "Y")</f>
        <v>1</v>
      </c>
      <c r="H30" s="183">
        <f ca="1">COUNTIF($L30:$XFD30,"N")</f>
        <v>0</v>
      </c>
      <c r="I30" s="249">
        <f t="shared" ca="1" si="2"/>
        <v>3</v>
      </c>
      <c r="J30" s="249">
        <f t="shared" ca="1" si="3"/>
        <v>0</v>
      </c>
      <c r="K30" s="183">
        <f ca="1">COUNTIF($L30:$XFD30,"N/A")</f>
        <v>0</v>
      </c>
      <c r="L30" s="182" t="str">
        <f t="shared" ca="1" si="4"/>
        <v>Y</v>
      </c>
    </row>
    <row r="31" spans="2:12" s="8" customFormat="1" ht="28.15" customHeight="1">
      <c r="B31" s="330"/>
      <c r="C31" s="136" t="s">
        <v>73</v>
      </c>
      <c r="D31" s="185" t="s">
        <v>76</v>
      </c>
      <c r="E31" s="183" t="s">
        <v>3</v>
      </c>
      <c r="F31" s="249">
        <f t="shared" si="1"/>
        <v>3</v>
      </c>
      <c r="G31" s="183">
        <f ca="1">COUNTIF($L31:$XFD31, "Y")</f>
        <v>1</v>
      </c>
      <c r="H31" s="183">
        <f ca="1">COUNTIF($L31:$XFD31,"N")</f>
        <v>0</v>
      </c>
      <c r="I31" s="249">
        <f t="shared" ca="1" si="2"/>
        <v>3</v>
      </c>
      <c r="J31" s="249">
        <f t="shared" ca="1" si="3"/>
        <v>0</v>
      </c>
      <c r="K31" s="183">
        <f ca="1">COUNTIF($L31:$XFD31,"N/A")</f>
        <v>0</v>
      </c>
      <c r="L31" s="182" t="str">
        <f t="shared" ca="1" si="4"/>
        <v>Y</v>
      </c>
    </row>
    <row r="32" spans="2:12" s="8" customFormat="1" ht="28.15" customHeight="1">
      <c r="B32" s="330"/>
      <c r="C32" s="136" t="s">
        <v>75</v>
      </c>
      <c r="D32" s="185" t="s">
        <v>78</v>
      </c>
      <c r="E32" s="183" t="s">
        <v>3</v>
      </c>
      <c r="F32" s="249">
        <f t="shared" si="1"/>
        <v>3</v>
      </c>
      <c r="G32" s="183">
        <f ca="1">COUNTIF($L32:$XFD32, "Y")</f>
        <v>1</v>
      </c>
      <c r="H32" s="183">
        <f ca="1">COUNTIF($L32:$XFD32,"N")</f>
        <v>0</v>
      </c>
      <c r="I32" s="249">
        <f t="shared" ca="1" si="2"/>
        <v>3</v>
      </c>
      <c r="J32" s="249">
        <f t="shared" ca="1" si="3"/>
        <v>0</v>
      </c>
      <c r="K32" s="183">
        <f ca="1">COUNTIF($L32:$XFD32,"N/A")</f>
        <v>0</v>
      </c>
      <c r="L32" s="182" t="str">
        <f t="shared" ca="1" si="4"/>
        <v>Y</v>
      </c>
    </row>
    <row r="33" spans="2:12" s="8" customFormat="1" ht="28.15" customHeight="1">
      <c r="B33" s="330"/>
      <c r="C33" s="136" t="s">
        <v>77</v>
      </c>
      <c r="D33" s="185" t="s">
        <v>80</v>
      </c>
      <c r="E33" s="183" t="s">
        <v>3</v>
      </c>
      <c r="F33" s="249">
        <f t="shared" si="1"/>
        <v>3</v>
      </c>
      <c r="G33" s="183">
        <f ca="1">COUNTIF($L33:$XFD33, "Y")</f>
        <v>1</v>
      </c>
      <c r="H33" s="183">
        <f ca="1">COUNTIF($L33:$XFD33,"N")</f>
        <v>0</v>
      </c>
      <c r="I33" s="249">
        <f t="shared" ca="1" si="2"/>
        <v>3</v>
      </c>
      <c r="J33" s="249">
        <f t="shared" ca="1" si="3"/>
        <v>0</v>
      </c>
      <c r="K33" s="183">
        <f ca="1">COUNTIF($L33:$XFD33,"N/A")</f>
        <v>0</v>
      </c>
      <c r="L33" s="182" t="str">
        <f t="shared" ca="1" si="4"/>
        <v>Y</v>
      </c>
    </row>
    <row r="34" spans="2:12" s="8" customFormat="1" ht="28.15" customHeight="1">
      <c r="B34" s="330"/>
      <c r="C34" s="136" t="s">
        <v>79</v>
      </c>
      <c r="D34" s="185" t="s">
        <v>128</v>
      </c>
      <c r="E34" s="183" t="s">
        <v>12</v>
      </c>
      <c r="F34" s="249">
        <f t="shared" si="1"/>
        <v>1</v>
      </c>
      <c r="G34" s="183">
        <f ca="1">COUNTIF($L34:$XFD34, "Y")</f>
        <v>1</v>
      </c>
      <c r="H34" s="183">
        <f ca="1">COUNTIF($L34:$XFD34,"N")</f>
        <v>0</v>
      </c>
      <c r="I34" s="249">
        <f t="shared" ca="1" si="2"/>
        <v>1</v>
      </c>
      <c r="J34" s="249">
        <f t="shared" ca="1" si="3"/>
        <v>0</v>
      </c>
      <c r="K34" s="183">
        <f ca="1">COUNTIF($L34:$XFD34,"N/A")</f>
        <v>0</v>
      </c>
      <c r="L34" s="182" t="str">
        <f t="shared" ca="1" si="4"/>
        <v>Y</v>
      </c>
    </row>
    <row r="35" spans="2:12" s="8" customFormat="1" ht="28.15" customHeight="1">
      <c r="B35" s="330"/>
      <c r="C35" s="136" t="s">
        <v>81</v>
      </c>
      <c r="D35" s="185" t="s">
        <v>84</v>
      </c>
      <c r="E35" s="183" t="s">
        <v>11</v>
      </c>
      <c r="F35" s="249">
        <f t="shared" si="1"/>
        <v>2</v>
      </c>
      <c r="G35" s="183">
        <f ca="1">COUNTIF($L35:$XFD35, "Y")</f>
        <v>1</v>
      </c>
      <c r="H35" s="183">
        <f ca="1">COUNTIF($L35:$XFD35,"N")</f>
        <v>0</v>
      </c>
      <c r="I35" s="249">
        <f t="shared" ca="1" si="2"/>
        <v>2</v>
      </c>
      <c r="J35" s="249">
        <f t="shared" ca="1" si="3"/>
        <v>0</v>
      </c>
      <c r="K35" s="183">
        <f ca="1">COUNTIF($L35:$XFD35,"N/A")</f>
        <v>0</v>
      </c>
      <c r="L35" s="182" t="str">
        <f t="shared" ca="1" si="4"/>
        <v>Y</v>
      </c>
    </row>
    <row r="36" spans="2:12" s="8" customFormat="1" ht="28.15" customHeight="1">
      <c r="B36" s="330"/>
      <c r="C36" s="136" t="s">
        <v>82</v>
      </c>
      <c r="D36" s="185" t="s">
        <v>86</v>
      </c>
      <c r="E36" s="183" t="s">
        <v>11</v>
      </c>
      <c r="F36" s="249">
        <f t="shared" si="1"/>
        <v>2</v>
      </c>
      <c r="G36" s="183">
        <f ca="1">COUNTIF($L36:$XFD36, "Y")</f>
        <v>1</v>
      </c>
      <c r="H36" s="183">
        <f ca="1">COUNTIF($L36:$XFD36,"N")</f>
        <v>0</v>
      </c>
      <c r="I36" s="249">
        <f ca="1">F36*G36</f>
        <v>2</v>
      </c>
      <c r="J36" s="249">
        <f ca="1">F36*H36</f>
        <v>0</v>
      </c>
      <c r="K36" s="183">
        <f ca="1">COUNTIF($L36:$XFD36,"N/A")</f>
        <v>0</v>
      </c>
      <c r="L36" s="182" t="str">
        <f ca="1">INDIRECT("'"&amp;INDIRECT("점검대상!C"&amp;COLUMN()-5)&amp;"'!M"&amp;ROW()+15)</f>
        <v>Y</v>
      </c>
    </row>
    <row r="37" spans="2:12" s="8" customFormat="1" ht="28.15" customHeight="1">
      <c r="B37" s="330"/>
      <c r="C37" s="136" t="s">
        <v>83</v>
      </c>
      <c r="D37" s="185" t="s">
        <v>88</v>
      </c>
      <c r="E37" s="183" t="s">
        <v>11</v>
      </c>
      <c r="F37" s="249">
        <f t="shared" si="1"/>
        <v>2</v>
      </c>
      <c r="G37" s="183">
        <f ca="1">COUNTIF($L37:$XFD37, "Y")</f>
        <v>1</v>
      </c>
      <c r="H37" s="183">
        <f ca="1">COUNTIF($L37:$XFD37,"N")</f>
        <v>0</v>
      </c>
      <c r="I37" s="249">
        <f ca="1">F37*G37</f>
        <v>2</v>
      </c>
      <c r="J37" s="249">
        <f ca="1">F37*H37</f>
        <v>0</v>
      </c>
      <c r="K37" s="183">
        <f ca="1">COUNTIF($L37:$XFD37,"N/A")</f>
        <v>0</v>
      </c>
      <c r="L37" s="182" t="str">
        <f ca="1">INDIRECT("'"&amp;INDIRECT("점검대상!C"&amp;COLUMN()-5)&amp;"'!M"&amp;ROW()+15)</f>
        <v>Y</v>
      </c>
    </row>
    <row r="38" spans="2:12" s="8" customFormat="1" ht="28.15" customHeight="1">
      <c r="B38" s="330"/>
      <c r="C38" s="136" t="s">
        <v>85</v>
      </c>
      <c r="D38" s="185" t="s">
        <v>90</v>
      </c>
      <c r="E38" s="183" t="s">
        <v>12</v>
      </c>
      <c r="F38" s="249">
        <f t="shared" si="1"/>
        <v>1</v>
      </c>
      <c r="G38" s="183">
        <f ca="1">COUNTIF($L38:$XFD38, "Y")</f>
        <v>1</v>
      </c>
      <c r="H38" s="183">
        <f ca="1">COUNTIF($L38:$XFD38,"N")</f>
        <v>0</v>
      </c>
      <c r="I38" s="249">
        <f t="shared" ca="1" si="2"/>
        <v>1</v>
      </c>
      <c r="J38" s="249">
        <f t="shared" ca="1" si="3"/>
        <v>0</v>
      </c>
      <c r="K38" s="183">
        <f ca="1">COUNTIF($L38:$XFD38,"N/A")</f>
        <v>0</v>
      </c>
      <c r="L38" s="182" t="str">
        <f t="shared" ref="L38:L68" ca="1" si="5">INDIRECT("'"&amp;INDIRECT("점검대상!C"&amp;COLUMN()-5)&amp;"'!M"&amp;ROW()+15)</f>
        <v>Y</v>
      </c>
    </row>
    <row r="39" spans="2:12" s="8" customFormat="1" ht="28.15" customHeight="1">
      <c r="B39" s="329" t="s">
        <v>157</v>
      </c>
      <c r="C39" s="131" t="s">
        <v>87</v>
      </c>
      <c r="D39" s="184" t="s">
        <v>92</v>
      </c>
      <c r="E39" s="182" t="s">
        <v>3</v>
      </c>
      <c r="F39" s="182">
        <f t="shared" si="1"/>
        <v>3</v>
      </c>
      <c r="G39" s="182">
        <f ca="1">COUNTIF($L39:$XFD39, "Y")</f>
        <v>1</v>
      </c>
      <c r="H39" s="182">
        <f ca="1">COUNTIF($L39:$XFD39,"N")</f>
        <v>0</v>
      </c>
      <c r="I39" s="182">
        <f t="shared" ca="1" si="2"/>
        <v>3</v>
      </c>
      <c r="J39" s="182">
        <f t="shared" ca="1" si="3"/>
        <v>0</v>
      </c>
      <c r="K39" s="182">
        <f ca="1">COUNTIF($L39:$XFD39,"N/A")</f>
        <v>0</v>
      </c>
      <c r="L39" s="182" t="str">
        <f t="shared" ca="1" si="5"/>
        <v>Y</v>
      </c>
    </row>
    <row r="40" spans="2:12" s="8" customFormat="1" ht="28.15" customHeight="1">
      <c r="B40" s="329"/>
      <c r="C40" s="131" t="s">
        <v>89</v>
      </c>
      <c r="D40" s="184" t="s">
        <v>353</v>
      </c>
      <c r="E40" s="182" t="s">
        <v>3</v>
      </c>
      <c r="F40" s="182">
        <f t="shared" si="1"/>
        <v>3</v>
      </c>
      <c r="G40" s="182">
        <f ca="1">COUNTIF($L40:$XFD40, "Y")</f>
        <v>1</v>
      </c>
      <c r="H40" s="182">
        <f ca="1">COUNTIF($L40:$XFD40,"N")</f>
        <v>0</v>
      </c>
      <c r="I40" s="182">
        <f t="shared" ca="1" si="2"/>
        <v>3</v>
      </c>
      <c r="J40" s="182">
        <f t="shared" ca="1" si="3"/>
        <v>0</v>
      </c>
      <c r="K40" s="182">
        <f ca="1">COUNTIF($L40:$XFD40,"N/A")</f>
        <v>0</v>
      </c>
      <c r="L40" s="182" t="str">
        <f t="shared" ca="1" si="5"/>
        <v>Y</v>
      </c>
    </row>
    <row r="41" spans="2:12" s="8" customFormat="1" ht="28.15" customHeight="1">
      <c r="B41" s="329"/>
      <c r="C41" s="131" t="s">
        <v>91</v>
      </c>
      <c r="D41" s="184" t="s">
        <v>95</v>
      </c>
      <c r="E41" s="182" t="s">
        <v>3</v>
      </c>
      <c r="F41" s="182">
        <f t="shared" si="1"/>
        <v>3</v>
      </c>
      <c r="G41" s="182">
        <f ca="1">COUNTIF($L41:$XFD41, "Y")</f>
        <v>1</v>
      </c>
      <c r="H41" s="182">
        <f ca="1">COUNTIF($L41:$XFD41,"N")</f>
        <v>0</v>
      </c>
      <c r="I41" s="182">
        <f t="shared" ca="1" si="2"/>
        <v>3</v>
      </c>
      <c r="J41" s="182">
        <f t="shared" ca="1" si="3"/>
        <v>0</v>
      </c>
      <c r="K41" s="182">
        <f ca="1">COUNTIF($L41:$XFD41,"N/A")</f>
        <v>0</v>
      </c>
      <c r="L41" s="182" t="str">
        <f t="shared" ca="1" si="5"/>
        <v>Y</v>
      </c>
    </row>
    <row r="42" spans="2:12" s="8" customFormat="1" ht="28.15" customHeight="1">
      <c r="B42" s="329"/>
      <c r="C42" s="131" t="s">
        <v>93</v>
      </c>
      <c r="D42" s="184" t="s">
        <v>354</v>
      </c>
      <c r="E42" s="182" t="s">
        <v>3</v>
      </c>
      <c r="F42" s="182">
        <f t="shared" si="1"/>
        <v>3</v>
      </c>
      <c r="G42" s="182">
        <f ca="1">COUNTIF($L42:$XFD42, "Y")</f>
        <v>1</v>
      </c>
      <c r="H42" s="182">
        <f ca="1">COUNTIF($L42:$XFD42,"N")</f>
        <v>0</v>
      </c>
      <c r="I42" s="182">
        <f t="shared" ca="1" si="2"/>
        <v>3</v>
      </c>
      <c r="J42" s="182">
        <f t="shared" ca="1" si="3"/>
        <v>0</v>
      </c>
      <c r="K42" s="182">
        <f ca="1">COUNTIF($L42:$XFD42,"N/A")</f>
        <v>0</v>
      </c>
      <c r="L42" s="182" t="str">
        <f t="shared" ca="1" si="5"/>
        <v>Y</v>
      </c>
    </row>
    <row r="43" spans="2:12" s="8" customFormat="1" ht="28.15" customHeight="1">
      <c r="B43" s="329"/>
      <c r="C43" s="131" t="s">
        <v>94</v>
      </c>
      <c r="D43" s="184" t="s">
        <v>98</v>
      </c>
      <c r="E43" s="182" t="s">
        <v>3</v>
      </c>
      <c r="F43" s="182">
        <f t="shared" si="1"/>
        <v>3</v>
      </c>
      <c r="G43" s="182">
        <f ca="1">COUNTIF($L43:$XFD43, "Y")</f>
        <v>1</v>
      </c>
      <c r="H43" s="182">
        <f ca="1">COUNTIF($L43:$XFD43,"N")</f>
        <v>0</v>
      </c>
      <c r="I43" s="182">
        <f t="shared" ca="1" si="2"/>
        <v>3</v>
      </c>
      <c r="J43" s="182">
        <f t="shared" ca="1" si="3"/>
        <v>0</v>
      </c>
      <c r="K43" s="182">
        <f ca="1">COUNTIF($L43:$XFD43,"N/A")</f>
        <v>0</v>
      </c>
      <c r="L43" s="182" t="str">
        <f t="shared" ca="1" si="5"/>
        <v>Y</v>
      </c>
    </row>
    <row r="44" spans="2:12" s="8" customFormat="1" ht="28.15" customHeight="1">
      <c r="B44" s="329"/>
      <c r="C44" s="131" t="s">
        <v>96</v>
      </c>
      <c r="D44" s="184" t="s">
        <v>355</v>
      </c>
      <c r="E44" s="182" t="s">
        <v>3</v>
      </c>
      <c r="F44" s="182">
        <f t="shared" si="1"/>
        <v>3</v>
      </c>
      <c r="G44" s="182">
        <f ca="1">COUNTIF($L44:$XFD44, "Y")</f>
        <v>1</v>
      </c>
      <c r="H44" s="182">
        <f ca="1">COUNTIF($L44:$XFD44,"N")</f>
        <v>0</v>
      </c>
      <c r="I44" s="182">
        <f t="shared" ca="1" si="2"/>
        <v>3</v>
      </c>
      <c r="J44" s="182">
        <f t="shared" ca="1" si="3"/>
        <v>0</v>
      </c>
      <c r="K44" s="182">
        <f ca="1">COUNTIF($L44:$XFD44,"N/A")</f>
        <v>0</v>
      </c>
      <c r="L44" s="182" t="str">
        <f t="shared" ca="1" si="5"/>
        <v>Y</v>
      </c>
    </row>
    <row r="45" spans="2:12" s="8" customFormat="1" ht="28.15" customHeight="1">
      <c r="B45" s="329"/>
      <c r="C45" s="131" t="s">
        <v>97</v>
      </c>
      <c r="D45" s="184" t="s">
        <v>132</v>
      </c>
      <c r="E45" s="182" t="s">
        <v>3</v>
      </c>
      <c r="F45" s="182">
        <f t="shared" si="1"/>
        <v>3</v>
      </c>
      <c r="G45" s="182">
        <f ca="1">COUNTIF($L45:$XFD45, "Y")</f>
        <v>1</v>
      </c>
      <c r="H45" s="182">
        <f ca="1">COUNTIF($L45:$XFD45,"N")</f>
        <v>0</v>
      </c>
      <c r="I45" s="182">
        <f t="shared" ca="1" si="2"/>
        <v>3</v>
      </c>
      <c r="J45" s="182">
        <f t="shared" ca="1" si="3"/>
        <v>0</v>
      </c>
      <c r="K45" s="182">
        <f ca="1">COUNTIF($L45:$XFD45,"N/A")</f>
        <v>0</v>
      </c>
      <c r="L45" s="182" t="str">
        <f t="shared" ca="1" si="5"/>
        <v>Y</v>
      </c>
    </row>
    <row r="46" spans="2:12" s="8" customFormat="1" ht="28.15" customHeight="1">
      <c r="B46" s="329"/>
      <c r="C46" s="131" t="s">
        <v>99</v>
      </c>
      <c r="D46" s="184" t="s">
        <v>356</v>
      </c>
      <c r="E46" s="182" t="s">
        <v>3</v>
      </c>
      <c r="F46" s="182">
        <f t="shared" si="1"/>
        <v>3</v>
      </c>
      <c r="G46" s="182">
        <f ca="1">COUNTIF($L46:$XFD46, "Y")</f>
        <v>1</v>
      </c>
      <c r="H46" s="182">
        <f ca="1">COUNTIF($L46:$XFD46,"N")</f>
        <v>0</v>
      </c>
      <c r="I46" s="182">
        <f t="shared" ca="1" si="2"/>
        <v>3</v>
      </c>
      <c r="J46" s="182">
        <f t="shared" ca="1" si="3"/>
        <v>0</v>
      </c>
      <c r="K46" s="182">
        <f ca="1">COUNTIF($L46:$XFD46,"N/A")</f>
        <v>0</v>
      </c>
      <c r="L46" s="182" t="str">
        <f t="shared" ca="1" si="5"/>
        <v>Y</v>
      </c>
    </row>
    <row r="47" spans="2:12" s="8" customFormat="1" ht="28.15" customHeight="1">
      <c r="B47" s="329"/>
      <c r="C47" s="131" t="s">
        <v>338</v>
      </c>
      <c r="D47" s="184" t="s">
        <v>357</v>
      </c>
      <c r="E47" s="182" t="s">
        <v>3</v>
      </c>
      <c r="F47" s="182">
        <f t="shared" si="1"/>
        <v>3</v>
      </c>
      <c r="G47" s="182">
        <f ca="1">COUNTIF($L47:$XFD47, "Y")</f>
        <v>1</v>
      </c>
      <c r="H47" s="182">
        <f ca="1">COUNTIF($L47:$XFD47,"N")</f>
        <v>0</v>
      </c>
      <c r="I47" s="182">
        <f t="shared" ca="1" si="2"/>
        <v>3</v>
      </c>
      <c r="J47" s="182">
        <f t="shared" ca="1" si="3"/>
        <v>0</v>
      </c>
      <c r="K47" s="182">
        <f ca="1">COUNTIF($L47:$XFD47,"N/A")</f>
        <v>0</v>
      </c>
      <c r="L47" s="182" t="str">
        <f t="shared" ca="1" si="5"/>
        <v>Y</v>
      </c>
    </row>
    <row r="48" spans="2:12" s="8" customFormat="1" ht="28.15" customHeight="1">
      <c r="B48" s="329"/>
      <c r="C48" s="131" t="s">
        <v>339</v>
      </c>
      <c r="D48" s="184" t="s">
        <v>101</v>
      </c>
      <c r="E48" s="182" t="s">
        <v>3</v>
      </c>
      <c r="F48" s="182">
        <f t="shared" si="1"/>
        <v>3</v>
      </c>
      <c r="G48" s="182">
        <f ca="1">COUNTIF($L48:$XFD48, "Y")</f>
        <v>1</v>
      </c>
      <c r="H48" s="182">
        <f ca="1">COUNTIF($L48:$XFD48,"N")</f>
        <v>0</v>
      </c>
      <c r="I48" s="182">
        <f t="shared" ca="1" si="2"/>
        <v>3</v>
      </c>
      <c r="J48" s="182">
        <f t="shared" ca="1" si="3"/>
        <v>0</v>
      </c>
      <c r="K48" s="182">
        <f ca="1">COUNTIF($L48:$XFD48,"N/A")</f>
        <v>0</v>
      </c>
      <c r="L48" s="182" t="str">
        <f t="shared" ca="1" si="5"/>
        <v>Y</v>
      </c>
    </row>
    <row r="49" spans="2:12" s="8" customFormat="1" ht="28.15" customHeight="1">
      <c r="B49" s="329"/>
      <c r="C49" s="131" t="s">
        <v>340</v>
      </c>
      <c r="D49" s="184" t="s">
        <v>103</v>
      </c>
      <c r="E49" s="182" t="s">
        <v>3</v>
      </c>
      <c r="F49" s="182">
        <f t="shared" si="1"/>
        <v>3</v>
      </c>
      <c r="G49" s="182">
        <f ca="1">COUNTIF($L49:$XFD49, "Y")</f>
        <v>1</v>
      </c>
      <c r="H49" s="182">
        <f ca="1">COUNTIF($L49:$XFD49,"N")</f>
        <v>0</v>
      </c>
      <c r="I49" s="182">
        <f t="shared" ca="1" si="2"/>
        <v>3</v>
      </c>
      <c r="J49" s="182">
        <f t="shared" ca="1" si="3"/>
        <v>0</v>
      </c>
      <c r="K49" s="182">
        <f ca="1">COUNTIF($L49:$XFD49,"N/A")</f>
        <v>0</v>
      </c>
      <c r="L49" s="182" t="str">
        <f t="shared" ca="1" si="5"/>
        <v>Y</v>
      </c>
    </row>
    <row r="50" spans="2:12" s="8" customFormat="1" ht="28.15" customHeight="1">
      <c r="B50" s="329"/>
      <c r="C50" s="131" t="s">
        <v>100</v>
      </c>
      <c r="D50" s="184" t="s">
        <v>358</v>
      </c>
      <c r="E50" s="182" t="s">
        <v>3</v>
      </c>
      <c r="F50" s="182">
        <f t="shared" si="1"/>
        <v>3</v>
      </c>
      <c r="G50" s="182">
        <f ca="1">COUNTIF($L50:$XFD50, "Y")</f>
        <v>1</v>
      </c>
      <c r="H50" s="182">
        <f ca="1">COUNTIF($L50:$XFD50,"N")</f>
        <v>0</v>
      </c>
      <c r="I50" s="182">
        <f t="shared" ca="1" si="2"/>
        <v>3</v>
      </c>
      <c r="J50" s="182">
        <f t="shared" ca="1" si="3"/>
        <v>0</v>
      </c>
      <c r="K50" s="182">
        <f ca="1">COUNTIF($L50:$XFD50,"N/A")</f>
        <v>0</v>
      </c>
      <c r="L50" s="182" t="str">
        <f t="shared" ca="1" si="5"/>
        <v>Y</v>
      </c>
    </row>
    <row r="51" spans="2:12" s="8" customFormat="1" ht="28.15" customHeight="1">
      <c r="B51" s="329"/>
      <c r="C51" s="131" t="s">
        <v>102</v>
      </c>
      <c r="D51" s="184" t="s">
        <v>359</v>
      </c>
      <c r="E51" s="182" t="s">
        <v>3</v>
      </c>
      <c r="F51" s="182">
        <f t="shared" si="1"/>
        <v>3</v>
      </c>
      <c r="G51" s="182">
        <f ca="1">COUNTIF($L51:$XFD51, "Y")</f>
        <v>1</v>
      </c>
      <c r="H51" s="182">
        <f ca="1">COUNTIF($L51:$XFD51,"N")</f>
        <v>0</v>
      </c>
      <c r="I51" s="182">
        <f t="shared" ca="1" si="2"/>
        <v>3</v>
      </c>
      <c r="J51" s="182">
        <f t="shared" ca="1" si="3"/>
        <v>0</v>
      </c>
      <c r="K51" s="182">
        <f ca="1">COUNTIF($L51:$XFD51,"N/A")</f>
        <v>0</v>
      </c>
      <c r="L51" s="182" t="str">
        <f t="shared" ca="1" si="5"/>
        <v>Y</v>
      </c>
    </row>
    <row r="52" spans="2:12" s="8" customFormat="1" ht="28.15" customHeight="1">
      <c r="B52" s="329"/>
      <c r="C52" s="131" t="s">
        <v>104</v>
      </c>
      <c r="D52" s="184" t="s">
        <v>106</v>
      </c>
      <c r="E52" s="182" t="s">
        <v>3</v>
      </c>
      <c r="F52" s="182">
        <f t="shared" si="1"/>
        <v>3</v>
      </c>
      <c r="G52" s="182">
        <f ca="1">COUNTIF($L52:$XFD52, "Y")</f>
        <v>1</v>
      </c>
      <c r="H52" s="182">
        <f ca="1">COUNTIF($L52:$XFD52,"N")</f>
        <v>0</v>
      </c>
      <c r="I52" s="182">
        <f t="shared" ca="1" si="2"/>
        <v>3</v>
      </c>
      <c r="J52" s="182">
        <f t="shared" ca="1" si="3"/>
        <v>0</v>
      </c>
      <c r="K52" s="182">
        <f ca="1">COUNTIF($L52:$XFD52,"N/A")</f>
        <v>0</v>
      </c>
      <c r="L52" s="182" t="str">
        <f t="shared" ca="1" si="5"/>
        <v>Y</v>
      </c>
    </row>
    <row r="53" spans="2:12" s="8" customFormat="1" ht="28.15" customHeight="1">
      <c r="B53" s="329"/>
      <c r="C53" s="131" t="s">
        <v>105</v>
      </c>
      <c r="D53" s="184" t="s">
        <v>125</v>
      </c>
      <c r="E53" s="182" t="s">
        <v>11</v>
      </c>
      <c r="F53" s="182">
        <f t="shared" si="1"/>
        <v>2</v>
      </c>
      <c r="G53" s="182">
        <f ca="1">COUNTIF($L53:$XFD53, "Y")</f>
        <v>1</v>
      </c>
      <c r="H53" s="182">
        <f ca="1">COUNTIF($L53:$XFD53,"N")</f>
        <v>0</v>
      </c>
      <c r="I53" s="182">
        <f t="shared" ca="1" si="2"/>
        <v>2</v>
      </c>
      <c r="J53" s="182">
        <f t="shared" ca="1" si="3"/>
        <v>0</v>
      </c>
      <c r="K53" s="182">
        <f ca="1">COUNTIF($L53:$XFD53,"N/A")</f>
        <v>0</v>
      </c>
      <c r="L53" s="182" t="str">
        <f t="shared" ca="1" si="5"/>
        <v>Y</v>
      </c>
    </row>
    <row r="54" spans="2:12" s="8" customFormat="1" ht="28.15" customHeight="1">
      <c r="B54" s="329"/>
      <c r="C54" s="131" t="s">
        <v>107</v>
      </c>
      <c r="D54" s="184" t="s">
        <v>129</v>
      </c>
      <c r="E54" s="182" t="s">
        <v>3</v>
      </c>
      <c r="F54" s="182">
        <f t="shared" si="1"/>
        <v>3</v>
      </c>
      <c r="G54" s="182">
        <f ca="1">COUNTIF($L54:$XFD54, "Y")</f>
        <v>1</v>
      </c>
      <c r="H54" s="182">
        <f ca="1">COUNTIF($L54:$XFD54,"N")</f>
        <v>0</v>
      </c>
      <c r="I54" s="182">
        <f t="shared" ca="1" si="2"/>
        <v>3</v>
      </c>
      <c r="J54" s="182">
        <f t="shared" ca="1" si="3"/>
        <v>0</v>
      </c>
      <c r="K54" s="182">
        <f ca="1">COUNTIF($L54:$XFD54,"N/A")</f>
        <v>0</v>
      </c>
      <c r="L54" s="182" t="str">
        <f t="shared" ca="1" si="5"/>
        <v>Y</v>
      </c>
    </row>
    <row r="55" spans="2:12" s="8" customFormat="1" ht="28.15" customHeight="1">
      <c r="B55" s="329"/>
      <c r="C55" s="131" t="s">
        <v>108</v>
      </c>
      <c r="D55" s="184" t="s">
        <v>38</v>
      </c>
      <c r="E55" s="182" t="s">
        <v>3</v>
      </c>
      <c r="F55" s="182">
        <f t="shared" si="1"/>
        <v>3</v>
      </c>
      <c r="G55" s="182">
        <f ca="1">COUNTIF($L55:$XFD55, "Y")</f>
        <v>1</v>
      </c>
      <c r="H55" s="182">
        <f ca="1">COUNTIF($L55:$XFD55,"N")</f>
        <v>0</v>
      </c>
      <c r="I55" s="182">
        <f t="shared" ca="1" si="2"/>
        <v>3</v>
      </c>
      <c r="J55" s="182">
        <f t="shared" ca="1" si="3"/>
        <v>0</v>
      </c>
      <c r="K55" s="182">
        <f ca="1">COUNTIF($L55:$XFD55,"N/A")</f>
        <v>0</v>
      </c>
      <c r="L55" s="182" t="str">
        <f t="shared" ca="1" si="5"/>
        <v>Y</v>
      </c>
    </row>
    <row r="56" spans="2:12" s="8" customFormat="1" ht="28.15" customHeight="1">
      <c r="B56" s="329"/>
      <c r="C56" s="131" t="s">
        <v>109</v>
      </c>
      <c r="D56" s="184" t="s">
        <v>360</v>
      </c>
      <c r="E56" s="182" t="s">
        <v>11</v>
      </c>
      <c r="F56" s="182">
        <f t="shared" si="1"/>
        <v>2</v>
      </c>
      <c r="G56" s="182">
        <f ca="1">COUNTIF($L56:$XFD56, "Y")</f>
        <v>1</v>
      </c>
      <c r="H56" s="182">
        <f ca="1">COUNTIF($L56:$XFD56,"N")</f>
        <v>0</v>
      </c>
      <c r="I56" s="182">
        <f t="shared" ca="1" si="2"/>
        <v>2</v>
      </c>
      <c r="J56" s="182">
        <f t="shared" ca="1" si="3"/>
        <v>0</v>
      </c>
      <c r="K56" s="182">
        <f ca="1">COUNTIF($L56:$XFD56,"N/A")</f>
        <v>0</v>
      </c>
      <c r="L56" s="182" t="str">
        <f t="shared" ca="1" si="5"/>
        <v>Y</v>
      </c>
    </row>
    <row r="57" spans="2:12" s="8" customFormat="1" ht="28.15" customHeight="1">
      <c r="B57" s="329"/>
      <c r="C57" s="131" t="s">
        <v>110</v>
      </c>
      <c r="D57" s="184" t="s">
        <v>361</v>
      </c>
      <c r="E57" s="182" t="s">
        <v>11</v>
      </c>
      <c r="F57" s="182">
        <f t="shared" si="1"/>
        <v>2</v>
      </c>
      <c r="G57" s="182">
        <f ca="1">COUNTIF($L57:$XFD57, "Y")</f>
        <v>1</v>
      </c>
      <c r="H57" s="182">
        <f ca="1">COUNTIF($L57:$XFD57,"N")</f>
        <v>0</v>
      </c>
      <c r="I57" s="182">
        <f t="shared" ca="1" si="2"/>
        <v>2</v>
      </c>
      <c r="J57" s="182">
        <f t="shared" ca="1" si="3"/>
        <v>0</v>
      </c>
      <c r="K57" s="182">
        <f ca="1">COUNTIF($L57:$XFD57,"N/A")</f>
        <v>0</v>
      </c>
      <c r="L57" s="182" t="str">
        <f t="shared" ca="1" si="5"/>
        <v>Y</v>
      </c>
    </row>
    <row r="58" spans="2:12" s="8" customFormat="1" ht="28.15" customHeight="1">
      <c r="B58" s="329"/>
      <c r="C58" s="131" t="s">
        <v>111</v>
      </c>
      <c r="D58" s="184" t="s">
        <v>362</v>
      </c>
      <c r="E58" s="182" t="s">
        <v>12</v>
      </c>
      <c r="F58" s="182">
        <f t="shared" si="1"/>
        <v>1</v>
      </c>
      <c r="G58" s="182">
        <f ca="1">COUNTIF($L58:$XFD58, "Y")</f>
        <v>1</v>
      </c>
      <c r="H58" s="182">
        <f ca="1">COUNTIF($L58:$XFD58,"N")</f>
        <v>0</v>
      </c>
      <c r="I58" s="182">
        <f t="shared" ca="1" si="2"/>
        <v>1</v>
      </c>
      <c r="J58" s="182">
        <f t="shared" ca="1" si="3"/>
        <v>0</v>
      </c>
      <c r="K58" s="182">
        <f ca="1">COUNTIF($L58:$XFD58,"N/A")</f>
        <v>0</v>
      </c>
      <c r="L58" s="182" t="str">
        <f t="shared" ca="1" si="5"/>
        <v>Y</v>
      </c>
    </row>
    <row r="59" spans="2:12" s="8" customFormat="1" ht="28.35" customHeight="1">
      <c r="B59" s="329"/>
      <c r="C59" s="131" t="s">
        <v>112</v>
      </c>
      <c r="D59" s="184" t="s">
        <v>363</v>
      </c>
      <c r="E59" s="182" t="s">
        <v>11</v>
      </c>
      <c r="F59" s="182">
        <f t="shared" si="1"/>
        <v>2</v>
      </c>
      <c r="G59" s="182">
        <f ca="1">COUNTIF($L59:$XFD59, "Y")</f>
        <v>1</v>
      </c>
      <c r="H59" s="182">
        <f ca="1">COUNTIF($L59:$XFD59,"N")</f>
        <v>0</v>
      </c>
      <c r="I59" s="182">
        <f t="shared" ca="1" si="2"/>
        <v>2</v>
      </c>
      <c r="J59" s="182">
        <f t="shared" ca="1" si="3"/>
        <v>0</v>
      </c>
      <c r="K59" s="182">
        <f ca="1">COUNTIF($L59:$XFD59,"N/A")</f>
        <v>0</v>
      </c>
      <c r="L59" s="182" t="str">
        <f t="shared" ca="1" si="5"/>
        <v>Y</v>
      </c>
    </row>
    <row r="60" spans="2:12" s="8" customFormat="1" ht="28.35" customHeight="1">
      <c r="B60" s="329"/>
      <c r="C60" s="131" t="s">
        <v>341</v>
      </c>
      <c r="D60" s="184" t="s">
        <v>364</v>
      </c>
      <c r="E60" s="182" t="s">
        <v>11</v>
      </c>
      <c r="F60" s="182">
        <f t="shared" si="1"/>
        <v>2</v>
      </c>
      <c r="G60" s="182">
        <f ca="1">COUNTIF($L60:$XFD60, "Y")</f>
        <v>1</v>
      </c>
      <c r="H60" s="182">
        <f ca="1">COUNTIF($L60:$XFD60,"N")</f>
        <v>0</v>
      </c>
      <c r="I60" s="182">
        <f t="shared" ca="1" si="2"/>
        <v>2</v>
      </c>
      <c r="J60" s="182">
        <f t="shared" ca="1" si="3"/>
        <v>0</v>
      </c>
      <c r="K60" s="182">
        <f ca="1">COUNTIF($L60:$XFD60,"N/A")</f>
        <v>0</v>
      </c>
      <c r="L60" s="182" t="str">
        <f t="shared" ca="1" si="5"/>
        <v>Y</v>
      </c>
    </row>
    <row r="61" spans="2:12" s="8" customFormat="1" ht="28.35" customHeight="1">
      <c r="B61" s="329"/>
      <c r="C61" s="131" t="s">
        <v>113</v>
      </c>
      <c r="D61" s="184" t="s">
        <v>365</v>
      </c>
      <c r="E61" s="182" t="s">
        <v>12</v>
      </c>
      <c r="F61" s="182">
        <f t="shared" si="1"/>
        <v>1</v>
      </c>
      <c r="G61" s="182">
        <f ca="1">COUNTIF($L61:$XFD61, "Y")</f>
        <v>1</v>
      </c>
      <c r="H61" s="182">
        <f ca="1">COUNTIF($L61:$XFD61,"N")</f>
        <v>0</v>
      </c>
      <c r="I61" s="182">
        <f t="shared" ca="1" si="2"/>
        <v>1</v>
      </c>
      <c r="J61" s="182">
        <f t="shared" ca="1" si="3"/>
        <v>0</v>
      </c>
      <c r="K61" s="182">
        <f ca="1">COUNTIF($L61:$XFD61,"N/A")</f>
        <v>0</v>
      </c>
      <c r="L61" s="182" t="str">
        <f t="shared" ca="1" si="5"/>
        <v>Y</v>
      </c>
    </row>
    <row r="62" spans="2:12" s="8" customFormat="1" ht="28.35" customHeight="1">
      <c r="B62" s="329"/>
      <c r="C62" s="131" t="s">
        <v>114</v>
      </c>
      <c r="D62" s="184" t="s">
        <v>120</v>
      </c>
      <c r="E62" s="182" t="s">
        <v>11</v>
      </c>
      <c r="F62" s="182">
        <f t="shared" si="1"/>
        <v>2</v>
      </c>
      <c r="G62" s="182">
        <f ca="1">COUNTIF($L62:$XFD62, "Y")</f>
        <v>1</v>
      </c>
      <c r="H62" s="182">
        <f ca="1">COUNTIF($L62:$XFD62,"N")</f>
        <v>0</v>
      </c>
      <c r="I62" s="182">
        <f t="shared" ca="1" si="2"/>
        <v>2</v>
      </c>
      <c r="J62" s="182">
        <f t="shared" ca="1" si="3"/>
        <v>0</v>
      </c>
      <c r="K62" s="182">
        <f ca="1">COUNTIF($L62:$XFD62,"N/A")</f>
        <v>0</v>
      </c>
      <c r="L62" s="182" t="str">
        <f t="shared" ca="1" si="5"/>
        <v>Y</v>
      </c>
    </row>
    <row r="63" spans="2:12" s="8" customFormat="1" ht="28.35" customHeight="1">
      <c r="B63" s="329"/>
      <c r="C63" s="131" t="s">
        <v>115</v>
      </c>
      <c r="D63" s="184" t="s">
        <v>366</v>
      </c>
      <c r="E63" s="182" t="s">
        <v>11</v>
      </c>
      <c r="F63" s="182">
        <f t="shared" si="1"/>
        <v>2</v>
      </c>
      <c r="G63" s="182">
        <f ca="1">COUNTIF($L63:$XFD63, "Y")</f>
        <v>1</v>
      </c>
      <c r="H63" s="182">
        <f ca="1">COUNTIF($L63:$XFD63,"N")</f>
        <v>0</v>
      </c>
      <c r="I63" s="182">
        <f t="shared" ca="1" si="2"/>
        <v>2</v>
      </c>
      <c r="J63" s="182">
        <f t="shared" ca="1" si="3"/>
        <v>0</v>
      </c>
      <c r="K63" s="182">
        <f ca="1">COUNTIF($L63:$XFD63,"N/A")</f>
        <v>0</v>
      </c>
      <c r="L63" s="182" t="str">
        <f t="shared" ca="1" si="5"/>
        <v>Y</v>
      </c>
    </row>
    <row r="64" spans="2:12" s="8" customFormat="1" ht="28.35" customHeight="1">
      <c r="B64" s="329"/>
      <c r="C64" s="131" t="s">
        <v>116</v>
      </c>
      <c r="D64" s="184" t="s">
        <v>367</v>
      </c>
      <c r="E64" s="182" t="s">
        <v>3</v>
      </c>
      <c r="F64" s="182">
        <f t="shared" si="1"/>
        <v>3</v>
      </c>
      <c r="G64" s="182">
        <f ca="1">COUNTIF($L64:$XFD64, "Y")</f>
        <v>1</v>
      </c>
      <c r="H64" s="182">
        <f ca="1">COUNTIF($L64:$XFD64,"N")</f>
        <v>0</v>
      </c>
      <c r="I64" s="182">
        <f t="shared" ca="1" si="2"/>
        <v>3</v>
      </c>
      <c r="J64" s="182">
        <f t="shared" ca="1" si="3"/>
        <v>0</v>
      </c>
      <c r="K64" s="182">
        <f ca="1">COUNTIF($L64:$XFD64,"N/A")</f>
        <v>0</v>
      </c>
      <c r="L64" s="182" t="str">
        <f t="shared" ca="1" si="5"/>
        <v>Y</v>
      </c>
    </row>
    <row r="65" spans="2:12" s="8" customFormat="1" ht="28.35" customHeight="1">
      <c r="B65" s="329"/>
      <c r="C65" s="131" t="s">
        <v>342</v>
      </c>
      <c r="D65" s="184" t="s">
        <v>368</v>
      </c>
      <c r="E65" s="182" t="s">
        <v>11</v>
      </c>
      <c r="F65" s="182">
        <f t="shared" si="1"/>
        <v>2</v>
      </c>
      <c r="G65" s="182">
        <f ca="1">COUNTIF($L65:$XFD65, "Y")</f>
        <v>1</v>
      </c>
      <c r="H65" s="182">
        <f ca="1">COUNTIF($L65:$XFD65,"N")</f>
        <v>0</v>
      </c>
      <c r="I65" s="182">
        <f t="shared" ca="1" si="2"/>
        <v>2</v>
      </c>
      <c r="J65" s="182">
        <f t="shared" ca="1" si="3"/>
        <v>0</v>
      </c>
      <c r="K65" s="182">
        <f ca="1">COUNTIF($L65:$XFD65,"N/A")</f>
        <v>0</v>
      </c>
      <c r="L65" s="182" t="str">
        <f t="shared" ca="1" si="5"/>
        <v>Y</v>
      </c>
    </row>
    <row r="66" spans="2:12" s="8" customFormat="1" ht="28.35" customHeight="1">
      <c r="B66" s="329"/>
      <c r="C66" s="131" t="s">
        <v>117</v>
      </c>
      <c r="D66" s="184" t="s">
        <v>369</v>
      </c>
      <c r="E66" s="182" t="s">
        <v>3</v>
      </c>
      <c r="F66" s="182">
        <f t="shared" si="1"/>
        <v>3</v>
      </c>
      <c r="G66" s="182">
        <f ca="1">COUNTIF($L66:$XFD66, "Y")</f>
        <v>1</v>
      </c>
      <c r="H66" s="182">
        <f ca="1">COUNTIF($L66:$XFD66,"N")</f>
        <v>0</v>
      </c>
      <c r="I66" s="182">
        <f t="shared" ca="1" si="2"/>
        <v>3</v>
      </c>
      <c r="J66" s="182">
        <f t="shared" ca="1" si="3"/>
        <v>0</v>
      </c>
      <c r="K66" s="182">
        <f ca="1">COUNTIF($L66:$XFD66,"N/A")</f>
        <v>0</v>
      </c>
      <c r="L66" s="182" t="str">
        <f t="shared" ca="1" si="5"/>
        <v>Y</v>
      </c>
    </row>
    <row r="67" spans="2:12" s="8" customFormat="1" ht="28.35" customHeight="1">
      <c r="B67" s="329"/>
      <c r="C67" s="131" t="s">
        <v>118</v>
      </c>
      <c r="D67" s="184" t="s">
        <v>370</v>
      </c>
      <c r="E67" s="182" t="s">
        <v>12</v>
      </c>
      <c r="F67" s="182">
        <f t="shared" si="1"/>
        <v>1</v>
      </c>
      <c r="G67" s="182">
        <f ca="1">COUNTIF($L67:$XFD67, "Y")</f>
        <v>1</v>
      </c>
      <c r="H67" s="182">
        <f ca="1">COUNTIF($L67:$XFD67,"N")</f>
        <v>0</v>
      </c>
      <c r="I67" s="182">
        <f t="shared" ca="1" si="2"/>
        <v>1</v>
      </c>
      <c r="J67" s="182">
        <f t="shared" ca="1" si="3"/>
        <v>0</v>
      </c>
      <c r="K67" s="182">
        <f ca="1">COUNTIF($L67:$XFD67,"N/A")</f>
        <v>0</v>
      </c>
      <c r="L67" s="182" t="str">
        <f t="shared" ca="1" si="5"/>
        <v>Y</v>
      </c>
    </row>
    <row r="68" spans="2:12" s="8" customFormat="1" ht="28.35" customHeight="1">
      <c r="B68" s="329"/>
      <c r="C68" s="131" t="s">
        <v>119</v>
      </c>
      <c r="D68" s="184" t="s">
        <v>371</v>
      </c>
      <c r="E68" s="182" t="s">
        <v>11</v>
      </c>
      <c r="F68" s="182">
        <f t="shared" si="1"/>
        <v>2</v>
      </c>
      <c r="G68" s="182">
        <f ca="1">COUNTIF($L68:$XFD68, "Y")</f>
        <v>1</v>
      </c>
      <c r="H68" s="182">
        <f ca="1">COUNTIF($L68:$XFD68,"N")</f>
        <v>0</v>
      </c>
      <c r="I68" s="182">
        <f t="shared" ca="1" si="2"/>
        <v>2</v>
      </c>
      <c r="J68" s="182">
        <f t="shared" ca="1" si="3"/>
        <v>0</v>
      </c>
      <c r="K68" s="182">
        <f ca="1">COUNTIF($L68:$XFD68,"N/A")</f>
        <v>0</v>
      </c>
      <c r="L68" s="182" t="str">
        <f t="shared" ca="1" si="5"/>
        <v>Y</v>
      </c>
    </row>
    <row r="69" spans="2:12" s="8" customFormat="1" ht="28.35" customHeight="1">
      <c r="B69" s="136" t="s">
        <v>158</v>
      </c>
      <c r="C69" s="136" t="s">
        <v>121</v>
      </c>
      <c r="D69" s="185" t="s">
        <v>372</v>
      </c>
      <c r="E69" s="183" t="s">
        <v>3</v>
      </c>
      <c r="F69" s="249">
        <f t="shared" si="1"/>
        <v>3</v>
      </c>
      <c r="G69" s="183">
        <f ca="1">COUNTIF($L69:$XFD69, "Y")</f>
        <v>1</v>
      </c>
      <c r="H69" s="183">
        <f ca="1">COUNTIF($L69:$XFD69,"N")</f>
        <v>0</v>
      </c>
      <c r="I69" s="249">
        <f t="shared" ref="I69:I72" ca="1" si="6">F69*G69</f>
        <v>3</v>
      </c>
      <c r="J69" s="249">
        <f t="shared" ref="J69:J72" ca="1" si="7">F69*H69</f>
        <v>0</v>
      </c>
      <c r="K69" s="183">
        <f ca="1">COUNTIF($L69:$XFD69,"N/A")</f>
        <v>0</v>
      </c>
      <c r="L69" s="250" t="str">
        <f t="shared" ref="L69:L72" ca="1" si="8">INDIRECT("'"&amp;INDIRECT("점검대상!C"&amp;COLUMN()-5)&amp;"'!M"&amp;ROW()+15)</f>
        <v>Y</v>
      </c>
    </row>
    <row r="70" spans="2:12" s="8" customFormat="1" ht="28.35" customHeight="1">
      <c r="B70" s="331" t="s">
        <v>159</v>
      </c>
      <c r="C70" s="131" t="s">
        <v>122</v>
      </c>
      <c r="D70" s="184" t="s">
        <v>373</v>
      </c>
      <c r="E70" s="182" t="s">
        <v>11</v>
      </c>
      <c r="F70" s="182">
        <f t="shared" si="1"/>
        <v>2</v>
      </c>
      <c r="G70" s="182">
        <f ca="1">COUNTIF($L70:$XFD70, "Y")</f>
        <v>1</v>
      </c>
      <c r="H70" s="182">
        <f ca="1">COUNTIF($L70:$XFD70,"N")</f>
        <v>0</v>
      </c>
      <c r="I70" s="182">
        <f t="shared" ca="1" si="6"/>
        <v>2</v>
      </c>
      <c r="J70" s="182">
        <f t="shared" ca="1" si="7"/>
        <v>0</v>
      </c>
      <c r="K70" s="182">
        <f ca="1">COUNTIF($L70:$XFD70,"N/A")</f>
        <v>0</v>
      </c>
      <c r="L70" s="182" t="str">
        <f t="shared" ca="1" si="8"/>
        <v>Y</v>
      </c>
    </row>
    <row r="71" spans="2:12" s="8" customFormat="1" ht="28.35" customHeight="1">
      <c r="B71" s="331"/>
      <c r="C71" s="131" t="s">
        <v>123</v>
      </c>
      <c r="D71" s="184" t="s">
        <v>39</v>
      </c>
      <c r="E71" s="182" t="s">
        <v>11</v>
      </c>
      <c r="F71" s="182">
        <f t="shared" ref="F71:F72" si="9">IF(E71="상", 3, IF(E71="중", 2, IF(E71="하", 1, "-")))</f>
        <v>2</v>
      </c>
      <c r="G71" s="182">
        <f ca="1">COUNTIF($L71:$XFD71, "Y")</f>
        <v>1</v>
      </c>
      <c r="H71" s="182">
        <f ca="1">COUNTIF($L71:$XFD71,"N")</f>
        <v>0</v>
      </c>
      <c r="I71" s="182">
        <f t="shared" ref="I71" ca="1" si="10">F71*G71</f>
        <v>2</v>
      </c>
      <c r="J71" s="182">
        <f t="shared" ref="J71" ca="1" si="11">F71*H71</f>
        <v>0</v>
      </c>
      <c r="K71" s="182">
        <f ca="1">COUNTIF($L71:$XFD71,"N/A")</f>
        <v>0</v>
      </c>
      <c r="L71" s="182" t="str">
        <f t="shared" ca="1" si="8"/>
        <v>Y</v>
      </c>
    </row>
    <row r="72" spans="2:12" s="8" customFormat="1" ht="28.35" customHeight="1">
      <c r="B72" s="331"/>
      <c r="C72" s="131" t="s">
        <v>124</v>
      </c>
      <c r="D72" s="184" t="s">
        <v>374</v>
      </c>
      <c r="E72" s="182" t="s">
        <v>11</v>
      </c>
      <c r="F72" s="182">
        <f t="shared" si="9"/>
        <v>2</v>
      </c>
      <c r="G72" s="182">
        <f ca="1">COUNTIF($L72:$XFD72, "Y")</f>
        <v>1</v>
      </c>
      <c r="H72" s="182">
        <f ca="1">COUNTIF($L72:$XFD72,"N")</f>
        <v>0</v>
      </c>
      <c r="I72" s="182">
        <f t="shared" ca="1" si="6"/>
        <v>2</v>
      </c>
      <c r="J72" s="182">
        <f t="shared" ca="1" si="7"/>
        <v>0</v>
      </c>
      <c r="K72" s="182">
        <f ca="1">COUNTIF($L72:$XFD72,"N/A")</f>
        <v>0</v>
      </c>
      <c r="L72" s="182" t="str">
        <f t="shared" ca="1" si="8"/>
        <v>Y</v>
      </c>
    </row>
    <row r="73" spans="2:12">
      <c r="B73" s="332" t="s">
        <v>10</v>
      </c>
      <c r="C73" s="333"/>
      <c r="D73" s="333"/>
      <c r="E73" s="334"/>
      <c r="F73" s="323">
        <f t="shared" ref="F73:K73" si="12">SUM(F6:F72)</f>
        <v>165</v>
      </c>
      <c r="G73" s="323">
        <f t="shared" ca="1" si="12"/>
        <v>64</v>
      </c>
      <c r="H73" s="323">
        <f t="shared" ca="1" si="12"/>
        <v>3</v>
      </c>
      <c r="I73" s="323">
        <f t="shared" ca="1" si="12"/>
        <v>156</v>
      </c>
      <c r="J73" s="323">
        <f t="shared" ca="1" si="12"/>
        <v>9</v>
      </c>
      <c r="K73" s="323">
        <f t="shared" ca="1" si="12"/>
        <v>0</v>
      </c>
      <c r="L73" s="262">
        <f t="array" aca="1" ref="L73" ca="1">SUM(IF(L$6:L$72&lt;&gt;"N/A",$F$6:$F$72))</f>
        <v>165</v>
      </c>
    </row>
    <row r="74" spans="2:12">
      <c r="B74" s="335"/>
      <c r="C74" s="336"/>
      <c r="D74" s="336"/>
      <c r="E74" s="337"/>
      <c r="F74" s="324"/>
      <c r="G74" s="324"/>
      <c r="H74" s="324"/>
      <c r="I74" s="324"/>
      <c r="J74" s="324"/>
      <c r="K74" s="324"/>
      <c r="L74" s="129">
        <f t="array" aca="1" ref="L74" ca="1">SUMIF(L$6:L$72,"=N",$F$6:$F$72)</f>
        <v>9</v>
      </c>
    </row>
    <row r="75" spans="2:12" ht="24" customHeight="1">
      <c r="B75" s="19"/>
      <c r="C75" s="19"/>
      <c r="D75" s="19"/>
      <c r="E75" s="19"/>
      <c r="F75" s="19"/>
      <c r="G75" s="19"/>
      <c r="H75" s="19"/>
      <c r="I75" s="19"/>
      <c r="J75" s="57" t="s">
        <v>133</v>
      </c>
      <c r="K75" s="57">
        <f ca="1">SUM(L75:L75)</f>
        <v>64</v>
      </c>
      <c r="L75" s="58">
        <f t="shared" ref="L75:L77" ca="1" si="13">COUNTIF(L$6:L$72,$J75)</f>
        <v>64</v>
      </c>
    </row>
    <row r="76" spans="2:12" ht="18.600000000000001" customHeight="1">
      <c r="B76" s="19"/>
      <c r="C76" s="19"/>
      <c r="D76" s="19"/>
      <c r="E76" s="19"/>
      <c r="F76" s="19"/>
      <c r="G76" s="19"/>
      <c r="H76" s="19"/>
      <c r="I76" s="19"/>
      <c r="J76" s="59" t="s">
        <v>134</v>
      </c>
      <c r="K76" s="57">
        <f ca="1">SUM(L76:L76)</f>
        <v>3</v>
      </c>
      <c r="L76" s="61">
        <f t="shared" ca="1" si="13"/>
        <v>3</v>
      </c>
    </row>
    <row r="77" spans="2:12" ht="28.15" customHeight="1">
      <c r="B77" s="19"/>
      <c r="C77" s="19"/>
      <c r="D77" s="19"/>
      <c r="E77" s="19"/>
      <c r="F77" s="19"/>
      <c r="G77" s="19"/>
      <c r="H77" s="19"/>
      <c r="I77" s="19"/>
      <c r="J77" s="60" t="s">
        <v>13</v>
      </c>
      <c r="K77" s="57">
        <f ca="1">SUM(L77:L77)</f>
        <v>0</v>
      </c>
      <c r="L77" s="61">
        <f t="shared" ca="1" si="13"/>
        <v>0</v>
      </c>
    </row>
    <row r="79" spans="2:12" ht="16.149999999999999" customHeight="1"/>
    <row r="80" spans="2:12" ht="16.149999999999999" customHeight="1">
      <c r="H80" s="86" t="s">
        <v>229</v>
      </c>
      <c r="I80" s="86"/>
      <c r="J80" s="86"/>
      <c r="K80" s="86" t="s">
        <v>231</v>
      </c>
      <c r="L80" s="86" t="str">
        <f ca="1">L$4</f>
        <v>sample</v>
      </c>
    </row>
    <row r="81" spans="8:12" ht="16.5" customHeight="1">
      <c r="H81" s="86">
        <v>3</v>
      </c>
      <c r="I81" s="86"/>
      <c r="J81" s="86"/>
      <c r="K81" s="86">
        <f t="shared" ref="K81:K87" ca="1" si="14">SUM($L81:$L81)</f>
        <v>0</v>
      </c>
      <c r="L81" s="14">
        <f t="shared" ref="L81" ca="1" si="15">INDIRECT("'"&amp;INDIRECT("점검대상!C"&amp;COLUMN()-5)&amp;"'!M"&amp;ROW()+11)</f>
        <v>0</v>
      </c>
    </row>
    <row r="82" spans="8:12" ht="16.5" customHeight="1">
      <c r="H82" s="86">
        <v>4</v>
      </c>
      <c r="I82" s="86"/>
      <c r="J82" s="86"/>
      <c r="K82" s="86">
        <f t="shared" ca="1" si="14"/>
        <v>0</v>
      </c>
      <c r="L82" s="14">
        <f t="shared" ref="L82:L87" ca="1" si="16">INDIRECT("'"&amp;INDIRECT("점검대상!C"&amp;COLUMN()-5)&amp;"'!M"&amp;ROW()+11)</f>
        <v>0</v>
      </c>
    </row>
    <row r="83" spans="8:12" ht="16.5" customHeight="1">
      <c r="H83" s="86">
        <v>5</v>
      </c>
      <c r="I83" s="86"/>
      <c r="J83" s="86"/>
      <c r="K83" s="86">
        <f t="shared" ca="1" si="14"/>
        <v>0</v>
      </c>
      <c r="L83" s="14">
        <f t="shared" ca="1" si="16"/>
        <v>0</v>
      </c>
    </row>
    <row r="84" spans="8:12" ht="16.5" customHeight="1">
      <c r="H84" s="86">
        <v>6</v>
      </c>
      <c r="I84" s="86"/>
      <c r="J84" s="86"/>
      <c r="K84" s="86">
        <f t="shared" ca="1" si="14"/>
        <v>0</v>
      </c>
      <c r="L84" s="14">
        <f t="shared" ca="1" si="16"/>
        <v>0</v>
      </c>
    </row>
    <row r="85" spans="8:12" ht="16.5" customHeight="1">
      <c r="H85" s="86">
        <v>7</v>
      </c>
      <c r="I85" s="86"/>
      <c r="J85" s="86"/>
      <c r="K85" s="86">
        <f t="shared" ca="1" si="14"/>
        <v>0</v>
      </c>
      <c r="L85" s="14">
        <f t="shared" ca="1" si="16"/>
        <v>0</v>
      </c>
    </row>
    <row r="86" spans="8:12" ht="16.5" customHeight="1">
      <c r="H86" s="86">
        <v>8</v>
      </c>
      <c r="I86" s="86"/>
      <c r="J86" s="86"/>
      <c r="K86" s="86">
        <f t="shared" ca="1" si="14"/>
        <v>0</v>
      </c>
      <c r="L86" s="14">
        <f t="shared" ca="1" si="16"/>
        <v>0</v>
      </c>
    </row>
    <row r="87" spans="8:12" ht="16.5" customHeight="1">
      <c r="H87" s="86">
        <v>9</v>
      </c>
      <c r="I87" s="86"/>
      <c r="J87" s="86"/>
      <c r="K87" s="86">
        <f t="shared" ca="1" si="14"/>
        <v>3</v>
      </c>
      <c r="L87" s="14">
        <f t="shared" ca="1" si="16"/>
        <v>3</v>
      </c>
    </row>
    <row r="88" spans="8:12" ht="16.5" customHeight="1"/>
    <row r="89" spans="8:12" ht="16.5" customHeight="1"/>
    <row r="90" spans="8:12" ht="16.5" customHeight="1"/>
    <row r="91" spans="8:12" ht="16.5" customHeight="1"/>
    <row r="92" spans="8:12" ht="16.5" customHeight="1"/>
    <row r="93" spans="8:12" ht="16.5" customHeight="1"/>
    <row r="94" spans="8:12" ht="16.5" customHeight="1"/>
    <row r="95" spans="8:12" ht="16.5" customHeight="1"/>
    <row r="96" spans="8:12"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sheetData>
  <mergeCells count="20">
    <mergeCell ref="B4:D4"/>
    <mergeCell ref="E4:E5"/>
    <mergeCell ref="L4:L5"/>
    <mergeCell ref="H4:H5"/>
    <mergeCell ref="I4:I5"/>
    <mergeCell ref="J4:J5"/>
    <mergeCell ref="K4:K5"/>
    <mergeCell ref="B6:B18"/>
    <mergeCell ref="B19:B38"/>
    <mergeCell ref="B39:B68"/>
    <mergeCell ref="B70:B72"/>
    <mergeCell ref="H73:H74"/>
    <mergeCell ref="B73:E74"/>
    <mergeCell ref="F73:F74"/>
    <mergeCell ref="G73:G74"/>
    <mergeCell ref="K73:K74"/>
    <mergeCell ref="F4:F5"/>
    <mergeCell ref="I73:I74"/>
    <mergeCell ref="G4:G5"/>
    <mergeCell ref="J73:J74"/>
  </mergeCells>
  <phoneticPr fontId="7" type="noConversion"/>
  <conditionalFormatting sqref="A6:C72 E6:XFD72">
    <cfRule type="cellIs" dxfId="19" priority="212" stopIfTrue="1" operator="equal">
      <formula>"N/A"</formula>
    </cfRule>
    <cfRule type="cellIs" dxfId="18" priority="214" stopIfTrue="1" operator="equal">
      <formula>"N"</formula>
    </cfRule>
  </conditionalFormatting>
  <conditionalFormatting sqref="L73:L77">
    <cfRule type="cellIs" dxfId="17" priority="210" stopIfTrue="1" operator="equal">
      <formula>"N"</formula>
    </cfRule>
    <cfRule type="cellIs" dxfId="16" priority="211" stopIfTrue="1" operator="equal">
      <formula>"N/A"</formula>
    </cfRule>
  </conditionalFormatting>
  <conditionalFormatting sqref="L81:L87">
    <cfRule type="cellIs" dxfId="15" priority="207" stopIfTrue="1" operator="equal">
      <formula>"N/A"</formula>
    </cfRule>
    <cfRule type="cellIs" dxfId="14" priority="208" stopIfTrue="1" operator="equal">
      <formula>"N"</formula>
    </cfRule>
  </conditionalFormatting>
  <printOptions horizontalCentered="1"/>
  <pageMargins left="0.39370078740157483" right="0.39370078740157483" top="0.59055118110236215" bottom="0.59055118110236215" header="0.19685039370078741" footer="0.19685039370078741"/>
  <pageSetup paperSize="9" scale="24" orientation="landscape"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B1:V1003"/>
  <sheetViews>
    <sheetView view="pageBreakPreview" zoomScale="70" zoomScaleNormal="100" zoomScaleSheetLayoutView="70" workbookViewId="0">
      <pane ySplit="6" topLeftCell="A7" activePane="bottomLeft" state="frozen"/>
      <selection pane="bottomLeft" activeCell="E7" sqref="E7"/>
    </sheetView>
  </sheetViews>
  <sheetFormatPr defaultColWidth="8.6640625" defaultRowHeight="13.5" zeroHeight="1"/>
  <cols>
    <col min="1" max="1" width="2.5546875" style="3" customWidth="1"/>
    <col min="2" max="2" width="6.6640625" style="3" customWidth="1"/>
    <col min="3" max="3" width="18.33203125" style="3" customWidth="1"/>
    <col min="4" max="4" width="20.88671875" style="3" bestFit="1" customWidth="1"/>
    <col min="5" max="5" width="22.21875" style="3" customWidth="1"/>
    <col min="6" max="6" width="29.5546875" style="3" customWidth="1"/>
    <col min="7" max="10" width="6" style="3" customWidth="1"/>
    <col min="11" max="11" width="10.109375" style="3" customWidth="1"/>
    <col min="12" max="12" width="2.44140625" style="3" customWidth="1"/>
    <col min="13" max="16384" width="8.6640625" style="3"/>
  </cols>
  <sheetData>
    <row r="1" spans="2:22" s="1" customFormat="1" ht="16.5">
      <c r="B1" s="12"/>
      <c r="C1" s="12"/>
      <c r="D1" s="12"/>
      <c r="E1" s="12"/>
      <c r="F1" s="12"/>
      <c r="G1" s="12"/>
      <c r="H1" s="12"/>
      <c r="I1" s="12"/>
      <c r="J1" s="12"/>
      <c r="K1" s="12"/>
    </row>
    <row r="2" spans="2:22" ht="18" customHeight="1">
      <c r="B2" s="340" t="s">
        <v>333</v>
      </c>
      <c r="C2" s="340"/>
      <c r="D2" s="340"/>
      <c r="E2" s="340"/>
      <c r="F2" s="340"/>
      <c r="G2" s="340"/>
      <c r="H2" s="340"/>
      <c r="I2" s="340"/>
      <c r="J2" s="340"/>
      <c r="K2" s="340"/>
      <c r="M2" s="4"/>
      <c r="N2" s="5"/>
      <c r="O2" s="5"/>
      <c r="P2" s="5"/>
      <c r="Q2" s="5"/>
      <c r="R2" s="5"/>
      <c r="S2" s="5"/>
      <c r="T2" s="5"/>
      <c r="U2" s="5"/>
      <c r="V2" s="5"/>
    </row>
    <row r="3" spans="2:22" ht="5.0999999999999996" customHeight="1">
      <c r="B3" s="2"/>
      <c r="C3" s="2"/>
      <c r="D3" s="2"/>
      <c r="E3" s="2"/>
      <c r="F3" s="2"/>
      <c r="G3" s="2"/>
      <c r="H3" s="2"/>
      <c r="I3" s="2"/>
      <c r="J3" s="2"/>
      <c r="K3" s="2"/>
    </row>
    <row r="4" spans="2:22" ht="16.5">
      <c r="B4" s="2"/>
      <c r="C4" s="2"/>
      <c r="D4" s="2"/>
      <c r="E4" s="55"/>
      <c r="F4" s="56"/>
      <c r="G4" s="56"/>
      <c r="H4" s="56"/>
      <c r="I4" s="56"/>
      <c r="J4" s="50" t="s">
        <v>204</v>
      </c>
      <c r="K4" s="83">
        <v>7</v>
      </c>
    </row>
    <row r="5" spans="2:22">
      <c r="B5" s="341" t="s">
        <v>14</v>
      </c>
      <c r="C5" s="341" t="s">
        <v>15</v>
      </c>
      <c r="D5" s="341"/>
      <c r="E5" s="341"/>
      <c r="F5" s="341"/>
      <c r="G5" s="342" t="s">
        <v>199</v>
      </c>
      <c r="H5" s="343"/>
      <c r="I5" s="343"/>
      <c r="J5" s="344"/>
      <c r="K5" s="341" t="s">
        <v>16</v>
      </c>
    </row>
    <row r="6" spans="2:22">
      <c r="B6" s="341"/>
      <c r="C6" s="50" t="s">
        <v>17</v>
      </c>
      <c r="D6" s="50" t="s">
        <v>18</v>
      </c>
      <c r="E6" s="50" t="s">
        <v>19</v>
      </c>
      <c r="F6" s="50" t="s">
        <v>20</v>
      </c>
      <c r="G6" s="50" t="s">
        <v>200</v>
      </c>
      <c r="H6" s="50" t="s">
        <v>201</v>
      </c>
      <c r="I6" s="50" t="s">
        <v>202</v>
      </c>
      <c r="J6" s="50" t="s">
        <v>203</v>
      </c>
      <c r="K6" s="341"/>
    </row>
    <row r="7" spans="2:22" ht="16.5">
      <c r="B7" s="175">
        <v>1</v>
      </c>
      <c r="C7" s="229" t="s">
        <v>576</v>
      </c>
      <c r="D7" s="177" t="s">
        <v>330</v>
      </c>
      <c r="E7" s="177" t="s">
        <v>577</v>
      </c>
      <c r="F7" s="176"/>
      <c r="G7" s="176">
        <v>3</v>
      </c>
      <c r="H7" s="176">
        <v>3</v>
      </c>
      <c r="I7" s="176">
        <v>3</v>
      </c>
      <c r="J7" s="102" t="str">
        <f>IF(AND(SUM(G7:I7)&gt;=8, SUM(G7:I7)&lt;=9), "1등급", IF(AND(SUM(G7:I7)&gt;=6, SUM(G7:I7)&lt;=7), "2등급", IF(AND(SUM(G7:I7)&gt;=3, SUM(G7:I7)&lt;=5), "3등급", "")))</f>
        <v>1등급</v>
      </c>
      <c r="K7" s="178"/>
    </row>
    <row r="8" spans="2:22"/>
    <row r="9" spans="2:22"/>
    <row r="10" spans="2:22"/>
    <row r="11" spans="2:22"/>
    <row r="12" spans="2:22"/>
    <row r="13" spans="2:22"/>
    <row r="14" spans="2:22"/>
    <row r="15" spans="2:22"/>
    <row r="16" spans="2:22"/>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sheetData>
  <mergeCells count="5">
    <mergeCell ref="B2:K2"/>
    <mergeCell ref="B5:B6"/>
    <mergeCell ref="C5:F5"/>
    <mergeCell ref="K5:K6"/>
    <mergeCell ref="G5:J5"/>
  </mergeCells>
  <phoneticPr fontId="7" type="noConversion"/>
  <conditionalFormatting sqref="C7">
    <cfRule type="duplicateValues" dxfId="13" priority="227"/>
    <cfRule type="duplicateValues" dxfId="12" priority="228"/>
  </conditionalFormatting>
  <dataValidations disablePrompts="1" count="1">
    <dataValidation type="list" showInputMessage="1" showErrorMessage="1" sqref="K4" xr:uid="{00000000-0002-0000-0400-000000000000}">
      <formula1>"-,1,2,3,4,5,6,7,8,9"</formula1>
    </dataValidation>
  </dataValidations>
  <printOptions horizontalCentered="1"/>
  <pageMargins left="0.39370078740157483" right="0.39370078740157483" top="0.59055118110236215" bottom="0.59055118110236215" header="0.19685039370078741" footer="0.19685039370078741"/>
  <pageSetup paperSize="9" scale="88" orientation="landscape"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B1:K1064"/>
  <sheetViews>
    <sheetView view="pageBreakPreview" zoomScale="70" zoomScaleNormal="85" zoomScaleSheetLayoutView="70" workbookViewId="0">
      <selection activeCell="A32" sqref="A32:XFD33"/>
    </sheetView>
  </sheetViews>
  <sheetFormatPr defaultColWidth="8.6640625" defaultRowHeight="0" customHeight="1" zeroHeight="1"/>
  <cols>
    <col min="1" max="1" width="2.5546875" style="37" customWidth="1"/>
    <col min="2" max="2" width="7.5546875" style="37" customWidth="1"/>
    <col min="3" max="9" width="10.5546875" style="37" customWidth="1"/>
    <col min="10" max="10" width="8.88671875" style="37" customWidth="1"/>
    <col min="11" max="11" width="8.6640625" style="37"/>
    <col min="12" max="12" width="3.44140625" style="37" customWidth="1"/>
    <col min="13" max="16384" width="8.6640625" style="37"/>
  </cols>
  <sheetData>
    <row r="1" spans="2:11" ht="13.5">
      <c r="B1" s="349"/>
      <c r="C1" s="349"/>
      <c r="D1" s="349"/>
      <c r="E1" s="349"/>
      <c r="F1" s="349"/>
      <c r="G1" s="349"/>
      <c r="H1" s="349"/>
      <c r="I1" s="349"/>
      <c r="J1" s="18"/>
    </row>
    <row r="2" spans="2:11" ht="17.25">
      <c r="B2" s="350" t="s">
        <v>162</v>
      </c>
      <c r="C2" s="351"/>
      <c r="D2" s="351"/>
      <c r="E2" s="351"/>
      <c r="F2" s="351"/>
      <c r="G2" s="351"/>
      <c r="H2" s="351"/>
      <c r="I2" s="351"/>
      <c r="J2" s="18"/>
    </row>
    <row r="3" spans="2:11" ht="4.5" customHeight="1">
      <c r="B3" s="349"/>
      <c r="C3" s="349"/>
      <c r="D3" s="349"/>
      <c r="E3" s="349"/>
      <c r="F3" s="349"/>
      <c r="G3" s="349"/>
      <c r="H3" s="349"/>
      <c r="I3" s="349"/>
      <c r="J3" s="18"/>
    </row>
    <row r="4" spans="2:11" ht="13.5">
      <c r="B4" s="352" t="s">
        <v>0</v>
      </c>
      <c r="C4" s="352"/>
      <c r="D4" s="352" t="s">
        <v>150</v>
      </c>
      <c r="E4" s="352"/>
      <c r="F4" s="352"/>
      <c r="G4" s="352" t="s">
        <v>5</v>
      </c>
      <c r="H4" s="352"/>
      <c r="I4" s="352"/>
      <c r="J4" s="345" t="s">
        <v>234</v>
      </c>
      <c r="K4" s="345"/>
    </row>
    <row r="5" spans="2:11" ht="13.5">
      <c r="B5" s="352"/>
      <c r="C5" s="352"/>
      <c r="D5" s="54" t="s">
        <v>133</v>
      </c>
      <c r="E5" s="54" t="s">
        <v>134</v>
      </c>
      <c r="F5" s="54" t="s">
        <v>13</v>
      </c>
      <c r="G5" s="54" t="s">
        <v>6</v>
      </c>
      <c r="H5" s="54" t="s">
        <v>7</v>
      </c>
      <c r="I5" s="54" t="s">
        <v>8</v>
      </c>
      <c r="J5" s="18"/>
    </row>
    <row r="6" spans="2:11" ht="13.5">
      <c r="B6" s="346" t="str">
        <f>'요약 통계'!B6</f>
        <v>계정 관리</v>
      </c>
      <c r="C6" s="346"/>
      <c r="D6" s="38">
        <f ca="1">SUM('요약 통계'!G$6:G$18)</f>
        <v>10</v>
      </c>
      <c r="E6" s="38">
        <f ca="1">SUM('요약 통계'!H$6:H$18)</f>
        <v>3</v>
      </c>
      <c r="F6" s="38">
        <f ca="1">SUM('요약 통계'!K$6:K$18)</f>
        <v>0</v>
      </c>
      <c r="G6" s="38">
        <f ca="1">SUM('요약 통계'!I6:J18)</f>
        <v>28</v>
      </c>
      <c r="H6" s="39">
        <f ca="1">SUM('요약 통계'!J6:J18)</f>
        <v>9</v>
      </c>
      <c r="I6" s="62">
        <f t="shared" ref="I6:I11" ca="1" si="0">IF(G6=0,"N/A",((G6-H6)/G6)*1)</f>
        <v>0.6785714285714286</v>
      </c>
      <c r="J6" s="18"/>
    </row>
    <row r="7" spans="2:11" ht="13.5">
      <c r="B7" s="346" t="str">
        <f>'요약 통계'!B19</f>
        <v>파일 및 디렉터리 관리</v>
      </c>
      <c r="C7" s="346"/>
      <c r="D7" s="38">
        <f ca="1">SUM('요약 통계'!G$19:G$38)</f>
        <v>20</v>
      </c>
      <c r="E7" s="38">
        <f ca="1">SUM('요약 통계'!H$19:H$38)</f>
        <v>0</v>
      </c>
      <c r="F7" s="38">
        <f ca="1">SUM('요약 통계'!K$19:K$38)</f>
        <v>0</v>
      </c>
      <c r="G7" s="38">
        <f ca="1">SUM('요약 통계'!I19:J38)</f>
        <v>53</v>
      </c>
      <c r="H7" s="39">
        <f ca="1">SUM('요약 통계'!J19:J38)</f>
        <v>0</v>
      </c>
      <c r="I7" s="62">
        <f t="shared" ca="1" si="0"/>
        <v>1</v>
      </c>
      <c r="J7" s="18"/>
    </row>
    <row r="8" spans="2:11" ht="13.5">
      <c r="B8" s="346" t="str">
        <f>'요약 통계'!B39</f>
        <v>서비스 관리</v>
      </c>
      <c r="C8" s="346"/>
      <c r="D8" s="38">
        <f ca="1">SUM('요약 통계'!G$39:G$68)</f>
        <v>30</v>
      </c>
      <c r="E8" s="38">
        <f ca="1">SUM('요약 통계'!H$39:H$68)</f>
        <v>0</v>
      </c>
      <c r="F8" s="38">
        <f ca="1">SUM('요약 통계'!K$39:K$68)</f>
        <v>0</v>
      </c>
      <c r="G8" s="38">
        <f ca="1">SUM('요약 통계'!I39:J68)</f>
        <v>75</v>
      </c>
      <c r="H8" s="39">
        <f ca="1">SUM('요약 통계'!J39:J68)</f>
        <v>0</v>
      </c>
      <c r="I8" s="62">
        <f t="shared" ca="1" si="0"/>
        <v>1</v>
      </c>
      <c r="J8" s="18"/>
    </row>
    <row r="9" spans="2:11" ht="13.5">
      <c r="B9" s="346" t="str">
        <f>'요약 통계'!B69</f>
        <v>패치 관리</v>
      </c>
      <c r="C9" s="346"/>
      <c r="D9" s="38">
        <f ca="1">SUM('요약 통계'!G$69)</f>
        <v>1</v>
      </c>
      <c r="E9" s="38">
        <f ca="1">SUM('요약 통계'!H$69)</f>
        <v>0</v>
      </c>
      <c r="F9" s="38">
        <f ca="1">SUM('요약 통계'!K$69)</f>
        <v>0</v>
      </c>
      <c r="G9" s="38">
        <f ca="1">SUM('요약 통계'!I69:J69)</f>
        <v>3</v>
      </c>
      <c r="H9" s="39">
        <f ca="1">SUM('요약 통계'!J69)</f>
        <v>0</v>
      </c>
      <c r="I9" s="62">
        <f t="shared" ca="1" si="0"/>
        <v>1</v>
      </c>
      <c r="J9" s="18"/>
    </row>
    <row r="10" spans="2:11" ht="13.5">
      <c r="B10" s="346" t="str">
        <f>'요약 통계'!B70</f>
        <v>로그 관리</v>
      </c>
      <c r="C10" s="346"/>
      <c r="D10" s="38">
        <f ca="1">SUM('요약 통계'!G$70:G$72)</f>
        <v>3</v>
      </c>
      <c r="E10" s="38">
        <f ca="1">SUM('요약 통계'!H$70:H$72)</f>
        <v>0</v>
      </c>
      <c r="F10" s="38">
        <f ca="1">SUM('요약 통계'!K$70:K$72)</f>
        <v>0</v>
      </c>
      <c r="G10" s="38">
        <f ca="1">SUM('요약 통계'!I70:J72)</f>
        <v>6</v>
      </c>
      <c r="H10" s="39">
        <f ca="1">SUM('요약 통계'!J70:J72)</f>
        <v>0</v>
      </c>
      <c r="I10" s="62">
        <f t="shared" ca="1" si="0"/>
        <v>1</v>
      </c>
      <c r="J10" s="18"/>
    </row>
    <row r="11" spans="2:11" ht="13.5">
      <c r="B11" s="348" t="s">
        <v>9</v>
      </c>
      <c r="C11" s="348"/>
      <c r="D11" s="63">
        <f ca="1">SUM(D6:D10)</f>
        <v>64</v>
      </c>
      <c r="E11" s="63">
        <f ca="1">SUM(E6:E10)</f>
        <v>3</v>
      </c>
      <c r="F11" s="63">
        <f ca="1">SUM(F6:F10)</f>
        <v>0</v>
      </c>
      <c r="G11" s="63">
        <f ca="1">SUM(G6:G10)</f>
        <v>165</v>
      </c>
      <c r="H11" s="64">
        <f ca="1">SUM(H6:H10)</f>
        <v>9</v>
      </c>
      <c r="I11" s="62">
        <f t="shared" ca="1" si="0"/>
        <v>0.94545454545454544</v>
      </c>
      <c r="J11" s="18"/>
    </row>
    <row r="12" spans="2:11" ht="13.5">
      <c r="J12" s="18"/>
    </row>
    <row r="13" spans="2:11" ht="13.5">
      <c r="B13" s="347" t="s">
        <v>163</v>
      </c>
      <c r="C13" s="347"/>
      <c r="D13" s="347"/>
      <c r="E13" s="347"/>
      <c r="F13" s="347"/>
      <c r="G13" s="347"/>
      <c r="H13" s="347"/>
      <c r="I13" s="347"/>
      <c r="J13" s="347"/>
      <c r="K13" s="347"/>
    </row>
    <row r="14" spans="2:11" ht="13.5">
      <c r="G14" s="40"/>
      <c r="H14" s="40"/>
      <c r="I14" s="40"/>
    </row>
    <row r="15" spans="2:11" ht="13.5">
      <c r="B15" s="18"/>
      <c r="C15" s="18"/>
      <c r="D15" s="18"/>
      <c r="E15" s="18"/>
      <c r="F15" s="18"/>
      <c r="G15" s="40"/>
      <c r="H15" s="40"/>
      <c r="I15" s="40"/>
    </row>
    <row r="16" spans="2:11" ht="13.5">
      <c r="B16" s="18"/>
      <c r="C16" s="18"/>
      <c r="D16" s="18"/>
      <c r="E16" s="18"/>
      <c r="F16" s="18"/>
      <c r="G16" s="40"/>
      <c r="H16" s="40"/>
      <c r="I16" s="40"/>
    </row>
    <row r="17" spans="2:11" ht="13.5">
      <c r="G17" s="40"/>
      <c r="H17" s="40"/>
      <c r="I17" s="40"/>
    </row>
    <row r="18" spans="2:11" ht="13.5">
      <c r="G18" s="40"/>
      <c r="H18" s="40"/>
      <c r="I18" s="40"/>
    </row>
    <row r="19" spans="2:11" ht="13.5">
      <c r="G19" s="40"/>
      <c r="H19" s="40"/>
      <c r="I19" s="40"/>
    </row>
    <row r="20" spans="2:11" ht="13.5">
      <c r="G20" s="40"/>
      <c r="H20" s="40"/>
      <c r="I20" s="40"/>
    </row>
    <row r="21" spans="2:11" ht="13.5">
      <c r="G21" s="40"/>
      <c r="H21" s="40"/>
      <c r="I21" s="40"/>
    </row>
    <row r="22" spans="2:11" ht="13.5">
      <c r="G22" s="40"/>
      <c r="H22" s="40"/>
      <c r="I22" s="40"/>
    </row>
    <row r="23" spans="2:11" ht="13.5">
      <c r="G23" s="40"/>
      <c r="H23" s="40"/>
      <c r="I23" s="40"/>
    </row>
    <row r="24" spans="2:11" ht="13.5">
      <c r="G24" s="40"/>
      <c r="H24" s="40"/>
      <c r="I24" s="40"/>
    </row>
    <row r="25" spans="2:11" ht="13.5">
      <c r="G25" s="40"/>
      <c r="H25" s="40"/>
      <c r="I25" s="40"/>
    </row>
    <row r="26" spans="2:11" ht="13.5">
      <c r="G26" s="40"/>
      <c r="H26" s="40"/>
      <c r="I26" s="40"/>
    </row>
    <row r="27" spans="2:11" ht="17.25">
      <c r="B27" s="350" t="s">
        <v>236</v>
      </c>
      <c r="C27" s="350"/>
      <c r="D27" s="350"/>
      <c r="E27" s="350"/>
      <c r="F27" s="350"/>
      <c r="G27" s="350"/>
      <c r="H27" s="350"/>
      <c r="I27" s="350"/>
    </row>
    <row r="28" spans="2:11" ht="4.5" customHeight="1">
      <c r="B28" s="349"/>
      <c r="C28" s="349"/>
      <c r="D28" s="349"/>
      <c r="E28" s="349"/>
      <c r="F28" s="349"/>
      <c r="G28" s="349"/>
      <c r="H28" s="349"/>
      <c r="I28" s="349"/>
    </row>
    <row r="29" spans="2:11" ht="13.5">
      <c r="B29" s="352" t="s">
        <v>4</v>
      </c>
      <c r="C29" s="352"/>
      <c r="D29" s="355" t="s">
        <v>229</v>
      </c>
      <c r="E29" s="356"/>
      <c r="F29" s="356"/>
      <c r="G29" s="356"/>
      <c r="H29" s="356"/>
      <c r="I29" s="356"/>
      <c r="J29" s="356"/>
      <c r="K29" s="356"/>
    </row>
    <row r="30" spans="2:11" ht="13.5">
      <c r="B30" s="352"/>
      <c r="C30" s="352"/>
      <c r="D30" s="54">
        <v>3</v>
      </c>
      <c r="E30" s="54">
        <v>4</v>
      </c>
      <c r="F30" s="54">
        <v>5</v>
      </c>
      <c r="G30" s="54">
        <v>6</v>
      </c>
      <c r="H30" s="54">
        <v>7</v>
      </c>
      <c r="I30" s="54">
        <v>8</v>
      </c>
      <c r="J30" s="54">
        <v>9</v>
      </c>
      <c r="K30" s="54" t="s">
        <v>232</v>
      </c>
    </row>
    <row r="31" spans="2:11" ht="13.5">
      <c r="B31" s="357" t="str">
        <f>점검대상!C7</f>
        <v>sample</v>
      </c>
      <c r="C31" s="358"/>
      <c r="D31" s="38">
        <f ca="1">HLOOKUP($B31, '요약 통계'!$80:$87, 2, 0)</f>
        <v>0</v>
      </c>
      <c r="E31" s="38">
        <f ca="1">HLOOKUP($B31, '요약 통계'!$80:$87, 3, 0)</f>
        <v>0</v>
      </c>
      <c r="F31" s="38">
        <f ca="1">HLOOKUP($B31, '요약 통계'!$80:$87, 4, 0)</f>
        <v>0</v>
      </c>
      <c r="G31" s="38">
        <f ca="1">HLOOKUP($B31, '요약 통계'!$80:$87, 5, 0)</f>
        <v>0</v>
      </c>
      <c r="H31" s="38">
        <f ca="1">HLOOKUP($B31, '요약 통계'!$80:$87, 6, 0)</f>
        <v>0</v>
      </c>
      <c r="I31" s="38">
        <f ca="1">HLOOKUP($B31, '요약 통계'!$80:$87, 7, 0)</f>
        <v>0</v>
      </c>
      <c r="J31" s="38">
        <f ca="1">HLOOKUP($B31, '요약 통계'!$80:$87, 8, 0)</f>
        <v>3</v>
      </c>
      <c r="K31" s="38">
        <f ca="1">SUM(D31:J31)</f>
        <v>3</v>
      </c>
    </row>
    <row r="32" spans="2:11" ht="13.5">
      <c r="B32" s="353" t="s">
        <v>9</v>
      </c>
      <c r="C32" s="354"/>
      <c r="D32" s="63">
        <f ca="1">SUM(D31:D31)</f>
        <v>0</v>
      </c>
      <c r="E32" s="63">
        <f ca="1">SUM(E31:E31)</f>
        <v>0</v>
      </c>
      <c r="F32" s="63">
        <f ca="1">SUM(F31:F31)</f>
        <v>0</v>
      </c>
      <c r="G32" s="63">
        <f ca="1">SUM(G31:G31)</f>
        <v>0</v>
      </c>
      <c r="H32" s="63">
        <f ca="1">SUM(H31:H31)</f>
        <v>0</v>
      </c>
      <c r="I32" s="63">
        <f ca="1">SUM(I31:I31)</f>
        <v>0</v>
      </c>
      <c r="J32" s="63">
        <f ca="1">SUM(J31:J31)</f>
        <v>3</v>
      </c>
      <c r="K32" s="63">
        <f ca="1">SUM(K31:K31)</f>
        <v>3</v>
      </c>
    </row>
    <row r="33" spans="2:11" ht="13.5">
      <c r="B33" s="359" t="s">
        <v>233</v>
      </c>
      <c r="C33" s="360"/>
      <c r="D33" s="90">
        <f t="shared" ref="D33:J33" ca="1" si="1">IFERROR(D32/$K$32,"-")</f>
        <v>0</v>
      </c>
      <c r="E33" s="90">
        <f t="shared" ca="1" si="1"/>
        <v>0</v>
      </c>
      <c r="F33" s="90">
        <f t="shared" ca="1" si="1"/>
        <v>0</v>
      </c>
      <c r="G33" s="90">
        <f t="shared" ca="1" si="1"/>
        <v>0</v>
      </c>
      <c r="H33" s="90">
        <f t="shared" ca="1" si="1"/>
        <v>0</v>
      </c>
      <c r="I33" s="90">
        <f t="shared" ca="1" si="1"/>
        <v>0</v>
      </c>
      <c r="J33" s="90">
        <f t="shared" ca="1" si="1"/>
        <v>1</v>
      </c>
      <c r="K33" s="90">
        <f ca="1">IFERROR(SUM(D33:J33),"-")</f>
        <v>1</v>
      </c>
    </row>
    <row r="34" spans="2:11" ht="13.5" hidden="1">
      <c r="B34" s="359" t="s">
        <v>233</v>
      </c>
      <c r="C34" s="360"/>
      <c r="D34" s="90" t="str">
        <f ca="1">IFERROR(D33/#REF!,"-")</f>
        <v>-</v>
      </c>
      <c r="E34" s="90" t="str">
        <f ca="1">IFERROR(E33/#REF!,"-")</f>
        <v>-</v>
      </c>
      <c r="F34" s="90" t="str">
        <f ca="1">IFERROR(F33/#REF!,"-")</f>
        <v>-</v>
      </c>
      <c r="G34" s="90" t="str">
        <f ca="1">IFERROR(G33/#REF!,"-")</f>
        <v>-</v>
      </c>
      <c r="H34" s="90" t="str">
        <f ca="1">IFERROR(H33/#REF!,"-")</f>
        <v>-</v>
      </c>
      <c r="I34" s="90" t="str">
        <f ca="1">IFERROR(I33/#REF!,"-")</f>
        <v>-</v>
      </c>
      <c r="J34" s="90" t="str">
        <f ca="1">IFERROR(J33/#REF!,"-")</f>
        <v>-</v>
      </c>
      <c r="K34" s="90">
        <f ca="1">IFERROR(SUM(D34:J34),"-")</f>
        <v>0</v>
      </c>
    </row>
    <row r="35" spans="2:11" ht="13.5">
      <c r="B35" s="18"/>
      <c r="C35" s="18"/>
      <c r="D35" s="18"/>
      <c r="E35" s="18"/>
      <c r="F35" s="18"/>
      <c r="G35" s="40"/>
      <c r="H35" s="40"/>
      <c r="I35" s="40"/>
    </row>
    <row r="36" spans="2:11" ht="13.5">
      <c r="B36" s="347" t="s">
        <v>237</v>
      </c>
      <c r="C36" s="347"/>
      <c r="D36" s="347"/>
      <c r="E36" s="347"/>
      <c r="F36" s="347"/>
      <c r="G36" s="347"/>
      <c r="H36" s="347"/>
      <c r="I36" s="347"/>
      <c r="J36" s="347"/>
      <c r="K36" s="347"/>
    </row>
    <row r="37" spans="2:11" ht="13.5">
      <c r="G37" s="40"/>
      <c r="H37" s="40"/>
      <c r="I37" s="40"/>
    </row>
    <row r="38" spans="2:11" ht="13.5">
      <c r="G38" s="40"/>
      <c r="H38" s="40"/>
      <c r="I38" s="40"/>
    </row>
    <row r="39" spans="2:11" ht="13.5">
      <c r="G39" s="40"/>
      <c r="H39" s="40"/>
      <c r="I39" s="40"/>
    </row>
    <row r="40" spans="2:11" ht="13.5">
      <c r="G40" s="40"/>
      <c r="H40" s="40"/>
      <c r="I40" s="40"/>
    </row>
    <row r="41" spans="2:11" ht="13.5">
      <c r="G41" s="40"/>
      <c r="H41" s="40"/>
      <c r="I41" s="40"/>
    </row>
    <row r="42" spans="2:11" ht="13.5">
      <c r="G42" s="40"/>
      <c r="H42" s="40"/>
      <c r="I42" s="40"/>
    </row>
    <row r="43" spans="2:11" ht="13.5">
      <c r="G43" s="40"/>
      <c r="H43" s="40"/>
      <c r="I43" s="40"/>
    </row>
    <row r="44" spans="2:11" ht="13.5">
      <c r="G44" s="40"/>
      <c r="H44" s="40"/>
      <c r="I44" s="40"/>
    </row>
    <row r="45" spans="2:11" ht="13.5"/>
    <row r="46" spans="2:11" ht="13.5"/>
    <row r="47" spans="2:11" ht="13.5"/>
    <row r="48" spans="2:11" ht="13.5"/>
    <row r="49" ht="13.5"/>
    <row r="50" ht="13.5"/>
    <row r="51" ht="13.5"/>
    <row r="52" ht="13.5"/>
    <row r="53" ht="13.5"/>
    <row r="54" ht="13.5"/>
    <row r="55" ht="13.5"/>
    <row r="56" ht="13.5"/>
    <row r="57" ht="13.5"/>
    <row r="58" ht="13.5"/>
    <row r="59" ht="13.5"/>
    <row r="60" ht="13.5"/>
    <row r="61" ht="13.5"/>
    <row r="62" ht="13.5"/>
    <row r="63" ht="13.5"/>
    <row r="64" ht="13.5"/>
    <row r="65" ht="13.5"/>
    <row r="66" ht="13.5"/>
    <row r="67" ht="13.5"/>
    <row r="68" ht="13.5"/>
    <row r="69" ht="13.5"/>
    <row r="70" ht="13.5"/>
    <row r="71" ht="13.5"/>
    <row r="72" ht="13.5"/>
    <row r="73" ht="13.5"/>
    <row r="74" ht="13.5"/>
    <row r="75" ht="13.5"/>
    <row r="76" ht="13.5"/>
    <row r="77" ht="13.5"/>
    <row r="78" ht="13.5"/>
    <row r="79" ht="13.5"/>
    <row r="80" ht="13.5"/>
    <row r="81" ht="13.5"/>
    <row r="82" ht="13.5"/>
    <row r="83" ht="13.5"/>
    <row r="84" ht="13.5"/>
    <row r="85" ht="13.5"/>
    <row r="86" ht="13.5"/>
    <row r="87" ht="13.5"/>
    <row r="88" ht="13.5"/>
    <row r="89" ht="13.5"/>
    <row r="90" ht="13.5"/>
    <row r="91" ht="13.5"/>
    <row r="92" ht="13.5"/>
    <row r="93" ht="13.5"/>
    <row r="94" ht="13.5"/>
    <row r="95" ht="13.5"/>
    <row r="96" ht="13.5"/>
    <row r="97" ht="13.5"/>
    <row r="98" ht="13.5"/>
    <row r="99" ht="13.5"/>
    <row r="100" ht="13.5"/>
    <row r="101" ht="13.5"/>
    <row r="102" ht="13.5"/>
    <row r="103" ht="13.5"/>
    <row r="104" ht="13.5"/>
    <row r="105" ht="13.5"/>
    <row r="106" ht="13.5"/>
    <row r="107" ht="13.5"/>
    <row r="108" ht="13.5"/>
    <row r="109" ht="13.5"/>
    <row r="110" ht="13.5"/>
    <row r="111" ht="13.5"/>
    <row r="112" ht="13.5"/>
    <row r="113" ht="13.5"/>
    <row r="114" ht="13.5"/>
    <row r="115" ht="13.5"/>
    <row r="116" ht="13.5"/>
    <row r="117" ht="13.5"/>
    <row r="118" ht="13.5"/>
    <row r="119" ht="13.5"/>
    <row r="120" ht="13.5"/>
    <row r="121" ht="13.5"/>
    <row r="122" ht="13.5"/>
    <row r="123" ht="13.5"/>
    <row r="124" ht="13.5"/>
    <row r="125" ht="13.5"/>
    <row r="126" ht="13.5"/>
    <row r="127" ht="13.5"/>
    <row r="128" ht="13.5"/>
    <row r="129" ht="13.5"/>
    <row r="130" ht="13.5"/>
    <row r="131" ht="13.5"/>
    <row r="132" ht="13.5"/>
    <row r="133" ht="13.5"/>
    <row r="134" ht="13.5"/>
    <row r="135" ht="13.5"/>
    <row r="136" ht="13.5"/>
    <row r="137" ht="13.5"/>
    <row r="138" ht="13.5"/>
    <row r="139" ht="13.5"/>
    <row r="140" ht="13.5"/>
    <row r="141" ht="13.5"/>
    <row r="142" ht="13.5"/>
    <row r="143" ht="13.5"/>
    <row r="144" ht="13.5"/>
    <row r="145" ht="13.5"/>
    <row r="146" ht="13.5"/>
    <row r="147" ht="13.5"/>
    <row r="148" ht="13.5"/>
    <row r="149" ht="13.5"/>
    <row r="150" ht="13.5"/>
    <row r="151" ht="13.5"/>
    <row r="152" ht="13.5"/>
    <row r="153" ht="13.5"/>
    <row r="154" ht="13.5"/>
    <row r="155" ht="13.5"/>
    <row r="156" ht="13.5"/>
    <row r="157" ht="13.5"/>
    <row r="158" ht="13.5"/>
    <row r="159" ht="13.5"/>
    <row r="160" ht="13.5"/>
    <row r="161" ht="13.5"/>
    <row r="162" ht="13.5"/>
    <row r="163" ht="13.5"/>
    <row r="164" ht="13.5"/>
    <row r="165" ht="13.5"/>
    <row r="166" ht="13.5"/>
    <row r="167" ht="13.5"/>
    <row r="168" ht="13.5"/>
    <row r="169" ht="13.5"/>
    <row r="170" ht="13.5"/>
    <row r="171" ht="13.5"/>
    <row r="172" ht="13.5"/>
    <row r="173" ht="13.5"/>
    <row r="174" ht="13.5"/>
    <row r="175" ht="13.5"/>
    <row r="176" ht="13.5"/>
    <row r="177" ht="13.5"/>
    <row r="178" ht="13.5"/>
    <row r="179" ht="13.5"/>
    <row r="180" ht="13.5"/>
    <row r="181" ht="13.5"/>
    <row r="182" ht="13.5"/>
    <row r="183" ht="13.5"/>
    <row r="184" ht="13.5"/>
    <row r="185" ht="13.5"/>
    <row r="186" ht="13.5"/>
    <row r="187" ht="13.5"/>
    <row r="188" ht="13.5"/>
    <row r="189" ht="13.5"/>
    <row r="190" ht="13.5"/>
    <row r="191" ht="13.5"/>
    <row r="192" ht="13.5"/>
    <row r="193" ht="13.5"/>
    <row r="194" ht="13.5"/>
    <row r="195" ht="13.5"/>
    <row r="196" ht="13.5"/>
    <row r="197" ht="13.5"/>
    <row r="198" ht="13.5"/>
    <row r="199" ht="13.5"/>
    <row r="200" ht="13.5"/>
    <row r="201" ht="13.5"/>
    <row r="202" ht="13.5"/>
    <row r="203" ht="13.5"/>
    <row r="204" ht="13.5"/>
    <row r="205" ht="13.5"/>
    <row r="206" ht="13.5"/>
    <row r="207" ht="13.5"/>
    <row r="208" ht="13.5"/>
    <row r="209" ht="13.5"/>
    <row r="210" ht="13.5"/>
    <row r="211" ht="13.5"/>
    <row r="212" ht="13.5"/>
    <row r="213" ht="13.5"/>
    <row r="214" ht="13.5"/>
    <row r="215" ht="13.5"/>
    <row r="216" ht="13.5"/>
    <row r="217" ht="13.5"/>
    <row r="218" ht="13.5"/>
    <row r="219" ht="13.5"/>
    <row r="220" ht="13.5"/>
    <row r="221" ht="13.5"/>
    <row r="222" ht="13.5"/>
    <row r="223" ht="13.5"/>
    <row r="224" ht="13.5"/>
    <row r="225" ht="13.5"/>
    <row r="226" ht="13.5"/>
    <row r="227" ht="13.5"/>
    <row r="228" ht="13.5"/>
    <row r="229" ht="13.5"/>
    <row r="230" ht="13.5"/>
    <row r="231" ht="13.5"/>
    <row r="232" ht="13.5"/>
    <row r="233" ht="13.5"/>
    <row r="234" ht="13.5"/>
    <row r="235" ht="13.5"/>
    <row r="236" ht="13.5"/>
    <row r="237" ht="13.5"/>
    <row r="238" ht="13.5"/>
    <row r="239" ht="13.5"/>
    <row r="240" ht="13.5"/>
    <row r="241" ht="13.5"/>
    <row r="242" ht="13.5"/>
    <row r="243" ht="13.5"/>
    <row r="244" ht="13.5"/>
    <row r="245" ht="13.5"/>
    <row r="246" ht="13.5"/>
    <row r="247" ht="13.5"/>
    <row r="248" ht="13.5"/>
    <row r="249" ht="13.5"/>
    <row r="250" ht="13.5"/>
    <row r="251" ht="13.5"/>
    <row r="252" ht="13.5"/>
    <row r="253" ht="13.5"/>
    <row r="254" ht="13.5"/>
    <row r="255" ht="13.5"/>
    <row r="256" ht="13.5"/>
    <row r="257" ht="13.5"/>
    <row r="258" ht="13.5"/>
    <row r="259" ht="13.5"/>
    <row r="260" ht="13.5"/>
    <row r="261" ht="13.5"/>
    <row r="262" ht="13.5"/>
    <row r="263" ht="13.5"/>
    <row r="264" ht="13.5"/>
    <row r="265" ht="13.5"/>
    <row r="266" ht="13.5"/>
    <row r="267" ht="13.5"/>
    <row r="268" ht="13.5"/>
    <row r="269" ht="13.5"/>
    <row r="270" ht="13.5"/>
    <row r="271" ht="13.5"/>
    <row r="272" ht="13.5"/>
    <row r="273" ht="13.5"/>
    <row r="274" ht="13.5"/>
    <row r="275" ht="13.5"/>
    <row r="276" ht="13.5"/>
    <row r="277" ht="13.5"/>
    <row r="278" ht="13.5"/>
    <row r="279" ht="13.5"/>
    <row r="280" ht="13.5"/>
    <row r="281" ht="13.5"/>
    <row r="282" ht="13.5"/>
    <row r="283" ht="13.5"/>
    <row r="284" ht="13.5"/>
    <row r="285" ht="13.5"/>
    <row r="286" ht="13.5"/>
    <row r="287" ht="13.5"/>
    <row r="288" ht="13.5"/>
    <row r="289" ht="13.5"/>
    <row r="290" ht="13.5"/>
    <row r="291" ht="13.5"/>
    <row r="292" ht="13.5"/>
    <row r="293" ht="13.5"/>
    <row r="294" ht="13.5"/>
    <row r="295" ht="13.5"/>
    <row r="296" ht="13.5"/>
    <row r="297" ht="13.5"/>
    <row r="298" ht="13.5"/>
    <row r="299" ht="13.5"/>
    <row r="300" ht="13.5"/>
    <row r="301" ht="13.5"/>
    <row r="302" ht="13.5"/>
    <row r="303" ht="13.5"/>
    <row r="304" ht="13.5"/>
    <row r="305" ht="13.5"/>
    <row r="306" ht="13.5"/>
    <row r="307" ht="13.5"/>
    <row r="308" ht="13.5"/>
    <row r="309" ht="13.5"/>
    <row r="310" ht="13.5"/>
    <row r="311" ht="13.5"/>
    <row r="312" ht="13.5"/>
    <row r="313" ht="13.5"/>
    <row r="314" ht="13.5"/>
    <row r="315" ht="13.5"/>
    <row r="316" ht="13.5"/>
    <row r="317" ht="13.5"/>
    <row r="318" ht="13.5"/>
    <row r="319" ht="13.5"/>
    <row r="320" ht="13.5"/>
    <row r="321" ht="13.5"/>
    <row r="322" ht="13.5"/>
    <row r="323" ht="13.5"/>
    <row r="324" ht="13.5"/>
    <row r="325" ht="13.5"/>
    <row r="326" ht="13.5"/>
    <row r="327" ht="13.5"/>
    <row r="328" ht="13.5"/>
    <row r="329" ht="13.5"/>
    <row r="330" ht="13.5"/>
    <row r="331" ht="13.5"/>
    <row r="332" ht="13.5"/>
    <row r="333" ht="13.5"/>
    <row r="334" ht="13.5"/>
    <row r="335" ht="13.5"/>
    <row r="336" ht="13.5"/>
    <row r="337" ht="13.5"/>
    <row r="338" ht="13.5"/>
    <row r="339" ht="13.5"/>
    <row r="340" ht="13.5"/>
    <row r="341" ht="13.5"/>
    <row r="342" ht="13.5"/>
    <row r="343" ht="13.5"/>
    <row r="344" ht="13.5"/>
    <row r="345" ht="13.5"/>
    <row r="346" ht="13.5"/>
    <row r="347" ht="13.5"/>
    <row r="348" ht="13.5"/>
    <row r="349" ht="13.5"/>
    <row r="350" ht="13.5"/>
    <row r="351" ht="13.5"/>
    <row r="352" ht="13.5"/>
    <row r="353" ht="13.5"/>
    <row r="354" ht="13.5"/>
    <row r="355" ht="13.5"/>
    <row r="356" ht="13.5"/>
    <row r="357" ht="13.5"/>
    <row r="358" ht="13.5"/>
    <row r="359" ht="13.5"/>
    <row r="360" ht="13.5"/>
    <row r="361" ht="13.5"/>
    <row r="362" ht="13.5"/>
    <row r="363" ht="13.5"/>
    <row r="364" ht="13.5"/>
    <row r="365" ht="13.5"/>
    <row r="366" ht="13.5"/>
    <row r="367" ht="13.5"/>
    <row r="368" ht="13.5"/>
    <row r="369" ht="13.5"/>
    <row r="370" ht="13.5"/>
    <row r="371" ht="13.5"/>
    <row r="372" ht="13.5"/>
    <row r="373" ht="13.5"/>
    <row r="374" ht="13.5"/>
    <row r="375" ht="13.5"/>
    <row r="376" ht="13.5"/>
    <row r="377" ht="13.5"/>
    <row r="378" ht="13.5"/>
    <row r="379" ht="13.5"/>
    <row r="380" ht="13.5"/>
    <row r="381" ht="13.5"/>
    <row r="382" ht="13.5"/>
    <row r="383" ht="13.5"/>
    <row r="384" ht="13.5"/>
    <row r="385" ht="13.5"/>
    <row r="386" ht="13.5"/>
    <row r="387" ht="13.5"/>
    <row r="388" ht="13.5"/>
    <row r="389" ht="13.5"/>
    <row r="390" ht="13.5"/>
    <row r="391" ht="13.5"/>
    <row r="392" ht="13.5"/>
    <row r="393" ht="13.5"/>
    <row r="394" ht="13.5"/>
    <row r="395" ht="13.5"/>
    <row r="396" ht="13.5"/>
    <row r="397" ht="13.5"/>
    <row r="398" ht="13.5"/>
    <row r="399" ht="13.5"/>
    <row r="400" ht="13.5"/>
    <row r="401" ht="13.5"/>
    <row r="402" ht="13.5"/>
    <row r="403" ht="13.5"/>
    <row r="404" ht="13.5"/>
    <row r="405" ht="13.5"/>
    <row r="406" ht="13.5"/>
    <row r="407" ht="13.5"/>
    <row r="408" ht="13.5"/>
    <row r="409" ht="13.5"/>
    <row r="410" ht="13.5"/>
    <row r="411" ht="13.5"/>
    <row r="412" ht="13.5"/>
    <row r="413" ht="13.5"/>
    <row r="414" ht="13.5"/>
    <row r="415" ht="13.5"/>
    <row r="416" ht="13.5"/>
    <row r="417" ht="13.5"/>
    <row r="418" ht="13.5"/>
    <row r="419" ht="13.5"/>
    <row r="420" ht="13.5"/>
    <row r="421" ht="13.5"/>
    <row r="422" ht="13.5"/>
    <row r="423" ht="13.5"/>
    <row r="424" ht="13.5"/>
    <row r="425" ht="13.5"/>
    <row r="426" ht="13.5"/>
    <row r="427" ht="13.5"/>
    <row r="428" ht="13.5"/>
    <row r="429" ht="13.5"/>
    <row r="430" ht="13.5"/>
    <row r="431" ht="13.5"/>
    <row r="432" ht="13.5"/>
    <row r="433" ht="13.5"/>
    <row r="434" ht="13.5"/>
    <row r="435" ht="13.5"/>
    <row r="436" ht="13.5"/>
    <row r="437" ht="13.5"/>
    <row r="438" ht="13.5"/>
    <row r="439" ht="13.5"/>
    <row r="440" ht="13.5"/>
    <row r="441" ht="13.5"/>
    <row r="442" ht="13.5"/>
    <row r="443" ht="13.5"/>
    <row r="444" ht="13.5"/>
    <row r="445" ht="13.5"/>
    <row r="446" ht="13.5"/>
    <row r="447" ht="13.5"/>
    <row r="448" ht="13.5"/>
    <row r="449" ht="13.5"/>
    <row r="450" ht="13.5"/>
    <row r="451" ht="13.5"/>
    <row r="452" ht="13.5"/>
    <row r="453" ht="13.5"/>
    <row r="454" ht="13.5"/>
    <row r="455" ht="13.5"/>
    <row r="456" ht="13.5"/>
    <row r="457" ht="13.5"/>
    <row r="458" ht="13.5"/>
    <row r="459" ht="13.5"/>
    <row r="460" ht="13.5"/>
    <row r="461" ht="13.5"/>
    <row r="462" ht="13.5"/>
    <row r="463" ht="13.5"/>
    <row r="464" ht="13.5"/>
    <row r="465" ht="13.5"/>
    <row r="466" ht="13.5"/>
    <row r="467" ht="13.5"/>
    <row r="468" ht="13.5"/>
    <row r="469" ht="13.5"/>
    <row r="470" ht="13.5"/>
    <row r="471" ht="13.5"/>
    <row r="472" ht="13.5"/>
    <row r="473" ht="13.5"/>
    <row r="474" ht="13.5"/>
    <row r="475" ht="13.5"/>
    <row r="476" ht="13.5"/>
    <row r="477" ht="13.5"/>
    <row r="478" ht="13.5"/>
    <row r="479" ht="13.5"/>
    <row r="480" ht="13.5"/>
    <row r="481" ht="13.5"/>
    <row r="482" ht="13.5"/>
    <row r="483" ht="13.5"/>
    <row r="484" ht="13.5"/>
    <row r="485" ht="13.5"/>
    <row r="486" ht="13.5"/>
    <row r="487" ht="13.5"/>
    <row r="488" ht="13.5"/>
    <row r="489" ht="13.5"/>
    <row r="490" ht="13.5"/>
    <row r="491" ht="13.5"/>
    <row r="492" ht="13.5"/>
    <row r="493" ht="13.5"/>
    <row r="494" ht="13.5"/>
    <row r="495" ht="13.5"/>
    <row r="496" ht="13.5"/>
    <row r="497" ht="13.5"/>
    <row r="498" ht="13.5"/>
    <row r="499" ht="13.5"/>
    <row r="500" ht="13.5"/>
    <row r="501" ht="13.5"/>
    <row r="502" ht="13.5"/>
    <row r="503" ht="13.5"/>
    <row r="504" ht="13.5"/>
    <row r="505" ht="13.5"/>
    <row r="506" ht="13.5"/>
    <row r="507" ht="13.5"/>
    <row r="508" ht="13.5"/>
    <row r="509" ht="13.5"/>
    <row r="510" ht="13.5"/>
    <row r="511" ht="13.5"/>
    <row r="512" ht="13.5"/>
    <row r="513" ht="13.5"/>
    <row r="514" ht="13.5"/>
    <row r="515" ht="13.5"/>
    <row r="516" ht="13.5"/>
    <row r="517" ht="13.5"/>
    <row r="518" ht="13.5"/>
    <row r="519" ht="13.5"/>
    <row r="520" ht="13.5"/>
    <row r="521" ht="13.5"/>
    <row r="522" ht="13.5"/>
    <row r="523" ht="13.5"/>
    <row r="524" ht="13.5"/>
    <row r="525" ht="13.5"/>
    <row r="526" ht="13.5"/>
    <row r="527" ht="13.5"/>
    <row r="528" ht="13.5"/>
    <row r="529" ht="13.5"/>
    <row r="530" ht="13.5"/>
    <row r="531" ht="13.5"/>
    <row r="532" ht="13.5"/>
    <row r="533" ht="13.5"/>
    <row r="534" ht="13.5"/>
    <row r="535" ht="13.5"/>
    <row r="536" ht="13.5"/>
    <row r="537" ht="13.5"/>
    <row r="538" ht="13.5"/>
    <row r="539" ht="13.5"/>
    <row r="540" ht="13.5"/>
    <row r="541" ht="13.5"/>
    <row r="542" ht="13.5"/>
    <row r="543" ht="13.5"/>
    <row r="544" ht="13.5"/>
    <row r="545" ht="13.5"/>
    <row r="546" ht="13.5"/>
    <row r="547" ht="13.5"/>
    <row r="548" ht="13.5"/>
    <row r="549" ht="13.5"/>
    <row r="550" ht="13.5"/>
    <row r="551" ht="13.5"/>
    <row r="552" ht="13.5"/>
    <row r="553" ht="13.5"/>
    <row r="554" ht="13.5"/>
    <row r="555" ht="13.5"/>
    <row r="556" ht="13.5"/>
    <row r="557" ht="13.5"/>
    <row r="558" ht="13.5"/>
    <row r="559" ht="13.5"/>
    <row r="560" ht="13.5"/>
    <row r="561" ht="13.5"/>
    <row r="562" ht="13.5"/>
    <row r="563" ht="13.5"/>
    <row r="564" ht="13.5"/>
    <row r="565" ht="13.5"/>
    <row r="566" ht="13.5"/>
    <row r="567" ht="13.5"/>
    <row r="568" ht="13.5"/>
    <row r="569" ht="13.5"/>
    <row r="570" ht="13.5"/>
    <row r="571" ht="13.5"/>
    <row r="572" ht="13.5"/>
    <row r="573" ht="13.5"/>
    <row r="574" ht="13.5"/>
    <row r="575" ht="13.5"/>
    <row r="576" ht="13.5"/>
    <row r="577" ht="13.5"/>
    <row r="578" ht="13.5"/>
    <row r="579" ht="13.5"/>
    <row r="580" ht="13.5"/>
    <row r="581" ht="13.5"/>
    <row r="582" ht="13.5"/>
    <row r="583" ht="13.5"/>
    <row r="584" ht="13.5"/>
    <row r="585" ht="13.5"/>
    <row r="586" ht="13.5"/>
    <row r="587" ht="13.5"/>
    <row r="588" ht="13.5"/>
    <row r="589" ht="13.5"/>
    <row r="590" ht="13.5"/>
    <row r="591" ht="13.5"/>
    <row r="592" ht="13.5"/>
    <row r="593" ht="13.5"/>
    <row r="594" ht="13.5"/>
    <row r="595" ht="13.5"/>
    <row r="596" ht="13.5"/>
    <row r="597" ht="13.5"/>
    <row r="598" ht="13.5"/>
    <row r="599" ht="13.5"/>
    <row r="600" ht="13.5"/>
    <row r="601" ht="13.5"/>
    <row r="602" ht="13.5"/>
    <row r="603" ht="13.5"/>
    <row r="604" ht="13.5"/>
    <row r="605" ht="13.5"/>
    <row r="606" ht="13.5"/>
    <row r="607" ht="13.5"/>
    <row r="608" ht="13.5"/>
    <row r="609" ht="13.5"/>
    <row r="610" ht="13.5"/>
    <row r="611" ht="13.5"/>
    <row r="612" ht="13.5"/>
    <row r="613" ht="13.5"/>
    <row r="614" ht="13.5"/>
    <row r="615" ht="13.5"/>
    <row r="616" ht="13.5"/>
    <row r="617" ht="13.5"/>
    <row r="618" ht="13.5"/>
    <row r="619" ht="13.5"/>
    <row r="620" ht="13.5"/>
    <row r="621" ht="13.5"/>
    <row r="622" ht="13.5"/>
    <row r="623" ht="13.5"/>
    <row r="624" ht="13.5"/>
    <row r="625" ht="13.5"/>
    <row r="626" ht="13.5"/>
    <row r="627" ht="13.5"/>
    <row r="628" ht="13.5"/>
    <row r="629" ht="13.5"/>
    <row r="630" ht="13.5"/>
    <row r="631" ht="13.5"/>
    <row r="632" ht="13.5"/>
    <row r="633" ht="13.5"/>
    <row r="634" ht="13.5"/>
    <row r="635" ht="13.5"/>
    <row r="636" ht="13.5"/>
    <row r="637" ht="13.5"/>
    <row r="638" ht="13.5"/>
    <row r="639" ht="13.5"/>
    <row r="640" ht="13.5"/>
    <row r="641" ht="13.5"/>
    <row r="642" ht="13.5"/>
    <row r="643" ht="13.5"/>
    <row r="644" ht="13.5"/>
    <row r="645" ht="13.5"/>
    <row r="646" ht="13.5"/>
    <row r="647" ht="13.5"/>
    <row r="648" ht="13.5"/>
    <row r="649" ht="13.5"/>
    <row r="650" ht="13.5"/>
    <row r="651" ht="13.5"/>
    <row r="652" ht="13.5"/>
    <row r="653" ht="13.5"/>
    <row r="654" ht="13.5"/>
    <row r="655" ht="13.5"/>
    <row r="656" ht="13.5"/>
    <row r="657" ht="13.5"/>
    <row r="658" ht="13.5"/>
    <row r="659" ht="13.5"/>
    <row r="660" ht="13.5"/>
    <row r="661" ht="13.5"/>
    <row r="662" ht="13.5"/>
    <row r="663" ht="13.5"/>
    <row r="664" ht="13.5"/>
    <row r="665" ht="13.5"/>
    <row r="666" ht="13.5"/>
    <row r="667" ht="13.5"/>
    <row r="668" ht="13.5"/>
    <row r="669" ht="13.5"/>
    <row r="670" ht="13.5"/>
    <row r="671" ht="13.5"/>
    <row r="672" ht="13.5"/>
    <row r="673" ht="13.5"/>
    <row r="674" ht="13.5"/>
    <row r="675" ht="13.5"/>
    <row r="676" ht="13.5"/>
    <row r="677" ht="13.5"/>
    <row r="678" ht="13.5"/>
    <row r="679" ht="13.5"/>
    <row r="680" ht="13.5"/>
    <row r="681" ht="13.5"/>
    <row r="682" ht="13.5"/>
    <row r="683" ht="13.5"/>
    <row r="684" ht="13.5"/>
    <row r="685" ht="13.5"/>
    <row r="686" ht="13.5"/>
    <row r="687" ht="13.5"/>
    <row r="688" ht="13.5"/>
    <row r="689" ht="13.5"/>
    <row r="690" ht="13.5"/>
    <row r="691" ht="13.5"/>
    <row r="692" ht="13.5"/>
    <row r="693" ht="13.5"/>
    <row r="694" ht="13.5"/>
    <row r="695" ht="13.5"/>
    <row r="696" ht="13.5"/>
    <row r="697" ht="13.5"/>
    <row r="698" ht="13.5"/>
    <row r="699" ht="13.5"/>
    <row r="700" ht="13.5"/>
    <row r="701" ht="13.5"/>
    <row r="702" ht="13.5"/>
    <row r="703" ht="13.5"/>
    <row r="704" ht="13.5"/>
    <row r="705" ht="13.5"/>
    <row r="706" ht="13.5"/>
    <row r="707" ht="13.5"/>
    <row r="708" ht="13.5"/>
    <row r="709" ht="13.5"/>
    <row r="710" ht="13.5"/>
    <row r="711" ht="13.5"/>
    <row r="712" ht="13.5"/>
    <row r="713" ht="13.5"/>
    <row r="714" ht="13.5"/>
    <row r="715" ht="13.5"/>
    <row r="716" ht="13.5"/>
    <row r="717" ht="13.5"/>
    <row r="718" ht="13.5"/>
    <row r="719" ht="13.5"/>
    <row r="720" ht="13.5"/>
    <row r="721" ht="13.5"/>
    <row r="722" ht="13.5"/>
    <row r="723" ht="13.5"/>
    <row r="724" ht="13.5"/>
    <row r="725" ht="13.5"/>
    <row r="726" ht="13.5"/>
    <row r="727" ht="13.5"/>
    <row r="728" ht="13.5"/>
    <row r="729" ht="13.5"/>
    <row r="730" ht="13.5"/>
    <row r="731" ht="13.5"/>
    <row r="732" ht="13.5"/>
    <row r="733" ht="13.5"/>
    <row r="734" ht="13.5"/>
    <row r="735" ht="13.5"/>
    <row r="736" ht="13.5"/>
    <row r="737" ht="13.5"/>
    <row r="738" ht="13.5"/>
    <row r="739" ht="13.5"/>
    <row r="740" ht="13.5"/>
    <row r="741" ht="13.5"/>
    <row r="742" ht="13.5"/>
    <row r="743" ht="13.5"/>
    <row r="744" ht="13.5"/>
    <row r="745" ht="13.5"/>
    <row r="746" ht="13.5"/>
    <row r="747" ht="13.5"/>
    <row r="748" ht="13.5"/>
    <row r="749" ht="13.5"/>
    <row r="750" ht="13.5"/>
    <row r="751" ht="13.5"/>
    <row r="752" ht="13.5"/>
    <row r="753" ht="13.5"/>
    <row r="754" ht="13.5"/>
    <row r="755" ht="13.5"/>
    <row r="756" ht="13.5"/>
    <row r="757" ht="13.5"/>
    <row r="758" ht="13.5"/>
    <row r="759" ht="13.5"/>
    <row r="760" ht="13.5"/>
    <row r="761" ht="13.5"/>
    <row r="762" ht="13.5"/>
    <row r="763" ht="13.5"/>
    <row r="764" ht="13.5"/>
    <row r="765" ht="13.5"/>
    <row r="766" ht="13.5"/>
    <row r="767" ht="13.5"/>
    <row r="768" ht="13.5"/>
    <row r="769" ht="13.5"/>
    <row r="770" ht="13.5"/>
    <row r="771" ht="13.5"/>
    <row r="772" ht="13.5"/>
    <row r="773" ht="13.5"/>
    <row r="774" ht="13.5"/>
    <row r="775" ht="13.5"/>
    <row r="776" ht="13.5"/>
    <row r="777" ht="13.5"/>
    <row r="778" ht="13.5"/>
    <row r="779" ht="13.5"/>
    <row r="780" ht="13.5"/>
    <row r="781" ht="13.5"/>
    <row r="782" ht="13.5"/>
    <row r="783" ht="13.5"/>
    <row r="784" ht="13.5"/>
    <row r="785" ht="13.5"/>
    <row r="786" ht="13.5"/>
    <row r="787" ht="13.5"/>
    <row r="788" ht="13.5"/>
    <row r="789" ht="13.5"/>
    <row r="790" ht="13.5"/>
    <row r="791" ht="13.5"/>
    <row r="792" ht="13.5"/>
    <row r="793" ht="13.5"/>
    <row r="794" ht="13.5"/>
    <row r="795" ht="13.5"/>
    <row r="796" ht="13.5"/>
    <row r="797" ht="13.5"/>
    <row r="798" ht="13.5"/>
    <row r="799" ht="13.5"/>
    <row r="800" ht="13.5"/>
    <row r="801" ht="13.5"/>
    <row r="802" ht="13.5"/>
    <row r="803" ht="13.5"/>
    <row r="804" ht="13.5"/>
    <row r="805" ht="13.5"/>
    <row r="806" ht="13.5"/>
    <row r="807" ht="13.5"/>
    <row r="808" ht="13.5"/>
    <row r="809" ht="13.5"/>
    <row r="810" ht="13.5"/>
    <row r="811" ht="13.5"/>
    <row r="812" ht="13.5"/>
    <row r="813" ht="13.5"/>
    <row r="814" ht="13.5"/>
    <row r="815" ht="13.5"/>
    <row r="816" ht="13.5"/>
    <row r="817" ht="13.5"/>
    <row r="818" ht="13.5"/>
    <row r="819" ht="13.5"/>
    <row r="820" ht="13.5"/>
    <row r="821" ht="13.5"/>
    <row r="822" ht="13.5"/>
    <row r="823" ht="13.5"/>
    <row r="824" ht="13.5"/>
    <row r="825" ht="13.5"/>
    <row r="826" ht="13.5"/>
    <row r="827" ht="13.5"/>
    <row r="828" ht="13.5"/>
    <row r="829" ht="13.5"/>
    <row r="830" ht="13.5"/>
    <row r="831" ht="13.5"/>
    <row r="832" ht="13.5"/>
    <row r="833" ht="13.5"/>
    <row r="834" ht="13.5"/>
    <row r="835" ht="13.5"/>
    <row r="836" ht="13.5"/>
    <row r="837" ht="13.5"/>
    <row r="838" ht="13.5"/>
    <row r="839" ht="13.5"/>
    <row r="840" ht="13.5"/>
    <row r="841" ht="13.5"/>
    <row r="842" ht="13.5"/>
    <row r="843" ht="13.5"/>
    <row r="844" ht="13.5"/>
    <row r="845" ht="13.5"/>
    <row r="846" ht="13.5"/>
    <row r="847" ht="13.5"/>
    <row r="848" ht="13.5"/>
    <row r="849" ht="13.5"/>
    <row r="850" ht="13.5"/>
    <row r="851" ht="13.5"/>
    <row r="852" ht="13.5"/>
    <row r="853" ht="13.5"/>
    <row r="854" ht="13.5"/>
    <row r="855" ht="13.5"/>
    <row r="856" ht="13.5"/>
    <row r="857" ht="13.5"/>
    <row r="858" ht="13.5"/>
    <row r="859" ht="13.5"/>
    <row r="860" ht="13.5"/>
    <row r="861" ht="13.5"/>
    <row r="862" ht="13.5"/>
    <row r="863" ht="13.5"/>
    <row r="864" ht="13.5"/>
    <row r="865" ht="13.5"/>
    <row r="866" ht="13.5"/>
    <row r="867" ht="13.5"/>
    <row r="868" ht="13.5"/>
    <row r="869" ht="13.5"/>
    <row r="870" ht="13.5"/>
    <row r="871" ht="13.5"/>
    <row r="872" ht="13.5"/>
    <row r="873" ht="13.5"/>
    <row r="874" ht="13.5"/>
    <row r="875" ht="13.5"/>
    <row r="876" ht="13.5"/>
    <row r="877" ht="13.5"/>
    <row r="878" ht="13.5"/>
    <row r="879" ht="13.5"/>
    <row r="880" ht="13.5"/>
    <row r="881" ht="13.5"/>
    <row r="882" ht="13.5"/>
    <row r="883" ht="13.5"/>
    <row r="884" ht="13.5"/>
    <row r="885" ht="13.5"/>
    <row r="886" ht="13.5"/>
    <row r="887" ht="13.5"/>
    <row r="888" ht="13.5"/>
    <row r="889" ht="13.5"/>
    <row r="890" ht="13.5"/>
    <row r="891" ht="13.5"/>
    <row r="892" ht="13.5"/>
    <row r="893" ht="13.5"/>
    <row r="894" ht="13.5"/>
    <row r="895" ht="13.5"/>
    <row r="896" ht="13.5"/>
    <row r="897" ht="13.5"/>
    <row r="898" ht="13.5"/>
    <row r="899" ht="13.5"/>
    <row r="900" ht="13.5"/>
    <row r="901" ht="13.5"/>
    <row r="902" ht="13.5"/>
    <row r="903" ht="13.5"/>
    <row r="904" ht="13.5"/>
    <row r="905" ht="13.5"/>
    <row r="906" ht="13.5"/>
    <row r="907" ht="13.5"/>
    <row r="908" ht="13.5"/>
    <row r="909" ht="13.5"/>
    <row r="910" ht="13.5"/>
    <row r="911" ht="13.5"/>
    <row r="912" ht="13.5"/>
    <row r="913" ht="13.5"/>
    <row r="914" ht="13.5"/>
    <row r="915" ht="13.5"/>
    <row r="916" ht="13.5"/>
    <row r="917" ht="13.5"/>
    <row r="918" ht="13.5"/>
    <row r="919" ht="13.5"/>
    <row r="920" ht="13.5"/>
    <row r="921" ht="13.5"/>
    <row r="922" ht="13.5"/>
    <row r="923" ht="13.5"/>
    <row r="924" ht="13.5"/>
    <row r="925" ht="13.5"/>
    <row r="926" ht="13.5"/>
    <row r="927" ht="13.5"/>
    <row r="928" ht="13.5"/>
    <row r="929" ht="13.5"/>
    <row r="930" ht="13.5"/>
    <row r="931" ht="13.5"/>
    <row r="932" ht="13.5"/>
    <row r="933" ht="13.5"/>
    <row r="934" ht="13.5"/>
    <row r="935" ht="13.5"/>
    <row r="936" ht="13.5"/>
    <row r="937" ht="13.5"/>
    <row r="938" ht="13.5"/>
    <row r="939" ht="13.5"/>
    <row r="940" ht="13.5"/>
    <row r="941" ht="13.5"/>
    <row r="942" ht="13.5"/>
    <row r="943" ht="13.5"/>
    <row r="944" ht="13.5"/>
    <row r="945" ht="13.5"/>
    <row r="946" ht="13.5"/>
    <row r="947" ht="13.5"/>
    <row r="948" ht="13.5"/>
    <row r="949" ht="13.5"/>
    <row r="950" ht="13.5"/>
    <row r="951" ht="13.5"/>
    <row r="952" ht="13.5"/>
    <row r="953" ht="13.5"/>
    <row r="954" ht="13.5"/>
    <row r="955" ht="13.5"/>
    <row r="956" ht="13.5"/>
    <row r="957" ht="13.5"/>
    <row r="958" ht="13.5"/>
    <row r="959" ht="13.5"/>
    <row r="960" ht="13.5"/>
    <row r="961" ht="13.5"/>
    <row r="962" ht="13.5"/>
    <row r="963" ht="13.5"/>
    <row r="964" ht="13.5"/>
    <row r="965" ht="13.5"/>
    <row r="966" ht="13.5"/>
    <row r="967" ht="13.5"/>
    <row r="968" ht="13.5"/>
    <row r="969" ht="13.5"/>
    <row r="970" ht="13.5"/>
    <row r="971" ht="13.5"/>
    <row r="972" ht="13.5"/>
    <row r="973" ht="13.5"/>
    <row r="974" ht="13.5"/>
    <row r="975" ht="13.5"/>
    <row r="976" ht="13.5"/>
    <row r="977" ht="13.5"/>
    <row r="978" ht="13.5"/>
    <row r="979" ht="13.5"/>
    <row r="980" ht="13.5"/>
    <row r="981" ht="13.5"/>
    <row r="982" ht="13.5"/>
    <row r="983" ht="13.5"/>
    <row r="984" ht="13.5"/>
    <row r="985" ht="13.5"/>
    <row r="986" ht="13.5"/>
    <row r="987" ht="13.5"/>
    <row r="988" ht="13.5"/>
    <row r="989" ht="13.5"/>
    <row r="990" ht="13.5"/>
    <row r="991" ht="13.5"/>
    <row r="992" ht="13.5"/>
    <row r="993" ht="13.5"/>
    <row r="994" ht="13.5"/>
    <row r="995" ht="13.5"/>
    <row r="996" ht="13.5"/>
    <row r="997" ht="13.5"/>
    <row r="998" ht="13.5"/>
    <row r="999" ht="13.5"/>
    <row r="1000" ht="13.5"/>
    <row r="1001" ht="13.5"/>
    <row r="1002" ht="13.5"/>
    <row r="1003" ht="13.5"/>
    <row r="1004" ht="13.5"/>
    <row r="1005" ht="13.5"/>
    <row r="1006" ht="13.5"/>
    <row r="1007" ht="13.5"/>
    <row r="1008" ht="13.5"/>
    <row r="1009" ht="13.5"/>
    <row r="1010" ht="13.5"/>
    <row r="1011" ht="13.5"/>
    <row r="1012" ht="13.5"/>
    <row r="1013" ht="13.5"/>
    <row r="1014" ht="13.5"/>
    <row r="1015" ht="13.5"/>
    <row r="1016" ht="13.5"/>
    <row r="1017" ht="13.5"/>
    <row r="1018" ht="16.149999999999999" customHeight="1"/>
    <row r="1019" ht="16.149999999999999" customHeight="1"/>
    <row r="1020" ht="16.149999999999999" customHeight="1"/>
    <row r="1021" ht="16.149999999999999" customHeight="1"/>
    <row r="1022" ht="16.149999999999999" customHeight="1"/>
    <row r="1023" ht="16.149999999999999" customHeight="1"/>
    <row r="1024" ht="16.149999999999999" customHeight="1"/>
    <row r="1025" ht="16.149999999999999" customHeight="1"/>
    <row r="1026" ht="16.149999999999999" customHeight="1"/>
    <row r="1027" ht="16.149999999999999" customHeight="1"/>
    <row r="1028" ht="16.149999999999999" customHeight="1"/>
    <row r="1029" ht="16.149999999999999" customHeight="1"/>
    <row r="1030" ht="16.149999999999999" customHeight="1"/>
    <row r="1031" ht="16.149999999999999" customHeight="1"/>
    <row r="1032" ht="16.149999999999999" customHeight="1"/>
    <row r="1033" ht="16.149999999999999" customHeight="1"/>
    <row r="1034" ht="16.149999999999999" customHeight="1"/>
    <row r="1035" ht="16.149999999999999" customHeight="1"/>
    <row r="1036" ht="16.149999999999999" customHeight="1"/>
    <row r="1037" ht="16.149999999999999" customHeight="1"/>
    <row r="1038" ht="16.149999999999999" customHeight="1"/>
    <row r="1039" ht="16.149999999999999" customHeight="1"/>
    <row r="1040" ht="16.149999999999999" customHeight="1"/>
    <row r="1041" ht="16.149999999999999" customHeight="1"/>
    <row r="1042" ht="16.149999999999999" customHeight="1"/>
    <row r="1043" ht="16.149999999999999" customHeight="1"/>
    <row r="1044" ht="16.149999999999999" customHeight="1"/>
    <row r="1045" ht="16.149999999999999" customHeight="1"/>
    <row r="1046" ht="16.149999999999999" customHeight="1"/>
    <row r="1047" ht="16.149999999999999" customHeight="1"/>
    <row r="1048" ht="16.149999999999999" customHeight="1"/>
    <row r="1049" ht="16.149999999999999" customHeight="1"/>
    <row r="1050" ht="16.149999999999999" customHeight="1"/>
    <row r="1051" ht="16.149999999999999" customHeight="1"/>
    <row r="1052" ht="16.149999999999999" customHeight="1"/>
    <row r="1053" ht="16.149999999999999" customHeight="1"/>
    <row r="1054" ht="16.149999999999999" customHeight="1"/>
    <row r="1055" ht="16.149999999999999" customHeight="1"/>
    <row r="1056" ht="16.149999999999999" customHeight="1"/>
    <row r="1057" ht="16.149999999999999" customHeight="1"/>
    <row r="1058" ht="16.149999999999999" customHeight="1"/>
    <row r="1059" ht="16.149999999999999" customHeight="1"/>
    <row r="1060" ht="16.149999999999999" customHeight="1"/>
    <row r="1061" ht="16.149999999999999" customHeight="1"/>
    <row r="1062" ht="16.149999999999999" customHeight="1"/>
    <row r="1063" ht="0" hidden="1" customHeight="1"/>
    <row r="1064" ht="0" hidden="1" customHeight="1"/>
  </sheetData>
  <mergeCells count="23">
    <mergeCell ref="B32:C32"/>
    <mergeCell ref="B36:K36"/>
    <mergeCell ref="B27:I27"/>
    <mergeCell ref="B28:I28"/>
    <mergeCell ref="B29:C30"/>
    <mergeCell ref="D29:K29"/>
    <mergeCell ref="B31:C31"/>
    <mergeCell ref="B33:C33"/>
    <mergeCell ref="B34:C34"/>
    <mergeCell ref="B1:I1"/>
    <mergeCell ref="B2:I2"/>
    <mergeCell ref="B3:I3"/>
    <mergeCell ref="D4:F4"/>
    <mergeCell ref="G4:I4"/>
    <mergeCell ref="B4:C5"/>
    <mergeCell ref="J4:K4"/>
    <mergeCell ref="B8:C8"/>
    <mergeCell ref="B9:C9"/>
    <mergeCell ref="B7:C7"/>
    <mergeCell ref="B13:K13"/>
    <mergeCell ref="B6:C6"/>
    <mergeCell ref="B11:C11"/>
    <mergeCell ref="B10:C10"/>
  </mergeCells>
  <phoneticPr fontId="7" type="noConversion"/>
  <printOptions horizontalCentered="1"/>
  <pageMargins left="0.39370078740157483" right="0.39370078740157483" top="0.59055118110236215" bottom="0.59055118110236215" header="0.19685039370078741" footer="0.19685039370078741"/>
  <pageSetup paperSize="9" scale="78" orientation="landscape" horizontalDpi="300"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pageSetUpPr fitToPage="1"/>
  </sheetPr>
  <dimension ref="A1:AG98"/>
  <sheetViews>
    <sheetView view="pageBreakPreview" topLeftCell="A53" zoomScale="70" zoomScaleNormal="85" zoomScaleSheetLayoutView="70" workbookViewId="0">
      <selection activeCell="M22" sqref="M22"/>
    </sheetView>
  </sheetViews>
  <sheetFormatPr defaultColWidth="8.88671875" defaultRowHeight="16.5"/>
  <cols>
    <col min="1" max="1" width="2.44140625" style="1" customWidth="1"/>
    <col min="2" max="2" width="9.109375" style="1" customWidth="1"/>
    <col min="3" max="3" width="10.88671875" style="1" customWidth="1"/>
    <col min="4" max="4" width="6.109375" style="1" customWidth="1"/>
    <col min="5" max="9" width="6.5546875" style="1" customWidth="1"/>
    <col min="10" max="12" width="6.109375" style="1" customWidth="1"/>
    <col min="13" max="13" width="10.5546875" style="1" customWidth="1"/>
    <col min="14" max="14" width="6.21875" style="1" customWidth="1"/>
    <col min="15" max="17" width="44.44140625" style="1" customWidth="1"/>
    <col min="18" max="18" width="4.88671875" style="1" customWidth="1"/>
    <col min="19" max="19" width="8.6640625" style="179" customWidth="1"/>
    <col min="20" max="22" width="8.6640625" style="1" customWidth="1"/>
    <col min="23" max="28" width="8.88671875" style="1" customWidth="1"/>
    <col min="29" max="29" width="8.88671875" style="179" customWidth="1"/>
    <col min="30" max="31" width="8.88671875" style="1" customWidth="1"/>
    <col min="32" max="32" width="8.88671875" style="1"/>
    <col min="33" max="33" width="12.6640625" style="1" customWidth="1"/>
    <col min="34" max="16384" width="8.88671875" style="1"/>
  </cols>
  <sheetData>
    <row r="1" spans="2:22" s="19" customFormat="1"/>
    <row r="2" spans="2:22" s="19" customFormat="1" ht="17.25">
      <c r="B2" s="41" t="s">
        <v>205</v>
      </c>
      <c r="C2" s="42"/>
      <c r="D2" s="42"/>
      <c r="E2" s="42"/>
      <c r="F2" s="42"/>
      <c r="G2" s="42"/>
      <c r="H2" s="42"/>
      <c r="I2" s="42"/>
      <c r="J2" s="42"/>
    </row>
    <row r="3" spans="2:22" s="19" customFormat="1" ht="17.25">
      <c r="B3" s="43"/>
      <c r="C3" s="43"/>
      <c r="D3" s="43"/>
      <c r="E3" s="43"/>
      <c r="J3" s="43"/>
    </row>
    <row r="4" spans="2:22" s="19" customFormat="1">
      <c r="B4" s="361" t="s">
        <v>26</v>
      </c>
      <c r="C4" s="361"/>
      <c r="D4" s="362" t="str">
        <f ca="1">MID(CELL("filename",$A$1),FIND("]",CELL("filename",$A$1))+1,100)</f>
        <v>Origin(숨김처리)</v>
      </c>
      <c r="E4" s="362"/>
      <c r="F4" s="361" t="s">
        <v>28</v>
      </c>
      <c r="G4" s="361"/>
      <c r="H4" s="362" t="str">
        <f ca="1">IFERROR(VLOOKUP($D$4,점검대상!C7:M35,2,FALSE),"-")</f>
        <v>-</v>
      </c>
      <c r="I4" s="362"/>
      <c r="J4" s="362"/>
    </row>
    <row r="5" spans="2:22" s="19" customFormat="1" ht="17.25">
      <c r="B5" s="361" t="s">
        <v>27</v>
      </c>
      <c r="C5" s="361"/>
      <c r="D5" s="362" t="str">
        <f ca="1">IFERROR(VLOOKUP($D$4,점검대상!C7:M35,3,FALSE),"-")</f>
        <v>-</v>
      </c>
      <c r="E5" s="362"/>
      <c r="F5" s="361" t="s">
        <v>29</v>
      </c>
      <c r="G5" s="361"/>
      <c r="H5" s="362" t="str">
        <f ca="1">IFERROR(VLOOKUP($D$4,점검대상!C7:M35,4,FALSE),"-")</f>
        <v>-</v>
      </c>
      <c r="I5" s="362"/>
      <c r="J5" s="362"/>
      <c r="N5" s="44"/>
    </row>
    <row r="6" spans="2:22" s="19" customFormat="1">
      <c r="M6" s="45"/>
      <c r="N6" s="45"/>
    </row>
    <row r="7" spans="2:22" s="19" customFormat="1" ht="17.25">
      <c r="B7" s="84" t="s">
        <v>206</v>
      </c>
      <c r="M7" s="45"/>
      <c r="N7" s="45"/>
    </row>
    <row r="8" spans="2:22" s="19" customFormat="1"/>
    <row r="9" spans="2:22" s="19" customFormat="1" ht="17.45" customHeight="1">
      <c r="B9" s="361" t="s">
        <v>207</v>
      </c>
      <c r="C9" s="361"/>
      <c r="D9" s="96" t="s">
        <v>208</v>
      </c>
      <c r="E9" s="96" t="s">
        <v>201</v>
      </c>
      <c r="F9" s="96" t="s">
        <v>202</v>
      </c>
      <c r="G9" s="96" t="s">
        <v>209</v>
      </c>
      <c r="H9" s="96" t="s">
        <v>203</v>
      </c>
      <c r="I9" s="363" t="s">
        <v>210</v>
      </c>
      <c r="J9" s="364"/>
      <c r="S9" s="365" t="str">
        <f>"DoA "&amp;$I$10&amp;" 이상"</f>
        <v>DoA 7 이상</v>
      </c>
      <c r="T9" s="365"/>
      <c r="U9" s="365" t="str">
        <f>"DoA "&amp;$I$10&amp;" 미만"</f>
        <v>DoA 7 미만</v>
      </c>
      <c r="V9" s="365"/>
    </row>
    <row r="10" spans="2:22" s="19" customFormat="1">
      <c r="B10" s="361"/>
      <c r="C10" s="361"/>
      <c r="D10" s="85" t="str">
        <f ca="1">IFERROR(VLOOKUP($D$4,점검대상!$C$7:$M$35,5,FALSE),"-")</f>
        <v>-</v>
      </c>
      <c r="E10" s="85" t="str">
        <f ca="1">IFERROR(VLOOKUP($D$4,점검대상!$C$7:$M$35,6,FALSE),"-")</f>
        <v>-</v>
      </c>
      <c r="F10" s="85" t="str">
        <f ca="1">IFERROR(VLOOKUP($D$4,점검대상!$C$7:$M$35,7,FALSE),"-")</f>
        <v>-</v>
      </c>
      <c r="G10" s="85" t="str">
        <f ca="1">IF(H10="1등급",3,IF(H10="중",2,IF(H10="하",1,"-")))</f>
        <v>-</v>
      </c>
      <c r="H10" s="85" t="str">
        <f ca="1">IFERROR(VLOOKUP($D$4,점검대상!$C$7:$M$35,8,FALSE),"-")</f>
        <v>-</v>
      </c>
      <c r="I10" s="366">
        <f>점검대상!K4</f>
        <v>7</v>
      </c>
      <c r="J10" s="367"/>
      <c r="S10" s="368">
        <f>COUNTIF($W21:$W87,"통제 적용")</f>
        <v>0</v>
      </c>
      <c r="T10" s="368"/>
      <c r="U10" s="368">
        <f>COUNTIF($W21:$W87,"위험 수용")</f>
        <v>0</v>
      </c>
      <c r="V10" s="368"/>
    </row>
    <row r="11" spans="2:22" s="19" customFormat="1" hidden="1">
      <c r="B11" s="372"/>
      <c r="C11" s="373"/>
      <c r="D11" s="46"/>
      <c r="E11" s="46"/>
      <c r="F11" s="46"/>
      <c r="G11" s="46"/>
      <c r="H11" s="47"/>
      <c r="I11" s="47"/>
      <c r="J11" s="48"/>
    </row>
    <row r="12" spans="2:22" s="19" customFormat="1" hidden="1">
      <c r="B12" s="372"/>
      <c r="C12" s="373"/>
      <c r="D12" s="46"/>
      <c r="E12" s="46"/>
      <c r="F12" s="46"/>
      <c r="G12" s="46"/>
      <c r="H12" s="47"/>
      <c r="I12" s="47"/>
      <c r="J12" s="48"/>
    </row>
    <row r="13" spans="2:22" s="19" customFormat="1" hidden="1">
      <c r="B13" s="372"/>
      <c r="C13" s="373"/>
      <c r="D13" s="46"/>
      <c r="E13" s="46"/>
      <c r="F13" s="46"/>
      <c r="G13" s="46"/>
      <c r="H13" s="47"/>
      <c r="I13" s="47"/>
      <c r="J13" s="48"/>
    </row>
    <row r="14" spans="2:22" s="19" customFormat="1" hidden="1">
      <c r="B14" s="372"/>
      <c r="C14" s="373"/>
      <c r="D14" s="46"/>
      <c r="E14" s="46"/>
      <c r="F14" s="46"/>
      <c r="G14" s="46"/>
      <c r="H14" s="47"/>
      <c r="I14" s="47"/>
      <c r="J14" s="48"/>
    </row>
    <row r="15" spans="2:22" s="19" customFormat="1" hidden="1">
      <c r="B15" s="372"/>
      <c r="C15" s="373"/>
      <c r="D15" s="46"/>
      <c r="E15" s="46"/>
      <c r="F15" s="46"/>
      <c r="G15" s="46"/>
      <c r="H15" s="47"/>
      <c r="I15" s="47"/>
      <c r="J15" s="48"/>
    </row>
    <row r="16" spans="2:22" s="19" customFormat="1" ht="17.25" hidden="1" thickTop="1">
      <c r="B16" s="369"/>
      <c r="C16" s="369"/>
      <c r="D16" s="94"/>
      <c r="E16" s="94"/>
      <c r="F16" s="94"/>
      <c r="G16" s="94"/>
      <c r="H16" s="94"/>
      <c r="I16" s="94"/>
      <c r="J16" s="49"/>
    </row>
    <row r="17" spans="1:33" s="19" customFormat="1">
      <c r="M17" s="45"/>
      <c r="N17" s="45"/>
    </row>
    <row r="18" spans="1:33" ht="17.25">
      <c r="B18" s="10" t="s">
        <v>40</v>
      </c>
      <c r="P18" s="9"/>
      <c r="Q18" s="9"/>
    </row>
    <row r="19" spans="1:33">
      <c r="R19" s="8"/>
    </row>
    <row r="20" spans="1:33" s="19" customFormat="1" ht="32.1" customHeight="1">
      <c r="A20" s="37"/>
      <c r="B20" s="371" t="s">
        <v>2</v>
      </c>
      <c r="C20" s="371"/>
      <c r="D20" s="371" t="s">
        <v>36</v>
      </c>
      <c r="E20" s="371"/>
      <c r="F20" s="371"/>
      <c r="G20" s="371"/>
      <c r="H20" s="371"/>
      <c r="I20" s="371"/>
      <c r="J20" s="371" t="s">
        <v>1</v>
      </c>
      <c r="K20" s="371"/>
      <c r="L20" s="130" t="s">
        <v>215</v>
      </c>
      <c r="M20" s="371" t="s">
        <v>150</v>
      </c>
      <c r="N20" s="371"/>
      <c r="O20" s="130" t="s">
        <v>211</v>
      </c>
      <c r="P20" s="130" t="s">
        <v>212</v>
      </c>
      <c r="Q20" s="130" t="s">
        <v>213</v>
      </c>
      <c r="R20" s="37"/>
      <c r="S20" s="95" t="s">
        <v>214</v>
      </c>
      <c r="T20" s="95" t="s">
        <v>216</v>
      </c>
      <c r="U20" s="95" t="s">
        <v>217</v>
      </c>
      <c r="V20" s="95" t="s">
        <v>30</v>
      </c>
      <c r="W20" s="95" t="s">
        <v>218</v>
      </c>
      <c r="X20" s="95" t="s">
        <v>219</v>
      </c>
      <c r="Z20" s="204" t="s">
        <v>251</v>
      </c>
      <c r="AA20" s="204" t="s">
        <v>252</v>
      </c>
      <c r="AB20" s="204" t="s">
        <v>253</v>
      </c>
      <c r="AC20" s="204" t="s">
        <v>254</v>
      </c>
      <c r="AD20" s="204" t="s">
        <v>255</v>
      </c>
      <c r="AE20" s="204" t="s">
        <v>256</v>
      </c>
      <c r="AF20" s="204" t="s">
        <v>257</v>
      </c>
      <c r="AG20" s="204" t="s">
        <v>258</v>
      </c>
    </row>
    <row r="21" spans="1:33" ht="60" customHeight="1">
      <c r="A21" s="8"/>
      <c r="B21" s="329" t="str">
        <f>'요약 통계'!B6</f>
        <v>계정 관리</v>
      </c>
      <c r="C21" s="329"/>
      <c r="D21" s="196" t="s">
        <v>41</v>
      </c>
      <c r="E21" s="370" t="str">
        <f>'요약 통계'!D6</f>
        <v>root 계정 원격 접속 제한</v>
      </c>
      <c r="F21" s="370"/>
      <c r="G21" s="370"/>
      <c r="H21" s="370"/>
      <c r="I21" s="370"/>
      <c r="J21" s="168" t="str">
        <f>'요약 통계'!E6</f>
        <v>상</v>
      </c>
      <c r="K21" s="132">
        <f>IF(M21="N/A","-",'요약 통계'!F6)</f>
        <v>3</v>
      </c>
      <c r="L21" s="133" t="s">
        <v>220</v>
      </c>
      <c r="M21" s="125" t="s">
        <v>133</v>
      </c>
      <c r="N21" s="134">
        <f>IF(M21="N",0,K21)</f>
        <v>3</v>
      </c>
      <c r="O21" s="127"/>
      <c r="P21" s="88" t="str">
        <f>IF(M21="N",'잠재위험 및 대응책 DB'!A2,"-")</f>
        <v>-</v>
      </c>
      <c r="Q21" s="88" t="str">
        <f>IF(W21="통제 적용",'잠재위험 및 대응책 DB'!B2,"-")</f>
        <v>-</v>
      </c>
      <c r="R21" s="93"/>
      <c r="S21" s="135" t="str">
        <f>J21</f>
        <v>상</v>
      </c>
      <c r="T21" s="135">
        <f>IF(S21="상",3,IF(S21="중",2,IF(S21="하",1,0)))</f>
        <v>3</v>
      </c>
      <c r="U21" s="135" t="str">
        <f>IFERROR(IF(OR($M21="y",$M21="n/a"),"-",$G$10+(($K21-$N21)*2)),"-")</f>
        <v>-</v>
      </c>
      <c r="V21" s="135" t="str">
        <f>IF(U21="-","-",IF(U21&gt;=7,"상",IF(U21&gt;=4,"중",IF(U21&gt;=2,"하","하"))))</f>
        <v>-</v>
      </c>
      <c r="W21" s="135" t="str">
        <f>IF(U21="-","-",IF(U21&gt;=$I$10,"통제 적용","위험 수용"))</f>
        <v>-</v>
      </c>
      <c r="X21" s="135" t="str">
        <f>IF(W21="통제 적용",D21,"-")</f>
        <v>-</v>
      </c>
      <c r="Y21" s="179"/>
      <c r="Z21" s="135" t="s">
        <v>324</v>
      </c>
      <c r="AA21" s="135" t="s">
        <v>324</v>
      </c>
      <c r="AB21" s="135" t="s">
        <v>324</v>
      </c>
      <c r="AC21" s="135">
        <f t="shared" ref="AC21" si="0">SUM(Z21:AB21)</f>
        <v>0</v>
      </c>
      <c r="AD21" s="135" t="s">
        <v>324</v>
      </c>
      <c r="AE21" s="135"/>
      <c r="AF21" s="135" t="s">
        <v>324</v>
      </c>
      <c r="AG21" s="252"/>
    </row>
    <row r="22" spans="1:33" ht="60" customHeight="1">
      <c r="A22" s="8"/>
      <c r="B22" s="329"/>
      <c r="C22" s="329"/>
      <c r="D22" s="197" t="s">
        <v>42</v>
      </c>
      <c r="E22" s="370" t="str">
        <f>'요약 통계'!D7</f>
        <v>비밀번호 관리정책 설정</v>
      </c>
      <c r="F22" s="370"/>
      <c r="G22" s="370"/>
      <c r="H22" s="370"/>
      <c r="I22" s="370"/>
      <c r="J22" s="168" t="str">
        <f>'요약 통계'!E7</f>
        <v>상</v>
      </c>
      <c r="K22" s="132">
        <f>IF(M22="N/A","-",'요약 통계'!F7)</f>
        <v>3</v>
      </c>
      <c r="L22" s="133" t="s">
        <v>221</v>
      </c>
      <c r="M22" s="125" t="s">
        <v>133</v>
      </c>
      <c r="N22" s="134">
        <f t="shared" ref="N22:N83" si="1">IF(M22="N",0,K22)</f>
        <v>3</v>
      </c>
      <c r="O22" s="127"/>
      <c r="P22" s="88" t="str">
        <f>IF(M22="N",'잠재위험 및 대응책 DB'!A3,"-")</f>
        <v>-</v>
      </c>
      <c r="Q22" s="88" t="str">
        <f>IF(W22="통제 적용",'잠재위험 및 대응책 DB'!B3,"-")</f>
        <v>-</v>
      </c>
      <c r="R22" s="93"/>
      <c r="S22" s="135" t="str">
        <f t="shared" ref="S22:S83" si="2">J22</f>
        <v>상</v>
      </c>
      <c r="T22" s="135">
        <f t="shared" ref="T22:T83" si="3">IF(S22="상",3,IF(S22="중",2,IF(S22="하",1,0)))</f>
        <v>3</v>
      </c>
      <c r="U22" s="135" t="str">
        <f t="shared" ref="U22:U83" si="4">IFERROR(IF(OR($M22="y",$M22="n/a"),"-",$G$10+(($K22-$N22)*2)),"-")</f>
        <v>-</v>
      </c>
      <c r="V22" s="135" t="str">
        <f t="shared" ref="V22:V83" si="5">IF(U22="-","-",IF(U22&gt;=7,"상",IF(U22&gt;=4,"중",IF(U22&gt;=2,"하","하"))))</f>
        <v>-</v>
      </c>
      <c r="W22" s="135" t="str">
        <f>IF(U22="-","-",IF(U22&gt;=$I$10,"통제 적용","위험 수용"))</f>
        <v>-</v>
      </c>
      <c r="X22" s="135" t="str">
        <f>IF(W22="통제 적용",D22,"-")</f>
        <v>-</v>
      </c>
      <c r="Y22" s="179"/>
      <c r="Z22" s="135" t="s">
        <v>324</v>
      </c>
      <c r="AA22" s="135" t="s">
        <v>324</v>
      </c>
      <c r="AB22" s="135" t="s">
        <v>324</v>
      </c>
      <c r="AC22" s="135">
        <f>SUM(Z22:AB22)</f>
        <v>0</v>
      </c>
      <c r="AD22" s="135" t="s">
        <v>324</v>
      </c>
      <c r="AE22" s="135"/>
      <c r="AF22" s="135" t="s">
        <v>324</v>
      </c>
      <c r="AG22" s="252"/>
    </row>
    <row r="23" spans="1:33" ht="60" customHeight="1">
      <c r="A23" s="8"/>
      <c r="B23" s="329"/>
      <c r="C23" s="329"/>
      <c r="D23" s="197" t="s">
        <v>43</v>
      </c>
      <c r="E23" s="370" t="str">
        <f>'요약 통계'!D8</f>
        <v>계정 잠금 임계값 설정</v>
      </c>
      <c r="F23" s="370"/>
      <c r="G23" s="370"/>
      <c r="H23" s="370"/>
      <c r="I23" s="370"/>
      <c r="J23" s="168" t="str">
        <f>'요약 통계'!E8</f>
        <v>상</v>
      </c>
      <c r="K23" s="132">
        <f>IF(M23="N/A","-",'요약 통계'!F8)</f>
        <v>3</v>
      </c>
      <c r="L23" s="133" t="s">
        <v>222</v>
      </c>
      <c r="M23" s="125" t="s">
        <v>133</v>
      </c>
      <c r="N23" s="134">
        <f t="shared" si="1"/>
        <v>3</v>
      </c>
      <c r="O23" s="127"/>
      <c r="P23" s="88" t="str">
        <f>IF(M23="N",'잠재위험 및 대응책 DB'!A4,"-")</f>
        <v>-</v>
      </c>
      <c r="Q23" s="88" t="str">
        <f>IF(W23="통제 적용",'잠재위험 및 대응책 DB'!B4,"-")</f>
        <v>-</v>
      </c>
      <c r="R23" s="93"/>
      <c r="S23" s="135" t="str">
        <f t="shared" si="2"/>
        <v>상</v>
      </c>
      <c r="T23" s="135">
        <f t="shared" si="3"/>
        <v>3</v>
      </c>
      <c r="U23" s="135" t="str">
        <f t="shared" si="4"/>
        <v>-</v>
      </c>
      <c r="V23" s="135" t="str">
        <f t="shared" si="5"/>
        <v>-</v>
      </c>
      <c r="W23" s="135" t="str">
        <f t="shared" ref="W23:W83" si="6">IF(U23="-","-",IF(U23&gt;=$I$10,"통제 적용","위험 수용"))</f>
        <v>-</v>
      </c>
      <c r="X23" s="135" t="str">
        <f t="shared" ref="X23:X83" si="7">IF(W23="통제 적용",D23,"-")</f>
        <v>-</v>
      </c>
      <c r="Y23" s="179"/>
      <c r="Z23" s="135" t="s">
        <v>324</v>
      </c>
      <c r="AA23" s="135" t="s">
        <v>324</v>
      </c>
      <c r="AB23" s="135" t="s">
        <v>324</v>
      </c>
      <c r="AC23" s="135">
        <f t="shared" ref="AC23:AC83" si="8">SUM(Z23:AB23)</f>
        <v>0</v>
      </c>
      <c r="AD23" s="135" t="s">
        <v>324</v>
      </c>
      <c r="AE23" s="135"/>
      <c r="AF23" s="135" t="s">
        <v>324</v>
      </c>
      <c r="AG23" s="252"/>
    </row>
    <row r="24" spans="1:33" ht="60" customHeight="1">
      <c r="A24" s="8"/>
      <c r="B24" s="329"/>
      <c r="C24" s="329"/>
      <c r="D24" s="198" t="s">
        <v>44</v>
      </c>
      <c r="E24" s="370" t="str">
        <f>'요약 통계'!D9</f>
        <v>비밀번호 파일 보호</v>
      </c>
      <c r="F24" s="370"/>
      <c r="G24" s="370"/>
      <c r="H24" s="370"/>
      <c r="I24" s="370"/>
      <c r="J24" s="168" t="str">
        <f>'요약 통계'!E9</f>
        <v>상</v>
      </c>
      <c r="K24" s="132">
        <f>IF(M24="N/A","-",'요약 통계'!F9)</f>
        <v>3</v>
      </c>
      <c r="L24" s="133" t="s">
        <v>221</v>
      </c>
      <c r="M24" s="125" t="s">
        <v>133</v>
      </c>
      <c r="N24" s="134">
        <f t="shared" si="1"/>
        <v>3</v>
      </c>
      <c r="O24" s="127"/>
      <c r="P24" s="88" t="str">
        <f>IF(M24="N",'잠재위험 및 대응책 DB'!A5,"-")</f>
        <v>-</v>
      </c>
      <c r="Q24" s="88" t="str">
        <f>IF(W24="통제 적용",'잠재위험 및 대응책 DB'!B5,"-")</f>
        <v>-</v>
      </c>
      <c r="R24" s="93"/>
      <c r="S24" s="135" t="str">
        <f t="shared" si="2"/>
        <v>상</v>
      </c>
      <c r="T24" s="135">
        <f t="shared" si="3"/>
        <v>3</v>
      </c>
      <c r="U24" s="135" t="str">
        <f t="shared" si="4"/>
        <v>-</v>
      </c>
      <c r="V24" s="135" t="str">
        <f t="shared" si="5"/>
        <v>-</v>
      </c>
      <c r="W24" s="135" t="str">
        <f t="shared" si="6"/>
        <v>-</v>
      </c>
      <c r="X24" s="135" t="str">
        <f t="shared" si="7"/>
        <v>-</v>
      </c>
      <c r="Y24" s="179"/>
      <c r="Z24" s="135" t="s">
        <v>324</v>
      </c>
      <c r="AA24" s="135" t="s">
        <v>324</v>
      </c>
      <c r="AB24" s="135" t="s">
        <v>324</v>
      </c>
      <c r="AC24" s="135">
        <f t="shared" si="8"/>
        <v>0</v>
      </c>
      <c r="AD24" s="135" t="s">
        <v>324</v>
      </c>
      <c r="AE24" s="135"/>
      <c r="AF24" s="135" t="s">
        <v>324</v>
      </c>
      <c r="AG24" s="252"/>
    </row>
    <row r="25" spans="1:33" ht="60" customHeight="1">
      <c r="B25" s="329"/>
      <c r="C25" s="329"/>
      <c r="D25" s="198" t="s">
        <v>335</v>
      </c>
      <c r="E25" s="370" t="str">
        <f>'요약 통계'!D10</f>
        <v>root 이외의 UID가 '0' 금지</v>
      </c>
      <c r="F25" s="370"/>
      <c r="G25" s="370"/>
      <c r="H25" s="370"/>
      <c r="I25" s="370"/>
      <c r="J25" s="168" t="str">
        <f>'요약 통계'!E10</f>
        <v>상</v>
      </c>
      <c r="K25" s="132">
        <f>IF(M25="N/A","-",'요약 통계'!F10)</f>
        <v>3</v>
      </c>
      <c r="L25" s="133" t="s">
        <v>222</v>
      </c>
      <c r="M25" s="125" t="s">
        <v>133</v>
      </c>
      <c r="N25" s="134">
        <f t="shared" si="1"/>
        <v>3</v>
      </c>
      <c r="O25" s="127"/>
      <c r="P25" s="88" t="str">
        <f>IF(M25="N",'잠재위험 및 대응책 DB'!A6,"-")</f>
        <v>-</v>
      </c>
      <c r="Q25" s="88" t="str">
        <f>IF(W25="통제 적용",'잠재위험 및 대응책 DB'!B6,"-")</f>
        <v>-</v>
      </c>
      <c r="R25" s="93"/>
      <c r="S25" s="135" t="str">
        <f t="shared" si="2"/>
        <v>상</v>
      </c>
      <c r="T25" s="135">
        <f t="shared" si="3"/>
        <v>3</v>
      </c>
      <c r="U25" s="135" t="str">
        <f t="shared" si="4"/>
        <v>-</v>
      </c>
      <c r="V25" s="135" t="str">
        <f t="shared" si="5"/>
        <v>-</v>
      </c>
      <c r="W25" s="135" t="str">
        <f t="shared" si="6"/>
        <v>-</v>
      </c>
      <c r="X25" s="135" t="str">
        <f t="shared" si="7"/>
        <v>-</v>
      </c>
      <c r="Y25" s="179"/>
      <c r="Z25" s="135" t="s">
        <v>324</v>
      </c>
      <c r="AA25" s="135" t="s">
        <v>324</v>
      </c>
      <c r="AB25" s="135" t="s">
        <v>324</v>
      </c>
      <c r="AC25" s="135">
        <f t="shared" si="8"/>
        <v>0</v>
      </c>
      <c r="AD25" s="135" t="s">
        <v>324</v>
      </c>
      <c r="AE25" s="135"/>
      <c r="AF25" s="135" t="s">
        <v>324</v>
      </c>
      <c r="AG25" s="252"/>
    </row>
    <row r="26" spans="1:33" ht="60" customHeight="1">
      <c r="B26" s="329"/>
      <c r="C26" s="329"/>
      <c r="D26" s="198" t="s">
        <v>45</v>
      </c>
      <c r="E26" s="370" t="str">
        <f>'요약 통계'!D11</f>
        <v>사용자 계정 su 기능 제한</v>
      </c>
      <c r="F26" s="370"/>
      <c r="G26" s="370"/>
      <c r="H26" s="370"/>
      <c r="I26" s="370"/>
      <c r="J26" s="168" t="str">
        <f>'요약 통계'!E11</f>
        <v>상</v>
      </c>
      <c r="K26" s="132">
        <f>IF(M26="N/A","-",'요약 통계'!F11)</f>
        <v>3</v>
      </c>
      <c r="L26" s="133" t="s">
        <v>223</v>
      </c>
      <c r="M26" s="125" t="s">
        <v>133</v>
      </c>
      <c r="N26" s="134">
        <f t="shared" si="1"/>
        <v>3</v>
      </c>
      <c r="O26" s="127"/>
      <c r="P26" s="88" t="str">
        <f>IF(M26="N",'잠재위험 및 대응책 DB'!A7,"-")</f>
        <v>-</v>
      </c>
      <c r="Q26" s="88" t="str">
        <f>IF(W26="통제 적용",'잠재위험 및 대응책 DB'!B7,"-")</f>
        <v>-</v>
      </c>
      <c r="R26" s="93"/>
      <c r="S26" s="135" t="str">
        <f t="shared" si="2"/>
        <v>상</v>
      </c>
      <c r="T26" s="135">
        <f t="shared" si="3"/>
        <v>3</v>
      </c>
      <c r="U26" s="135" t="str">
        <f>IFERROR(IF(OR($M26="y",$M26="n/a"),"-",$G$10+(($K26-$N26)*2)),"-")</f>
        <v>-</v>
      </c>
      <c r="V26" s="135" t="str">
        <f t="shared" si="5"/>
        <v>-</v>
      </c>
      <c r="W26" s="135" t="str">
        <f t="shared" si="6"/>
        <v>-</v>
      </c>
      <c r="X26" s="135" t="str">
        <f t="shared" si="7"/>
        <v>-</v>
      </c>
      <c r="Y26" s="179"/>
      <c r="Z26" s="135" t="s">
        <v>324</v>
      </c>
      <c r="AA26" s="135" t="s">
        <v>324</v>
      </c>
      <c r="AB26" s="135" t="s">
        <v>324</v>
      </c>
      <c r="AC26" s="135">
        <f t="shared" si="8"/>
        <v>0</v>
      </c>
      <c r="AD26" s="135" t="s">
        <v>324</v>
      </c>
      <c r="AE26" s="135"/>
      <c r="AF26" s="135" t="s">
        <v>324</v>
      </c>
      <c r="AG26" s="252"/>
    </row>
    <row r="27" spans="1:33" ht="60" customHeight="1">
      <c r="B27" s="329"/>
      <c r="C27" s="329"/>
      <c r="D27" s="198" t="s">
        <v>46</v>
      </c>
      <c r="E27" s="370" t="str">
        <f>'요약 통계'!D12</f>
        <v>불필요한 계정 제거</v>
      </c>
      <c r="F27" s="370"/>
      <c r="G27" s="370"/>
      <c r="H27" s="370"/>
      <c r="I27" s="370"/>
      <c r="J27" s="168" t="str">
        <f>'요약 통계'!E12</f>
        <v>하</v>
      </c>
      <c r="K27" s="132">
        <f>IF(M27="N/A","-",'요약 통계'!F12)</f>
        <v>1</v>
      </c>
      <c r="L27" s="133" t="s">
        <v>221</v>
      </c>
      <c r="M27" s="125" t="s">
        <v>133</v>
      </c>
      <c r="N27" s="134">
        <f t="shared" si="1"/>
        <v>1</v>
      </c>
      <c r="O27" s="127"/>
      <c r="P27" s="88" t="str">
        <f>IF(M27="N",'잠재위험 및 대응책 DB'!A8,"-")</f>
        <v>-</v>
      </c>
      <c r="Q27" s="88" t="str">
        <f>IF(W27="통제 적용",'잠재위험 및 대응책 DB'!B8,"-")</f>
        <v>-</v>
      </c>
      <c r="R27" s="93"/>
      <c r="S27" s="135" t="str">
        <f t="shared" si="2"/>
        <v>하</v>
      </c>
      <c r="T27" s="135">
        <f t="shared" si="3"/>
        <v>1</v>
      </c>
      <c r="U27" s="135" t="str">
        <f t="shared" si="4"/>
        <v>-</v>
      </c>
      <c r="V27" s="135" t="str">
        <f t="shared" si="5"/>
        <v>-</v>
      </c>
      <c r="W27" s="135" t="str">
        <f t="shared" si="6"/>
        <v>-</v>
      </c>
      <c r="X27" s="135" t="str">
        <f t="shared" si="7"/>
        <v>-</v>
      </c>
      <c r="Y27" s="179"/>
      <c r="Z27" s="135" t="s">
        <v>324</v>
      </c>
      <c r="AA27" s="135" t="s">
        <v>324</v>
      </c>
      <c r="AB27" s="135" t="s">
        <v>324</v>
      </c>
      <c r="AC27" s="135">
        <f t="shared" si="8"/>
        <v>0</v>
      </c>
      <c r="AD27" s="135" t="s">
        <v>324</v>
      </c>
      <c r="AE27" s="135"/>
      <c r="AF27" s="135" t="s">
        <v>324</v>
      </c>
      <c r="AG27" s="252"/>
    </row>
    <row r="28" spans="1:33" ht="60" customHeight="1">
      <c r="B28" s="329"/>
      <c r="C28" s="329"/>
      <c r="D28" s="198" t="s">
        <v>47</v>
      </c>
      <c r="E28" s="370" t="str">
        <f>'요약 통계'!D13</f>
        <v>관리자 그룹에 최소한의 계정 포함</v>
      </c>
      <c r="F28" s="370"/>
      <c r="G28" s="370"/>
      <c r="H28" s="370"/>
      <c r="I28" s="370"/>
      <c r="J28" s="168" t="str">
        <f>'요약 통계'!E13</f>
        <v>중</v>
      </c>
      <c r="K28" s="132">
        <f>IF(M28="N/A","-",'요약 통계'!F13)</f>
        <v>2</v>
      </c>
      <c r="L28" s="133" t="s">
        <v>221</v>
      </c>
      <c r="M28" s="125" t="s">
        <v>133</v>
      </c>
      <c r="N28" s="134">
        <f t="shared" si="1"/>
        <v>2</v>
      </c>
      <c r="O28" s="127"/>
      <c r="P28" s="88" t="str">
        <f>IF(M28="N",'잠재위험 및 대응책 DB'!A9,"-")</f>
        <v>-</v>
      </c>
      <c r="Q28" s="88" t="str">
        <f>IF(W28="통제 적용",'잠재위험 및 대응책 DB'!B9,"-")</f>
        <v>-</v>
      </c>
      <c r="R28" s="93"/>
      <c r="S28" s="135" t="str">
        <f t="shared" si="2"/>
        <v>중</v>
      </c>
      <c r="T28" s="135">
        <f t="shared" si="3"/>
        <v>2</v>
      </c>
      <c r="U28" s="135" t="str">
        <f t="shared" si="4"/>
        <v>-</v>
      </c>
      <c r="V28" s="135" t="str">
        <f t="shared" si="5"/>
        <v>-</v>
      </c>
      <c r="W28" s="135" t="str">
        <f t="shared" si="6"/>
        <v>-</v>
      </c>
      <c r="X28" s="135" t="str">
        <f t="shared" si="7"/>
        <v>-</v>
      </c>
      <c r="Y28" s="179"/>
      <c r="Z28" s="135" t="s">
        <v>324</v>
      </c>
      <c r="AA28" s="135" t="s">
        <v>324</v>
      </c>
      <c r="AB28" s="135" t="s">
        <v>324</v>
      </c>
      <c r="AC28" s="135">
        <f t="shared" si="8"/>
        <v>0</v>
      </c>
      <c r="AD28" s="135" t="s">
        <v>324</v>
      </c>
      <c r="AE28" s="135"/>
      <c r="AF28" s="135" t="s">
        <v>324</v>
      </c>
      <c r="AG28" s="252"/>
    </row>
    <row r="29" spans="1:33" ht="60" customHeight="1">
      <c r="B29" s="329"/>
      <c r="C29" s="329"/>
      <c r="D29" s="198" t="s">
        <v>48</v>
      </c>
      <c r="E29" s="370" t="str">
        <f>'요약 통계'!D14</f>
        <v>계정이 존재하지 않는 GID 금지</v>
      </c>
      <c r="F29" s="370"/>
      <c r="G29" s="370"/>
      <c r="H29" s="370"/>
      <c r="I29" s="370"/>
      <c r="J29" s="168" t="str">
        <f>'요약 통계'!E14</f>
        <v>하</v>
      </c>
      <c r="K29" s="132">
        <f>IF(M29="N/A","-",'요약 통계'!F14)</f>
        <v>1</v>
      </c>
      <c r="L29" s="133" t="s">
        <v>221</v>
      </c>
      <c r="M29" s="125" t="s">
        <v>133</v>
      </c>
      <c r="N29" s="134">
        <f t="shared" si="1"/>
        <v>1</v>
      </c>
      <c r="O29" s="127"/>
      <c r="P29" s="88" t="str">
        <f>IF(M29="N",'잠재위험 및 대응책 DB'!A10,"-")</f>
        <v>-</v>
      </c>
      <c r="Q29" s="88" t="str">
        <f>IF(W29="통제 적용",'잠재위험 및 대응책 DB'!B10,"-")</f>
        <v>-</v>
      </c>
      <c r="R29" s="93"/>
      <c r="S29" s="135" t="str">
        <f t="shared" si="2"/>
        <v>하</v>
      </c>
      <c r="T29" s="135">
        <f t="shared" si="3"/>
        <v>1</v>
      </c>
      <c r="U29" s="135" t="str">
        <f t="shared" si="4"/>
        <v>-</v>
      </c>
      <c r="V29" s="135" t="str">
        <f t="shared" si="5"/>
        <v>-</v>
      </c>
      <c r="W29" s="135" t="str">
        <f t="shared" si="6"/>
        <v>-</v>
      </c>
      <c r="X29" s="135" t="str">
        <f t="shared" si="7"/>
        <v>-</v>
      </c>
      <c r="Y29" s="179"/>
      <c r="Z29" s="135" t="s">
        <v>324</v>
      </c>
      <c r="AA29" s="135" t="s">
        <v>324</v>
      </c>
      <c r="AB29" s="135" t="s">
        <v>324</v>
      </c>
      <c r="AC29" s="135">
        <f t="shared" si="8"/>
        <v>0</v>
      </c>
      <c r="AD29" s="135" t="s">
        <v>324</v>
      </c>
      <c r="AE29" s="135"/>
      <c r="AF29" s="135" t="s">
        <v>324</v>
      </c>
      <c r="AG29" s="252"/>
    </row>
    <row r="30" spans="1:33" ht="60" customHeight="1">
      <c r="B30" s="329"/>
      <c r="C30" s="329"/>
      <c r="D30" s="198" t="s">
        <v>49</v>
      </c>
      <c r="E30" s="370" t="str">
        <f>'요약 통계'!D15</f>
        <v>동일한 UID 금지</v>
      </c>
      <c r="F30" s="370"/>
      <c r="G30" s="370"/>
      <c r="H30" s="370"/>
      <c r="I30" s="370"/>
      <c r="J30" s="168" t="str">
        <f>'요약 통계'!E15</f>
        <v>중</v>
      </c>
      <c r="K30" s="132">
        <f>IF(M30="N/A","-",'요약 통계'!F15)</f>
        <v>2</v>
      </c>
      <c r="L30" s="133" t="s">
        <v>223</v>
      </c>
      <c r="M30" s="125" t="s">
        <v>133</v>
      </c>
      <c r="N30" s="134">
        <f t="shared" si="1"/>
        <v>2</v>
      </c>
      <c r="O30" s="127"/>
      <c r="P30" s="88" t="str">
        <f>IF(M30="N",'잠재위험 및 대응책 DB'!A11,"-")</f>
        <v>-</v>
      </c>
      <c r="Q30" s="88" t="str">
        <f>IF(W30="통제 적용",'잠재위험 및 대응책 DB'!B11,"-")</f>
        <v>-</v>
      </c>
      <c r="R30" s="93"/>
      <c r="S30" s="135" t="str">
        <f t="shared" si="2"/>
        <v>중</v>
      </c>
      <c r="T30" s="135">
        <f t="shared" si="3"/>
        <v>2</v>
      </c>
      <c r="U30" s="135" t="str">
        <f t="shared" si="4"/>
        <v>-</v>
      </c>
      <c r="V30" s="135" t="str">
        <f t="shared" si="5"/>
        <v>-</v>
      </c>
      <c r="W30" s="135" t="str">
        <f t="shared" si="6"/>
        <v>-</v>
      </c>
      <c r="X30" s="135" t="str">
        <f t="shared" si="7"/>
        <v>-</v>
      </c>
      <c r="Y30" s="179"/>
      <c r="Z30" s="135" t="s">
        <v>324</v>
      </c>
      <c r="AA30" s="135" t="s">
        <v>324</v>
      </c>
      <c r="AB30" s="135" t="s">
        <v>324</v>
      </c>
      <c r="AC30" s="135">
        <f t="shared" si="8"/>
        <v>0</v>
      </c>
      <c r="AD30" s="135" t="s">
        <v>324</v>
      </c>
      <c r="AE30" s="135"/>
      <c r="AF30" s="135" t="s">
        <v>324</v>
      </c>
      <c r="AG30" s="252"/>
    </row>
    <row r="31" spans="1:33" ht="60" customHeight="1">
      <c r="B31" s="329"/>
      <c r="C31" s="329"/>
      <c r="D31" s="198" t="s">
        <v>50</v>
      </c>
      <c r="E31" s="370" t="str">
        <f>'요약 통계'!D16</f>
        <v>사용자 shell 점검</v>
      </c>
      <c r="F31" s="370"/>
      <c r="G31" s="370"/>
      <c r="H31" s="370"/>
      <c r="I31" s="370"/>
      <c r="J31" s="168" t="str">
        <f>'요약 통계'!E16</f>
        <v>하</v>
      </c>
      <c r="K31" s="132">
        <f>IF(M31="N/A","-",'요약 통계'!F16)</f>
        <v>1</v>
      </c>
      <c r="L31" s="133" t="s">
        <v>223</v>
      </c>
      <c r="M31" s="125" t="s">
        <v>133</v>
      </c>
      <c r="N31" s="134">
        <f t="shared" si="1"/>
        <v>1</v>
      </c>
      <c r="O31" s="127"/>
      <c r="P31" s="88" t="str">
        <f>IF(M31="N",'잠재위험 및 대응책 DB'!A12,"-")</f>
        <v>-</v>
      </c>
      <c r="Q31" s="88" t="str">
        <f>IF(W31="통제 적용",'잠재위험 및 대응책 DB'!B12,"-")</f>
        <v>-</v>
      </c>
      <c r="R31" s="93"/>
      <c r="S31" s="135" t="str">
        <f t="shared" si="2"/>
        <v>하</v>
      </c>
      <c r="T31" s="135">
        <f t="shared" si="3"/>
        <v>1</v>
      </c>
      <c r="U31" s="135" t="str">
        <f t="shared" si="4"/>
        <v>-</v>
      </c>
      <c r="V31" s="135" t="str">
        <f t="shared" si="5"/>
        <v>-</v>
      </c>
      <c r="W31" s="135" t="str">
        <f t="shared" si="6"/>
        <v>-</v>
      </c>
      <c r="X31" s="135" t="str">
        <f t="shared" si="7"/>
        <v>-</v>
      </c>
      <c r="Y31" s="179"/>
      <c r="Z31" s="135" t="s">
        <v>324</v>
      </c>
      <c r="AA31" s="135" t="s">
        <v>324</v>
      </c>
      <c r="AB31" s="135" t="s">
        <v>324</v>
      </c>
      <c r="AC31" s="135">
        <f t="shared" si="8"/>
        <v>0</v>
      </c>
      <c r="AD31" s="135" t="s">
        <v>324</v>
      </c>
      <c r="AE31" s="135"/>
      <c r="AF31" s="135" t="s">
        <v>324</v>
      </c>
      <c r="AG31" s="252"/>
    </row>
    <row r="32" spans="1:33" ht="60" customHeight="1">
      <c r="B32" s="329"/>
      <c r="C32" s="329"/>
      <c r="D32" s="198" t="s">
        <v>52</v>
      </c>
      <c r="E32" s="370" t="str">
        <f>'요약 통계'!D17</f>
        <v>세션 종료 시간 설정</v>
      </c>
      <c r="F32" s="370"/>
      <c r="G32" s="370"/>
      <c r="H32" s="370"/>
      <c r="I32" s="370"/>
      <c r="J32" s="168" t="str">
        <f>'요약 통계'!E17</f>
        <v>하</v>
      </c>
      <c r="K32" s="132">
        <f>IF(M32="N/A","-",'요약 통계'!F17)</f>
        <v>1</v>
      </c>
      <c r="L32" s="133" t="s">
        <v>223</v>
      </c>
      <c r="M32" s="125" t="s">
        <v>133</v>
      </c>
      <c r="N32" s="134">
        <f t="shared" si="1"/>
        <v>1</v>
      </c>
      <c r="O32" s="127"/>
      <c r="P32" s="88" t="str">
        <f>IF(M32="N",'잠재위험 및 대응책 DB'!A13,"-")</f>
        <v>-</v>
      </c>
      <c r="Q32" s="88" t="str">
        <f>IF(W32="통제 적용",'잠재위험 및 대응책 DB'!B13,"-")</f>
        <v>-</v>
      </c>
      <c r="R32" s="93"/>
      <c r="S32" s="135" t="str">
        <f t="shared" si="2"/>
        <v>하</v>
      </c>
      <c r="T32" s="135">
        <f t="shared" si="3"/>
        <v>1</v>
      </c>
      <c r="U32" s="135" t="str">
        <f t="shared" si="4"/>
        <v>-</v>
      </c>
      <c r="V32" s="135" t="str">
        <f t="shared" si="5"/>
        <v>-</v>
      </c>
      <c r="W32" s="135" t="str">
        <f t="shared" si="6"/>
        <v>-</v>
      </c>
      <c r="X32" s="135" t="str">
        <f t="shared" si="7"/>
        <v>-</v>
      </c>
      <c r="Y32" s="179"/>
      <c r="Z32" s="135" t="s">
        <v>324</v>
      </c>
      <c r="AA32" s="135" t="s">
        <v>324</v>
      </c>
      <c r="AB32" s="135" t="s">
        <v>324</v>
      </c>
      <c r="AC32" s="135">
        <f t="shared" si="8"/>
        <v>0</v>
      </c>
      <c r="AD32" s="135" t="s">
        <v>324</v>
      </c>
      <c r="AE32" s="135"/>
      <c r="AF32" s="135" t="s">
        <v>324</v>
      </c>
      <c r="AG32" s="252"/>
    </row>
    <row r="33" spans="2:33" ht="60" customHeight="1" thickBot="1">
      <c r="B33" s="374"/>
      <c r="C33" s="374"/>
      <c r="D33" s="200" t="s">
        <v>54</v>
      </c>
      <c r="E33" s="375" t="str">
        <f>'요약 통계'!D18</f>
        <v>안전한 비밀번호 암호화 알고리즘 사용</v>
      </c>
      <c r="F33" s="375"/>
      <c r="G33" s="375"/>
      <c r="H33" s="375"/>
      <c r="I33" s="375"/>
      <c r="J33" s="150" t="str">
        <f>'요약 통계'!E18</f>
        <v>중</v>
      </c>
      <c r="K33" s="150">
        <f>IF(M33="N/A","-",'요약 통계'!F18)</f>
        <v>2</v>
      </c>
      <c r="L33" s="151" t="s">
        <v>222</v>
      </c>
      <c r="M33" s="152" t="s">
        <v>133</v>
      </c>
      <c r="N33" s="153">
        <f t="shared" si="1"/>
        <v>2</v>
      </c>
      <c r="O33" s="154"/>
      <c r="P33" s="155" t="str">
        <f>IF(M33="N",'잠재위험 및 대응책 DB'!A14,"-")</f>
        <v>-</v>
      </c>
      <c r="Q33" s="155" t="str">
        <f>IF(W33="통제 적용",'잠재위험 및 대응책 DB'!B14,"-")</f>
        <v>-</v>
      </c>
      <c r="R33" s="93"/>
      <c r="S33" s="135" t="str">
        <f t="shared" si="2"/>
        <v>중</v>
      </c>
      <c r="T33" s="135">
        <f t="shared" si="3"/>
        <v>2</v>
      </c>
      <c r="U33" s="135" t="str">
        <f t="shared" si="4"/>
        <v>-</v>
      </c>
      <c r="V33" s="135" t="str">
        <f t="shared" si="5"/>
        <v>-</v>
      </c>
      <c r="W33" s="135" t="str">
        <f t="shared" si="6"/>
        <v>-</v>
      </c>
      <c r="X33" s="135" t="str">
        <f t="shared" si="7"/>
        <v>-</v>
      </c>
      <c r="Y33" s="179"/>
      <c r="Z33" s="135" t="s">
        <v>324</v>
      </c>
      <c r="AA33" s="135" t="s">
        <v>324</v>
      </c>
      <c r="AB33" s="135" t="s">
        <v>324</v>
      </c>
      <c r="AC33" s="135">
        <f t="shared" si="8"/>
        <v>0</v>
      </c>
      <c r="AD33" s="135" t="s">
        <v>324</v>
      </c>
      <c r="AE33" s="135"/>
      <c r="AF33" s="135" t="s">
        <v>324</v>
      </c>
      <c r="AG33" s="252"/>
    </row>
    <row r="34" spans="2:33" ht="60" customHeight="1">
      <c r="B34" s="376" t="str">
        <f>'요약 통계'!B19</f>
        <v>파일 및 디렉터리 관리</v>
      </c>
      <c r="C34" s="377"/>
      <c r="D34" s="141" t="s">
        <v>56</v>
      </c>
      <c r="E34" s="387" t="str">
        <f>'요약 통계'!D17</f>
        <v>세션 종료 시간 설정</v>
      </c>
      <c r="F34" s="387"/>
      <c r="G34" s="387"/>
      <c r="H34" s="387"/>
      <c r="I34" s="387"/>
      <c r="J34" s="199" t="str">
        <f>'요약 통계'!E19</f>
        <v>상</v>
      </c>
      <c r="K34" s="142">
        <f>IF(M34="N/A","-",'요약 통계'!F19)</f>
        <v>3</v>
      </c>
      <c r="L34" s="143" t="s">
        <v>223</v>
      </c>
      <c r="M34" s="187" t="s">
        <v>133</v>
      </c>
      <c r="N34" s="145">
        <f t="shared" si="1"/>
        <v>3</v>
      </c>
      <c r="O34" s="146"/>
      <c r="P34" s="97" t="str">
        <f>IF(M34="N",'잠재위험 및 대응책 DB'!A15,"-")</f>
        <v>-</v>
      </c>
      <c r="Q34" s="97" t="str">
        <f>IF(W34="통제 적용",'잠재위험 및 대응책 DB'!B17,"-")</f>
        <v>-</v>
      </c>
      <c r="R34" s="88"/>
      <c r="S34" s="140" t="str">
        <f t="shared" si="2"/>
        <v>상</v>
      </c>
      <c r="T34" s="92">
        <f t="shared" si="3"/>
        <v>3</v>
      </c>
      <c r="U34" s="92" t="str">
        <f t="shared" si="4"/>
        <v>-</v>
      </c>
      <c r="V34" s="92" t="str">
        <f t="shared" si="5"/>
        <v>-</v>
      </c>
      <c r="W34" s="92" t="str">
        <f t="shared" si="6"/>
        <v>-</v>
      </c>
      <c r="X34" s="92" t="str">
        <f t="shared" si="7"/>
        <v>-</v>
      </c>
      <c r="Y34" s="179"/>
      <c r="Z34" s="140" t="s">
        <v>324</v>
      </c>
      <c r="AA34" s="140" t="s">
        <v>324</v>
      </c>
      <c r="AB34" s="140" t="s">
        <v>324</v>
      </c>
      <c r="AC34" s="140">
        <f t="shared" si="8"/>
        <v>0</v>
      </c>
      <c r="AD34" s="140" t="s">
        <v>324</v>
      </c>
      <c r="AE34" s="140"/>
      <c r="AF34" s="140" t="s">
        <v>324</v>
      </c>
      <c r="AG34" s="253"/>
    </row>
    <row r="35" spans="2:33" ht="60" customHeight="1">
      <c r="B35" s="376"/>
      <c r="C35" s="377"/>
      <c r="D35" s="141" t="s">
        <v>57</v>
      </c>
      <c r="E35" s="380" t="str">
        <f>'요약 통계'!D18</f>
        <v>안전한 비밀번호 암호화 알고리즘 사용</v>
      </c>
      <c r="F35" s="380"/>
      <c r="G35" s="380"/>
      <c r="H35" s="380"/>
      <c r="I35" s="380"/>
      <c r="J35" s="168" t="str">
        <f>'요약 통계'!E20</f>
        <v>상</v>
      </c>
      <c r="K35" s="137">
        <f>IF(M35="N/A","-",'요약 통계'!F20)</f>
        <v>3</v>
      </c>
      <c r="L35" s="138" t="s">
        <v>222</v>
      </c>
      <c r="M35" s="126" t="s">
        <v>133</v>
      </c>
      <c r="N35" s="139">
        <f t="shared" si="1"/>
        <v>3</v>
      </c>
      <c r="O35" s="128"/>
      <c r="P35" s="97" t="str">
        <f>IF(M35="N",'잠재위험 및 대응책 DB'!A16,"-")</f>
        <v>-</v>
      </c>
      <c r="Q35" s="97" t="str">
        <f>IF(W35="통제 적용",'잠재위험 및 대응책 DB'!B18,"-")</f>
        <v>-</v>
      </c>
      <c r="R35" s="88"/>
      <c r="S35" s="140" t="str">
        <f t="shared" si="2"/>
        <v>상</v>
      </c>
      <c r="T35" s="92">
        <f t="shared" si="3"/>
        <v>3</v>
      </c>
      <c r="U35" s="92" t="str">
        <f t="shared" si="4"/>
        <v>-</v>
      </c>
      <c r="V35" s="92" t="str">
        <f t="shared" si="5"/>
        <v>-</v>
      </c>
      <c r="W35" s="92" t="str">
        <f t="shared" si="6"/>
        <v>-</v>
      </c>
      <c r="X35" s="92" t="str">
        <f t="shared" si="7"/>
        <v>-</v>
      </c>
      <c r="Y35" s="179"/>
      <c r="Z35" s="140" t="s">
        <v>324</v>
      </c>
      <c r="AA35" s="140" t="s">
        <v>324</v>
      </c>
      <c r="AB35" s="140" t="s">
        <v>324</v>
      </c>
      <c r="AC35" s="140">
        <f t="shared" si="8"/>
        <v>0</v>
      </c>
      <c r="AD35" s="140" t="s">
        <v>324</v>
      </c>
      <c r="AE35" s="140"/>
      <c r="AF35" s="140" t="s">
        <v>324</v>
      </c>
      <c r="AG35" s="253"/>
    </row>
    <row r="36" spans="2:33" ht="60" customHeight="1">
      <c r="B36" s="376"/>
      <c r="C36" s="377"/>
      <c r="D36" s="141" t="s">
        <v>58</v>
      </c>
      <c r="E36" s="380" t="str">
        <f>'요약 통계'!D19</f>
        <v>root 홈, 패스 디렉터리 권한 및 패스 설정</v>
      </c>
      <c r="F36" s="380"/>
      <c r="G36" s="380"/>
      <c r="H36" s="380"/>
      <c r="I36" s="380"/>
      <c r="J36" s="168" t="str">
        <f>'요약 통계'!E21</f>
        <v>상</v>
      </c>
      <c r="K36" s="137">
        <f>IF(M36="N/A","-",'요약 통계'!F21)</f>
        <v>3</v>
      </c>
      <c r="L36" s="138" t="s">
        <v>222</v>
      </c>
      <c r="M36" s="126" t="s">
        <v>133</v>
      </c>
      <c r="N36" s="139">
        <f t="shared" si="1"/>
        <v>3</v>
      </c>
      <c r="O36" s="128"/>
      <c r="P36" s="97" t="str">
        <f>IF(M36="N",'잠재위험 및 대응책 DB'!A17,"-")</f>
        <v>-</v>
      </c>
      <c r="Q36" s="97" t="str">
        <f>IF(W36="통제 적용",'잠재위험 및 대응책 DB'!B19,"-")</f>
        <v>-</v>
      </c>
      <c r="R36" s="88"/>
      <c r="S36" s="140" t="str">
        <f t="shared" si="2"/>
        <v>상</v>
      </c>
      <c r="T36" s="92">
        <f t="shared" si="3"/>
        <v>3</v>
      </c>
      <c r="U36" s="92" t="str">
        <f t="shared" si="4"/>
        <v>-</v>
      </c>
      <c r="V36" s="92" t="str">
        <f t="shared" si="5"/>
        <v>-</v>
      </c>
      <c r="W36" s="92" t="str">
        <f t="shared" si="6"/>
        <v>-</v>
      </c>
      <c r="X36" s="92" t="str">
        <f t="shared" si="7"/>
        <v>-</v>
      </c>
      <c r="Y36" s="179"/>
      <c r="Z36" s="140" t="s">
        <v>324</v>
      </c>
      <c r="AA36" s="140" t="s">
        <v>324</v>
      </c>
      <c r="AB36" s="140" t="s">
        <v>324</v>
      </c>
      <c r="AC36" s="140">
        <f t="shared" si="8"/>
        <v>0</v>
      </c>
      <c r="AD36" s="140" t="s">
        <v>324</v>
      </c>
      <c r="AE36" s="140"/>
      <c r="AF36" s="140" t="s">
        <v>324</v>
      </c>
      <c r="AG36" s="253"/>
    </row>
    <row r="37" spans="2:33" ht="60" customHeight="1">
      <c r="B37" s="376"/>
      <c r="C37" s="377"/>
      <c r="D37" s="141" t="s">
        <v>60</v>
      </c>
      <c r="E37" s="380" t="str">
        <f>'요약 통계'!D20</f>
        <v>파일 및 디렉터리 소유자 설정</v>
      </c>
      <c r="F37" s="380"/>
      <c r="G37" s="380"/>
      <c r="H37" s="380"/>
      <c r="I37" s="380"/>
      <c r="J37" s="168" t="str">
        <f>'요약 통계'!E22</f>
        <v>상</v>
      </c>
      <c r="K37" s="137">
        <f>IF(M37="N/A","-",'요약 통계'!F22)</f>
        <v>3</v>
      </c>
      <c r="L37" s="138" t="s">
        <v>221</v>
      </c>
      <c r="M37" s="126" t="s">
        <v>133</v>
      </c>
      <c r="N37" s="139">
        <f t="shared" si="1"/>
        <v>3</v>
      </c>
      <c r="O37" s="128"/>
      <c r="P37" s="97" t="str">
        <f>IF(M37="N",'잠재위험 및 대응책 DB'!A18,"-")</f>
        <v>-</v>
      </c>
      <c r="Q37" s="97" t="str">
        <f>IF(W37="통제 적용",'잠재위험 및 대응책 DB'!B20,"-")</f>
        <v>-</v>
      </c>
      <c r="R37" s="88"/>
      <c r="S37" s="140" t="str">
        <f t="shared" si="2"/>
        <v>상</v>
      </c>
      <c r="T37" s="92">
        <f t="shared" si="3"/>
        <v>3</v>
      </c>
      <c r="U37" s="92" t="str">
        <f t="shared" si="4"/>
        <v>-</v>
      </c>
      <c r="V37" s="92" t="str">
        <f t="shared" si="5"/>
        <v>-</v>
      </c>
      <c r="W37" s="92" t="str">
        <f t="shared" si="6"/>
        <v>-</v>
      </c>
      <c r="X37" s="92" t="str">
        <f t="shared" si="7"/>
        <v>-</v>
      </c>
      <c r="Y37" s="179"/>
      <c r="Z37" s="140" t="s">
        <v>324</v>
      </c>
      <c r="AA37" s="140" t="s">
        <v>324</v>
      </c>
      <c r="AB37" s="140" t="s">
        <v>324</v>
      </c>
      <c r="AC37" s="140">
        <f t="shared" si="8"/>
        <v>0</v>
      </c>
      <c r="AD37" s="140" t="s">
        <v>324</v>
      </c>
      <c r="AE37" s="140"/>
      <c r="AF37" s="140" t="s">
        <v>324</v>
      </c>
      <c r="AG37" s="253"/>
    </row>
    <row r="38" spans="2:33" ht="60" customHeight="1">
      <c r="B38" s="330"/>
      <c r="C38" s="330"/>
      <c r="D38" s="141" t="s">
        <v>62</v>
      </c>
      <c r="E38" s="380" t="str">
        <f>'요약 통계'!D21</f>
        <v>/etc/passwd 파일 소유자 및 권한 설정</v>
      </c>
      <c r="F38" s="380"/>
      <c r="G38" s="380"/>
      <c r="H38" s="380"/>
      <c r="I38" s="380"/>
      <c r="J38" s="168" t="str">
        <f>'요약 통계'!E23</f>
        <v>상</v>
      </c>
      <c r="K38" s="137">
        <f>IF(M38="N/A","-",'요약 통계'!F23)</f>
        <v>3</v>
      </c>
      <c r="L38" s="138" t="s">
        <v>223</v>
      </c>
      <c r="M38" s="126" t="s">
        <v>133</v>
      </c>
      <c r="N38" s="139">
        <f t="shared" si="1"/>
        <v>3</v>
      </c>
      <c r="O38" s="128"/>
      <c r="P38" s="97" t="str">
        <f>IF(M38="N",'잠재위험 및 대응책 DB'!A19,"-")</f>
        <v>-</v>
      </c>
      <c r="Q38" s="97" t="str">
        <f>IF(W38="통제 적용",'잠재위험 및 대응책 DB'!B21,"-")</f>
        <v>-</v>
      </c>
      <c r="R38" s="88"/>
      <c r="S38" s="140" t="str">
        <f t="shared" si="2"/>
        <v>상</v>
      </c>
      <c r="T38" s="92">
        <f t="shared" si="3"/>
        <v>3</v>
      </c>
      <c r="U38" s="92" t="str">
        <f t="shared" si="4"/>
        <v>-</v>
      </c>
      <c r="V38" s="92" t="str">
        <f t="shared" si="5"/>
        <v>-</v>
      </c>
      <c r="W38" s="92" t="str">
        <f t="shared" si="6"/>
        <v>-</v>
      </c>
      <c r="X38" s="92" t="str">
        <f t="shared" si="7"/>
        <v>-</v>
      </c>
      <c r="Y38" s="179"/>
      <c r="Z38" s="140" t="s">
        <v>324</v>
      </c>
      <c r="AA38" s="140" t="s">
        <v>324</v>
      </c>
      <c r="AB38" s="140" t="s">
        <v>324</v>
      </c>
      <c r="AC38" s="140">
        <f t="shared" si="8"/>
        <v>0</v>
      </c>
      <c r="AD38" s="140" t="s">
        <v>324</v>
      </c>
      <c r="AE38" s="140"/>
      <c r="AF38" s="140" t="s">
        <v>324</v>
      </c>
      <c r="AG38" s="253"/>
    </row>
    <row r="39" spans="2:33" ht="60" customHeight="1">
      <c r="B39" s="376"/>
      <c r="C39" s="377"/>
      <c r="D39" s="141" t="s">
        <v>336</v>
      </c>
      <c r="E39" s="380" t="str">
        <f>'요약 통계'!D22</f>
        <v>시스템 시작 스크립트 권한 설정</v>
      </c>
      <c r="F39" s="380"/>
      <c r="G39" s="380"/>
      <c r="H39" s="380"/>
      <c r="I39" s="380"/>
      <c r="J39" s="168" t="str">
        <f>'요약 통계'!E24</f>
        <v>상</v>
      </c>
      <c r="K39" s="137">
        <f>IF(M39="N/A","-",'요약 통계'!F24)</f>
        <v>3</v>
      </c>
      <c r="L39" s="138" t="s">
        <v>223</v>
      </c>
      <c r="M39" s="126" t="s">
        <v>133</v>
      </c>
      <c r="N39" s="139">
        <f t="shared" si="1"/>
        <v>3</v>
      </c>
      <c r="O39" s="128"/>
      <c r="P39" s="97" t="str">
        <f>IF(M39="N",'잠재위험 및 대응책 DB'!A20,"-")</f>
        <v>-</v>
      </c>
      <c r="Q39" s="97" t="str">
        <f>IF(W39="통제 적용",'잠재위험 및 대응책 DB'!B22,"-")</f>
        <v>-</v>
      </c>
      <c r="R39" s="88"/>
      <c r="S39" s="140" t="str">
        <f t="shared" si="2"/>
        <v>상</v>
      </c>
      <c r="T39" s="92">
        <f t="shared" si="3"/>
        <v>3</v>
      </c>
      <c r="U39" s="92" t="str">
        <f t="shared" si="4"/>
        <v>-</v>
      </c>
      <c r="V39" s="92" t="str">
        <f t="shared" si="5"/>
        <v>-</v>
      </c>
      <c r="W39" s="92" t="str">
        <f t="shared" si="6"/>
        <v>-</v>
      </c>
      <c r="X39" s="92" t="str">
        <f t="shared" si="7"/>
        <v>-</v>
      </c>
      <c r="Y39" s="179"/>
      <c r="Z39" s="140" t="s">
        <v>324</v>
      </c>
      <c r="AA39" s="140" t="s">
        <v>324</v>
      </c>
      <c r="AB39" s="140" t="s">
        <v>324</v>
      </c>
      <c r="AC39" s="140">
        <f t="shared" si="8"/>
        <v>0</v>
      </c>
      <c r="AD39" s="140" t="s">
        <v>324</v>
      </c>
      <c r="AE39" s="140"/>
      <c r="AF39" s="140" t="s">
        <v>324</v>
      </c>
      <c r="AG39" s="253"/>
    </row>
    <row r="40" spans="2:33" ht="60" customHeight="1">
      <c r="B40" s="376"/>
      <c r="C40" s="377"/>
      <c r="D40" s="141" t="s">
        <v>337</v>
      </c>
      <c r="E40" s="380" t="str">
        <f>'요약 통계'!D23</f>
        <v>/etc/shadow 파일 소유자 및 권한 설정</v>
      </c>
      <c r="F40" s="380"/>
      <c r="G40" s="380"/>
      <c r="H40" s="380"/>
      <c r="I40" s="380"/>
      <c r="J40" s="168" t="str">
        <f>'요약 통계'!E25</f>
        <v>상</v>
      </c>
      <c r="K40" s="137">
        <f>IF(M40="N/A","-",'요약 통계'!F25)</f>
        <v>3</v>
      </c>
      <c r="L40" s="138" t="s">
        <v>223</v>
      </c>
      <c r="M40" s="126" t="s">
        <v>133</v>
      </c>
      <c r="N40" s="139">
        <f t="shared" si="1"/>
        <v>3</v>
      </c>
      <c r="O40" s="128"/>
      <c r="P40" s="97" t="str">
        <f>IF(M40="N",'잠재위험 및 대응책 DB'!A21,"-")</f>
        <v>-</v>
      </c>
      <c r="Q40" s="97" t="str">
        <f>IF(W40="통제 적용",'잠재위험 및 대응책 DB'!B23,"-")</f>
        <v>-</v>
      </c>
      <c r="R40" s="88"/>
      <c r="S40" s="140" t="str">
        <f t="shared" si="2"/>
        <v>상</v>
      </c>
      <c r="T40" s="92">
        <f t="shared" si="3"/>
        <v>3</v>
      </c>
      <c r="U40" s="92" t="str">
        <f t="shared" si="4"/>
        <v>-</v>
      </c>
      <c r="V40" s="92" t="str">
        <f t="shared" si="5"/>
        <v>-</v>
      </c>
      <c r="W40" s="92" t="str">
        <f t="shared" si="6"/>
        <v>-</v>
      </c>
      <c r="X40" s="92" t="str">
        <f t="shared" si="7"/>
        <v>-</v>
      </c>
      <c r="Y40" s="179"/>
      <c r="Z40" s="140" t="s">
        <v>324</v>
      </c>
      <c r="AA40" s="140" t="s">
        <v>324</v>
      </c>
      <c r="AB40" s="140" t="s">
        <v>324</v>
      </c>
      <c r="AC40" s="140">
        <f t="shared" si="8"/>
        <v>0</v>
      </c>
      <c r="AD40" s="140" t="s">
        <v>324</v>
      </c>
      <c r="AE40" s="140"/>
      <c r="AF40" s="140" t="s">
        <v>324</v>
      </c>
      <c r="AG40" s="253"/>
    </row>
    <row r="41" spans="2:33" ht="60" customHeight="1">
      <c r="B41" s="376"/>
      <c r="C41" s="377"/>
      <c r="D41" s="141" t="s">
        <v>66</v>
      </c>
      <c r="E41" s="380" t="str">
        <f>'요약 통계'!D24</f>
        <v>/etc/hosts 파일 소유자 및 권한 설정</v>
      </c>
      <c r="F41" s="380"/>
      <c r="G41" s="380"/>
      <c r="H41" s="380"/>
      <c r="I41" s="380"/>
      <c r="J41" s="168" t="str">
        <f>'요약 통계'!E26</f>
        <v>상</v>
      </c>
      <c r="K41" s="137">
        <f>IF(M41="N/A","-",'요약 통계'!F26)</f>
        <v>3</v>
      </c>
      <c r="L41" s="138" t="s">
        <v>223</v>
      </c>
      <c r="M41" s="126" t="s">
        <v>133</v>
      </c>
      <c r="N41" s="139">
        <f t="shared" si="1"/>
        <v>3</v>
      </c>
      <c r="O41" s="128"/>
      <c r="P41" s="97" t="str">
        <f>IF(M41="N",'잠재위험 및 대응책 DB'!A22,"-")</f>
        <v>-</v>
      </c>
      <c r="Q41" s="97" t="str">
        <f>IF(W41="통제 적용",'잠재위험 및 대응책 DB'!B24,"-")</f>
        <v>-</v>
      </c>
      <c r="R41" s="88"/>
      <c r="S41" s="140" t="str">
        <f t="shared" si="2"/>
        <v>상</v>
      </c>
      <c r="T41" s="92">
        <f t="shared" si="3"/>
        <v>3</v>
      </c>
      <c r="U41" s="92" t="str">
        <f t="shared" si="4"/>
        <v>-</v>
      </c>
      <c r="V41" s="92" t="str">
        <f t="shared" si="5"/>
        <v>-</v>
      </c>
      <c r="W41" s="92" t="str">
        <f t="shared" si="6"/>
        <v>-</v>
      </c>
      <c r="X41" s="92" t="str">
        <f t="shared" si="7"/>
        <v>-</v>
      </c>
      <c r="Y41" s="179"/>
      <c r="Z41" s="140" t="s">
        <v>324</v>
      </c>
      <c r="AA41" s="140" t="s">
        <v>324</v>
      </c>
      <c r="AB41" s="140" t="s">
        <v>324</v>
      </c>
      <c r="AC41" s="140">
        <f t="shared" si="8"/>
        <v>0</v>
      </c>
      <c r="AD41" s="140" t="s">
        <v>324</v>
      </c>
      <c r="AE41" s="140"/>
      <c r="AF41" s="140" t="s">
        <v>324</v>
      </c>
      <c r="AG41" s="253"/>
    </row>
    <row r="42" spans="2:33" ht="60" customHeight="1">
      <c r="B42" s="330"/>
      <c r="C42" s="330"/>
      <c r="D42" s="141" t="s">
        <v>68</v>
      </c>
      <c r="E42" s="380" t="str">
        <f>'요약 통계'!D25</f>
        <v>/etc/(x)inetd.conf 파일 소유자 및 권한 설정</v>
      </c>
      <c r="F42" s="380"/>
      <c r="G42" s="380"/>
      <c r="H42" s="380"/>
      <c r="I42" s="380"/>
      <c r="J42" s="168" t="str">
        <f>'요약 통계'!E27</f>
        <v>상</v>
      </c>
      <c r="K42" s="137">
        <f>IF(M42="N/A","-",'요약 통계'!F27)</f>
        <v>3</v>
      </c>
      <c r="L42" s="138" t="s">
        <v>223</v>
      </c>
      <c r="M42" s="126" t="s">
        <v>133</v>
      </c>
      <c r="N42" s="139">
        <f t="shared" si="1"/>
        <v>3</v>
      </c>
      <c r="O42" s="128"/>
      <c r="P42" s="97" t="str">
        <f>IF(M42="N",'잠재위험 및 대응책 DB'!A23,"-")</f>
        <v>-</v>
      </c>
      <c r="Q42" s="97" t="str">
        <f>IF(W42="통제 적용",'잠재위험 및 대응책 DB'!B25,"-")</f>
        <v>-</v>
      </c>
      <c r="R42" s="88"/>
      <c r="S42" s="140" t="str">
        <f t="shared" si="2"/>
        <v>상</v>
      </c>
      <c r="T42" s="92">
        <f t="shared" si="3"/>
        <v>3</v>
      </c>
      <c r="U42" s="92" t="str">
        <f t="shared" si="4"/>
        <v>-</v>
      </c>
      <c r="V42" s="92" t="str">
        <f t="shared" si="5"/>
        <v>-</v>
      </c>
      <c r="W42" s="92" t="str">
        <f t="shared" si="6"/>
        <v>-</v>
      </c>
      <c r="X42" s="92" t="str">
        <f t="shared" si="7"/>
        <v>-</v>
      </c>
      <c r="Y42" s="179"/>
      <c r="Z42" s="140" t="s">
        <v>324</v>
      </c>
      <c r="AA42" s="140" t="s">
        <v>324</v>
      </c>
      <c r="AB42" s="140" t="s">
        <v>324</v>
      </c>
      <c r="AC42" s="140">
        <f t="shared" si="8"/>
        <v>0</v>
      </c>
      <c r="AD42" s="140" t="s">
        <v>324</v>
      </c>
      <c r="AE42" s="140"/>
      <c r="AF42" s="140" t="s">
        <v>324</v>
      </c>
      <c r="AG42" s="253"/>
    </row>
    <row r="43" spans="2:33" ht="60" customHeight="1">
      <c r="B43" s="376"/>
      <c r="C43" s="377"/>
      <c r="D43" s="141" t="s">
        <v>69</v>
      </c>
      <c r="E43" s="380" t="str">
        <f>'요약 통계'!D26</f>
        <v>/etc/(r)syslog.conf 파일 소유자 및 권한 설정</v>
      </c>
      <c r="F43" s="380"/>
      <c r="G43" s="380"/>
      <c r="H43" s="380"/>
      <c r="I43" s="380"/>
      <c r="J43" s="168" t="str">
        <f>'요약 통계'!E28</f>
        <v>상</v>
      </c>
      <c r="K43" s="137">
        <f>IF(M43="N/A","-",'요약 통계'!F28)</f>
        <v>3</v>
      </c>
      <c r="L43" s="138" t="s">
        <v>223</v>
      </c>
      <c r="M43" s="126" t="s">
        <v>133</v>
      </c>
      <c r="N43" s="139">
        <f t="shared" si="1"/>
        <v>3</v>
      </c>
      <c r="O43" s="128"/>
      <c r="P43" s="97" t="str">
        <f>IF(M43="N",'잠재위험 및 대응책 DB'!A24,"-")</f>
        <v>-</v>
      </c>
      <c r="Q43" s="97" t="str">
        <f>IF(W43="통제 적용",'잠재위험 및 대응책 DB'!B26,"-")</f>
        <v>-</v>
      </c>
      <c r="R43" s="88"/>
      <c r="S43" s="140" t="str">
        <f t="shared" si="2"/>
        <v>상</v>
      </c>
      <c r="T43" s="92">
        <f t="shared" si="3"/>
        <v>3</v>
      </c>
      <c r="U43" s="92" t="str">
        <f t="shared" si="4"/>
        <v>-</v>
      </c>
      <c r="V43" s="92" t="str">
        <f t="shared" si="5"/>
        <v>-</v>
      </c>
      <c r="W43" s="92" t="str">
        <f t="shared" si="6"/>
        <v>-</v>
      </c>
      <c r="X43" s="92" t="str">
        <f t="shared" si="7"/>
        <v>-</v>
      </c>
      <c r="Y43" s="179"/>
      <c r="Z43" s="140" t="s">
        <v>324</v>
      </c>
      <c r="AA43" s="140" t="s">
        <v>324</v>
      </c>
      <c r="AB43" s="140" t="s">
        <v>324</v>
      </c>
      <c r="AC43" s="140">
        <f t="shared" si="8"/>
        <v>0</v>
      </c>
      <c r="AD43" s="140" t="s">
        <v>324</v>
      </c>
      <c r="AE43" s="140"/>
      <c r="AF43" s="140" t="s">
        <v>324</v>
      </c>
      <c r="AG43" s="253"/>
    </row>
    <row r="44" spans="2:33" ht="60" customHeight="1">
      <c r="B44" s="376"/>
      <c r="C44" s="377"/>
      <c r="D44" s="141" t="s">
        <v>71</v>
      </c>
      <c r="E44" s="380" t="str">
        <f>'요약 통계'!D27</f>
        <v>/etc/services 파일 소유자 및 권한 설정</v>
      </c>
      <c r="F44" s="380"/>
      <c r="G44" s="380"/>
      <c r="H44" s="380"/>
      <c r="I44" s="380"/>
      <c r="J44" s="168" t="str">
        <f>'요약 통계'!E29</f>
        <v>상</v>
      </c>
      <c r="K44" s="137">
        <f>IF(M44="N/A","-",'요약 통계'!F29)</f>
        <v>3</v>
      </c>
      <c r="L44" s="138" t="s">
        <v>221</v>
      </c>
      <c r="M44" s="126" t="s">
        <v>133</v>
      </c>
      <c r="N44" s="139">
        <f t="shared" si="1"/>
        <v>3</v>
      </c>
      <c r="O44" s="128"/>
      <c r="P44" s="97" t="str">
        <f>IF(M44="N",'잠재위험 및 대응책 DB'!A25,"-")</f>
        <v>-</v>
      </c>
      <c r="Q44" s="97" t="str">
        <f>IF(W44="통제 적용",'잠재위험 및 대응책 DB'!B27,"-")</f>
        <v>-</v>
      </c>
      <c r="R44" s="88"/>
      <c r="S44" s="140" t="str">
        <f t="shared" si="2"/>
        <v>상</v>
      </c>
      <c r="T44" s="92">
        <f t="shared" si="3"/>
        <v>3</v>
      </c>
      <c r="U44" s="92" t="str">
        <f t="shared" si="4"/>
        <v>-</v>
      </c>
      <c r="V44" s="92" t="str">
        <f t="shared" si="5"/>
        <v>-</v>
      </c>
      <c r="W44" s="92" t="str">
        <f t="shared" si="6"/>
        <v>-</v>
      </c>
      <c r="X44" s="92" t="str">
        <f t="shared" si="7"/>
        <v>-</v>
      </c>
      <c r="Y44" s="179"/>
      <c r="Z44" s="140" t="s">
        <v>324</v>
      </c>
      <c r="AA44" s="140" t="s">
        <v>324</v>
      </c>
      <c r="AB44" s="140" t="s">
        <v>324</v>
      </c>
      <c r="AC44" s="140">
        <f t="shared" si="8"/>
        <v>0</v>
      </c>
      <c r="AD44" s="140" t="s">
        <v>324</v>
      </c>
      <c r="AE44" s="140"/>
      <c r="AF44" s="140" t="s">
        <v>324</v>
      </c>
      <c r="AG44" s="253"/>
    </row>
    <row r="45" spans="2:33" ht="60" customHeight="1">
      <c r="B45" s="376"/>
      <c r="C45" s="377"/>
      <c r="D45" s="141" t="s">
        <v>72</v>
      </c>
      <c r="E45" s="380" t="str">
        <f>'요약 통계'!D28</f>
        <v>SUID, SGID, Sticky bit 설정 파일 점검</v>
      </c>
      <c r="F45" s="380"/>
      <c r="G45" s="380"/>
      <c r="H45" s="380"/>
      <c r="I45" s="380"/>
      <c r="J45" s="168" t="str">
        <f>'요약 통계'!E30</f>
        <v>상</v>
      </c>
      <c r="K45" s="137">
        <f>IF(M45="N/A","-",'요약 통계'!F30)</f>
        <v>3</v>
      </c>
      <c r="L45" s="138" t="s">
        <v>224</v>
      </c>
      <c r="M45" s="126" t="s">
        <v>133</v>
      </c>
      <c r="N45" s="139">
        <f t="shared" si="1"/>
        <v>3</v>
      </c>
      <c r="O45" s="128"/>
      <c r="P45" s="97" t="str">
        <f>IF(M45="N",'잠재위험 및 대응책 DB'!A26,"-")</f>
        <v>-</v>
      </c>
      <c r="Q45" s="97" t="str">
        <f>IF(W45="통제 적용",'잠재위험 및 대응책 DB'!B28,"-")</f>
        <v>-</v>
      </c>
      <c r="R45" s="88"/>
      <c r="S45" s="140" t="str">
        <f t="shared" si="2"/>
        <v>상</v>
      </c>
      <c r="T45" s="92">
        <f t="shared" si="3"/>
        <v>3</v>
      </c>
      <c r="U45" s="92" t="str">
        <f t="shared" si="4"/>
        <v>-</v>
      </c>
      <c r="V45" s="92" t="str">
        <f t="shared" si="5"/>
        <v>-</v>
      </c>
      <c r="W45" s="92" t="str">
        <f t="shared" si="6"/>
        <v>-</v>
      </c>
      <c r="X45" s="92" t="str">
        <f t="shared" si="7"/>
        <v>-</v>
      </c>
      <c r="Y45" s="179"/>
      <c r="Z45" s="140" t="s">
        <v>324</v>
      </c>
      <c r="AA45" s="140" t="s">
        <v>324</v>
      </c>
      <c r="AB45" s="140" t="s">
        <v>324</v>
      </c>
      <c r="AC45" s="140">
        <f t="shared" si="8"/>
        <v>0</v>
      </c>
      <c r="AD45" s="140" t="s">
        <v>324</v>
      </c>
      <c r="AE45" s="140"/>
      <c r="AF45" s="140" t="s">
        <v>324</v>
      </c>
      <c r="AG45" s="253"/>
    </row>
    <row r="46" spans="2:33" ht="60" customHeight="1">
      <c r="B46" s="376"/>
      <c r="C46" s="377"/>
      <c r="D46" s="141" t="s">
        <v>73</v>
      </c>
      <c r="E46" s="380" t="str">
        <f>'요약 통계'!D29</f>
        <v>사용자, 시스템 환경변수 파일 소유자 및 권한 설정</v>
      </c>
      <c r="F46" s="380"/>
      <c r="G46" s="380"/>
      <c r="H46" s="380"/>
      <c r="I46" s="380"/>
      <c r="J46" s="168" t="str">
        <f>'요약 통계'!E31</f>
        <v>상</v>
      </c>
      <c r="K46" s="137">
        <f>IF(M46="N/A","-",'요약 통계'!F31)</f>
        <v>3</v>
      </c>
      <c r="L46" s="138" t="s">
        <v>220</v>
      </c>
      <c r="M46" s="126" t="s">
        <v>133</v>
      </c>
      <c r="N46" s="139">
        <f t="shared" si="1"/>
        <v>3</v>
      </c>
      <c r="O46" s="128"/>
      <c r="P46" s="97" t="str">
        <f>IF(M46="N",'잠재위험 및 대응책 DB'!A27,"-")</f>
        <v>-</v>
      </c>
      <c r="Q46" s="97" t="str">
        <f>IF(W46="통제 적용",'잠재위험 및 대응책 DB'!B29,"-")</f>
        <v>-</v>
      </c>
      <c r="R46" s="88"/>
      <c r="S46" s="140" t="str">
        <f t="shared" si="2"/>
        <v>상</v>
      </c>
      <c r="T46" s="92">
        <f t="shared" si="3"/>
        <v>3</v>
      </c>
      <c r="U46" s="92" t="str">
        <f t="shared" si="4"/>
        <v>-</v>
      </c>
      <c r="V46" s="92" t="str">
        <f t="shared" si="5"/>
        <v>-</v>
      </c>
      <c r="W46" s="92" t="str">
        <f t="shared" si="6"/>
        <v>-</v>
      </c>
      <c r="X46" s="92" t="str">
        <f t="shared" si="7"/>
        <v>-</v>
      </c>
      <c r="Y46" s="179"/>
      <c r="Z46" s="140" t="s">
        <v>324</v>
      </c>
      <c r="AA46" s="140" t="s">
        <v>324</v>
      </c>
      <c r="AB46" s="140" t="s">
        <v>324</v>
      </c>
      <c r="AC46" s="140">
        <f t="shared" si="8"/>
        <v>0</v>
      </c>
      <c r="AD46" s="140" t="s">
        <v>324</v>
      </c>
      <c r="AE46" s="140"/>
      <c r="AF46" s="140" t="s">
        <v>324</v>
      </c>
      <c r="AG46" s="253"/>
    </row>
    <row r="47" spans="2:33" ht="60" customHeight="1">
      <c r="B47" s="376"/>
      <c r="C47" s="377"/>
      <c r="D47" s="141" t="s">
        <v>75</v>
      </c>
      <c r="E47" s="380" t="str">
        <f>'요약 통계'!D30</f>
        <v>world writable 파일 점검</v>
      </c>
      <c r="F47" s="380"/>
      <c r="G47" s="380"/>
      <c r="H47" s="380"/>
      <c r="I47" s="380"/>
      <c r="J47" s="168" t="str">
        <f>'요약 통계'!E32</f>
        <v>상</v>
      </c>
      <c r="K47" s="137">
        <f>IF(M47="N/A","-",'요약 통계'!F32)</f>
        <v>3</v>
      </c>
      <c r="L47" s="138" t="s">
        <v>220</v>
      </c>
      <c r="M47" s="126" t="s">
        <v>133</v>
      </c>
      <c r="N47" s="139">
        <f t="shared" si="1"/>
        <v>3</v>
      </c>
      <c r="O47" s="128"/>
      <c r="P47" s="97" t="str">
        <f>IF(M47="N",'잠재위험 및 대응책 DB'!A28,"-")</f>
        <v>-</v>
      </c>
      <c r="Q47" s="97" t="str">
        <f>IF(W47="통제 적용",'잠재위험 및 대응책 DB'!B30,"-")</f>
        <v>-</v>
      </c>
      <c r="R47" s="88"/>
      <c r="S47" s="140" t="str">
        <f t="shared" si="2"/>
        <v>상</v>
      </c>
      <c r="T47" s="92">
        <f t="shared" si="3"/>
        <v>3</v>
      </c>
      <c r="U47" s="92" t="str">
        <f t="shared" si="4"/>
        <v>-</v>
      </c>
      <c r="V47" s="92" t="str">
        <f t="shared" si="5"/>
        <v>-</v>
      </c>
      <c r="W47" s="92" t="str">
        <f t="shared" si="6"/>
        <v>-</v>
      </c>
      <c r="X47" s="92" t="str">
        <f t="shared" si="7"/>
        <v>-</v>
      </c>
      <c r="Y47" s="179"/>
      <c r="Z47" s="140" t="s">
        <v>324</v>
      </c>
      <c r="AA47" s="140" t="s">
        <v>324</v>
      </c>
      <c r="AB47" s="140" t="s">
        <v>324</v>
      </c>
      <c r="AC47" s="140">
        <f t="shared" si="8"/>
        <v>0</v>
      </c>
      <c r="AD47" s="140" t="s">
        <v>324</v>
      </c>
      <c r="AE47" s="140"/>
      <c r="AF47" s="140" t="s">
        <v>324</v>
      </c>
      <c r="AG47" s="253"/>
    </row>
    <row r="48" spans="2:33" ht="60" customHeight="1">
      <c r="B48" s="376"/>
      <c r="C48" s="377"/>
      <c r="D48" s="141" t="s">
        <v>77</v>
      </c>
      <c r="E48" s="380" t="str">
        <f>'요약 통계'!D31</f>
        <v>/dev에 존재하지 않는 device 파일 점검</v>
      </c>
      <c r="F48" s="380"/>
      <c r="G48" s="380"/>
      <c r="H48" s="380"/>
      <c r="I48" s="380"/>
      <c r="J48" s="168" t="str">
        <f>'요약 통계'!E33</f>
        <v>상</v>
      </c>
      <c r="K48" s="137">
        <f>IF(M48="N/A","-",'요약 통계'!F33)</f>
        <v>3</v>
      </c>
      <c r="L48" s="138" t="s">
        <v>220</v>
      </c>
      <c r="M48" s="126" t="s">
        <v>133</v>
      </c>
      <c r="N48" s="139">
        <f t="shared" si="1"/>
        <v>3</v>
      </c>
      <c r="O48" s="128"/>
      <c r="P48" s="97" t="str">
        <f>IF(M48="N",'잠재위험 및 대응책 DB'!A29,"-")</f>
        <v>-</v>
      </c>
      <c r="Q48" s="97" t="str">
        <f>IF(W48="통제 적용",'잠재위험 및 대응책 DB'!B31,"-")</f>
        <v>-</v>
      </c>
      <c r="R48" s="88"/>
      <c r="S48" s="140" t="str">
        <f t="shared" si="2"/>
        <v>상</v>
      </c>
      <c r="T48" s="92">
        <f t="shared" si="3"/>
        <v>3</v>
      </c>
      <c r="U48" s="92" t="str">
        <f t="shared" si="4"/>
        <v>-</v>
      </c>
      <c r="V48" s="92" t="str">
        <f t="shared" si="5"/>
        <v>-</v>
      </c>
      <c r="W48" s="92" t="str">
        <f t="shared" si="6"/>
        <v>-</v>
      </c>
      <c r="X48" s="92" t="str">
        <f t="shared" si="7"/>
        <v>-</v>
      </c>
      <c r="Y48" s="179"/>
      <c r="Z48" s="140" t="s">
        <v>324</v>
      </c>
      <c r="AA48" s="140" t="s">
        <v>324</v>
      </c>
      <c r="AB48" s="140" t="s">
        <v>324</v>
      </c>
      <c r="AC48" s="140">
        <f t="shared" si="8"/>
        <v>0</v>
      </c>
      <c r="AD48" s="140" t="s">
        <v>324</v>
      </c>
      <c r="AE48" s="140"/>
      <c r="AF48" s="140" t="s">
        <v>324</v>
      </c>
      <c r="AG48" s="253"/>
    </row>
    <row r="49" spans="1:33" ht="60" customHeight="1">
      <c r="B49" s="330"/>
      <c r="C49" s="330"/>
      <c r="D49" s="141" t="s">
        <v>79</v>
      </c>
      <c r="E49" s="380" t="str">
        <f>'요약 통계'!D32</f>
        <v>$HOME/.rhosts, hosts.equiv 사용 금지</v>
      </c>
      <c r="F49" s="380"/>
      <c r="G49" s="380"/>
      <c r="H49" s="380"/>
      <c r="I49" s="380"/>
      <c r="J49" s="168" t="str">
        <f>'요약 통계'!E34</f>
        <v>하</v>
      </c>
      <c r="K49" s="137">
        <f>IF(M49="N/A","-",'요약 통계'!F34)</f>
        <v>1</v>
      </c>
      <c r="L49" s="138" t="s">
        <v>220</v>
      </c>
      <c r="M49" s="126" t="s">
        <v>133</v>
      </c>
      <c r="N49" s="139">
        <f t="shared" si="1"/>
        <v>1</v>
      </c>
      <c r="O49" s="128"/>
      <c r="P49" s="97" t="str">
        <f>IF(M49="N",'잠재위험 및 대응책 DB'!A30,"-")</f>
        <v>-</v>
      </c>
      <c r="Q49" s="97" t="str">
        <f>IF(W49="통제 적용",'잠재위험 및 대응책 DB'!B32,"-")</f>
        <v>-</v>
      </c>
      <c r="R49" s="88"/>
      <c r="S49" s="140" t="str">
        <f t="shared" si="2"/>
        <v>하</v>
      </c>
      <c r="T49" s="92">
        <f t="shared" si="3"/>
        <v>1</v>
      </c>
      <c r="U49" s="92" t="str">
        <f t="shared" si="4"/>
        <v>-</v>
      </c>
      <c r="V49" s="92" t="str">
        <f t="shared" si="5"/>
        <v>-</v>
      </c>
      <c r="W49" s="92" t="str">
        <f t="shared" si="6"/>
        <v>-</v>
      </c>
      <c r="X49" s="92" t="str">
        <f t="shared" si="7"/>
        <v>-</v>
      </c>
      <c r="Y49" s="179"/>
      <c r="Z49" s="140" t="s">
        <v>324</v>
      </c>
      <c r="AA49" s="140" t="s">
        <v>324</v>
      </c>
      <c r="AB49" s="140" t="s">
        <v>324</v>
      </c>
      <c r="AC49" s="140">
        <f t="shared" si="8"/>
        <v>0</v>
      </c>
      <c r="AD49" s="140" t="s">
        <v>324</v>
      </c>
      <c r="AE49" s="140"/>
      <c r="AF49" s="140" t="s">
        <v>324</v>
      </c>
      <c r="AG49" s="253"/>
    </row>
    <row r="50" spans="1:33" ht="60" customHeight="1">
      <c r="B50" s="376"/>
      <c r="C50" s="377"/>
      <c r="D50" s="141" t="s">
        <v>81</v>
      </c>
      <c r="E50" s="380" t="str">
        <f>'요약 통계'!D33</f>
        <v>접속 IP 및 포트 제한</v>
      </c>
      <c r="F50" s="380"/>
      <c r="G50" s="380"/>
      <c r="H50" s="380"/>
      <c r="I50" s="380"/>
      <c r="J50" s="168" t="str">
        <f>'요약 통계'!E35</f>
        <v>중</v>
      </c>
      <c r="K50" s="137">
        <f>IF(M50="N/A","-",'요약 통계'!F35)</f>
        <v>2</v>
      </c>
      <c r="L50" s="138" t="s">
        <v>223</v>
      </c>
      <c r="M50" s="126" t="s">
        <v>133</v>
      </c>
      <c r="N50" s="139">
        <f t="shared" si="1"/>
        <v>2</v>
      </c>
      <c r="O50" s="128"/>
      <c r="P50" s="97" t="str">
        <f>IF(M50="N",'잠재위험 및 대응책 DB'!A31,"-")</f>
        <v>-</v>
      </c>
      <c r="Q50" s="97" t="str">
        <f>IF(W50="통제 적용",'잠재위험 및 대응책 DB'!B33,"-")</f>
        <v>-</v>
      </c>
      <c r="R50" s="88"/>
      <c r="S50" s="140" t="str">
        <f t="shared" si="2"/>
        <v>중</v>
      </c>
      <c r="T50" s="92">
        <f t="shared" si="3"/>
        <v>2</v>
      </c>
      <c r="U50" s="92" t="str">
        <f t="shared" si="4"/>
        <v>-</v>
      </c>
      <c r="V50" s="92" t="str">
        <f t="shared" si="5"/>
        <v>-</v>
      </c>
      <c r="W50" s="92" t="str">
        <f t="shared" si="6"/>
        <v>-</v>
      </c>
      <c r="X50" s="92" t="str">
        <f t="shared" si="7"/>
        <v>-</v>
      </c>
      <c r="Y50" s="179"/>
      <c r="Z50" s="140" t="s">
        <v>324</v>
      </c>
      <c r="AA50" s="140" t="s">
        <v>324</v>
      </c>
      <c r="AB50" s="140" t="s">
        <v>324</v>
      </c>
      <c r="AC50" s="140">
        <f t="shared" si="8"/>
        <v>0</v>
      </c>
      <c r="AD50" s="140" t="s">
        <v>324</v>
      </c>
      <c r="AE50" s="140"/>
      <c r="AF50" s="140" t="s">
        <v>324</v>
      </c>
      <c r="AG50" s="253"/>
    </row>
    <row r="51" spans="1:33" ht="60" customHeight="1">
      <c r="B51" s="376"/>
      <c r="C51" s="377"/>
      <c r="D51" s="141" t="s">
        <v>82</v>
      </c>
      <c r="E51" s="380" t="str">
        <f>'요약 통계'!D34</f>
        <v>hosts.lpd 파일 소유자 및 권한 설정</v>
      </c>
      <c r="F51" s="380"/>
      <c r="G51" s="380"/>
      <c r="H51" s="380"/>
      <c r="I51" s="380"/>
      <c r="J51" s="168" t="str">
        <f>'요약 통계'!E36</f>
        <v>중</v>
      </c>
      <c r="K51" s="137">
        <f>IF(M51="N/A","-",'요약 통계'!F36)</f>
        <v>2</v>
      </c>
      <c r="L51" s="138" t="s">
        <v>223</v>
      </c>
      <c r="M51" s="126" t="s">
        <v>133</v>
      </c>
      <c r="N51" s="139">
        <f t="shared" si="1"/>
        <v>2</v>
      </c>
      <c r="O51" s="128"/>
      <c r="P51" s="97" t="str">
        <f>IF(M51="N",'잠재위험 및 대응책 DB'!A32,"-")</f>
        <v>-</v>
      </c>
      <c r="Q51" s="97" t="str">
        <f>IF(W51="통제 적용",'잠재위험 및 대응책 DB'!B34,"-")</f>
        <v>-</v>
      </c>
      <c r="R51" s="88"/>
      <c r="S51" s="140" t="str">
        <f t="shared" si="2"/>
        <v>중</v>
      </c>
      <c r="T51" s="92">
        <f t="shared" si="3"/>
        <v>2</v>
      </c>
      <c r="U51" s="92" t="str">
        <f t="shared" si="4"/>
        <v>-</v>
      </c>
      <c r="V51" s="92" t="str">
        <f t="shared" si="5"/>
        <v>-</v>
      </c>
      <c r="W51" s="92" t="str">
        <f t="shared" si="6"/>
        <v>-</v>
      </c>
      <c r="X51" s="92" t="str">
        <f t="shared" si="7"/>
        <v>-</v>
      </c>
      <c r="Y51" s="179"/>
      <c r="Z51" s="140" t="s">
        <v>324</v>
      </c>
      <c r="AA51" s="140" t="s">
        <v>324</v>
      </c>
      <c r="AB51" s="140" t="s">
        <v>324</v>
      </c>
      <c r="AC51" s="140">
        <f t="shared" si="8"/>
        <v>0</v>
      </c>
      <c r="AD51" s="140" t="s">
        <v>324</v>
      </c>
      <c r="AE51" s="140"/>
      <c r="AF51" s="140" t="s">
        <v>324</v>
      </c>
      <c r="AG51" s="253"/>
    </row>
    <row r="52" spans="1:33" ht="60" customHeight="1">
      <c r="B52" s="376"/>
      <c r="C52" s="377"/>
      <c r="D52" s="141" t="s">
        <v>83</v>
      </c>
      <c r="E52" s="380" t="str">
        <f>'요약 통계'!D36</f>
        <v>홈 디렉터리 소유자 및 권한 설정</v>
      </c>
      <c r="F52" s="380"/>
      <c r="G52" s="380"/>
      <c r="H52" s="380"/>
      <c r="I52" s="380"/>
      <c r="J52" s="168" t="str">
        <f>'요약 통계'!E37</f>
        <v>중</v>
      </c>
      <c r="K52" s="137">
        <f>IF(M52="N/A","-",'요약 통계'!F37)</f>
        <v>2</v>
      </c>
      <c r="L52" s="138" t="s">
        <v>225</v>
      </c>
      <c r="M52" s="126" t="s">
        <v>133</v>
      </c>
      <c r="N52" s="139">
        <f t="shared" si="1"/>
        <v>2</v>
      </c>
      <c r="O52" s="128"/>
      <c r="P52" s="97" t="str">
        <f>IF(M52="N",'잠재위험 및 대응책 DB'!A33,"-")</f>
        <v>-</v>
      </c>
      <c r="Q52" s="97" t="str">
        <f>IF(W52="통제 적용",'잠재위험 및 대응책 DB'!B35,"-")</f>
        <v>-</v>
      </c>
      <c r="R52" s="88"/>
      <c r="S52" s="140" t="str">
        <f t="shared" ref="S52" si="9">J52</f>
        <v>중</v>
      </c>
      <c r="T52" s="92">
        <f t="shared" ref="T52" si="10">IF(S52="상",3,IF(S52="중",2,IF(S52="하",1,0)))</f>
        <v>2</v>
      </c>
      <c r="U52" s="92" t="str">
        <f t="shared" si="4"/>
        <v>-</v>
      </c>
      <c r="V52" s="92" t="str">
        <f t="shared" ref="V52" si="11">IF(U52="-","-",IF(U52&gt;=7,"상",IF(U52&gt;=4,"중",IF(U52&gt;=2,"하","하"))))</f>
        <v>-</v>
      </c>
      <c r="W52" s="92" t="str">
        <f t="shared" ref="W52" si="12">IF(U52="-","-",IF(U52&gt;=$I$10,"통제 적용","위험 수용"))</f>
        <v>-</v>
      </c>
      <c r="X52" s="92" t="str">
        <f t="shared" ref="X52" si="13">IF(W52="통제 적용",D52,"-")</f>
        <v>-</v>
      </c>
      <c r="Y52" s="179"/>
      <c r="Z52" s="140" t="s">
        <v>324</v>
      </c>
      <c r="AA52" s="140" t="s">
        <v>324</v>
      </c>
      <c r="AB52" s="140" t="s">
        <v>324</v>
      </c>
      <c r="AC52" s="140">
        <f t="shared" ref="AC52" si="14">SUM(Z52:AB52)</f>
        <v>0</v>
      </c>
      <c r="AD52" s="140" t="s">
        <v>324</v>
      </c>
      <c r="AE52" s="140"/>
      <c r="AF52" s="140" t="s">
        <v>324</v>
      </c>
      <c r="AG52" s="253"/>
    </row>
    <row r="53" spans="1:33" ht="60" customHeight="1" thickBot="1">
      <c r="A53" s="195"/>
      <c r="B53" s="378"/>
      <c r="C53" s="379"/>
      <c r="D53" s="170" t="s">
        <v>85</v>
      </c>
      <c r="E53" s="388" t="str">
        <f>'요약 통계'!D36</f>
        <v>홈 디렉터리 소유자 및 권한 설정</v>
      </c>
      <c r="F53" s="388"/>
      <c r="G53" s="388"/>
      <c r="H53" s="388"/>
      <c r="I53" s="388"/>
      <c r="J53" s="150" t="str">
        <f>'요약 통계'!E38</f>
        <v>하</v>
      </c>
      <c r="K53" s="163">
        <f>IF(M53="N/A","-",'요약 통계'!F38)</f>
        <v>1</v>
      </c>
      <c r="L53" s="164" t="s">
        <v>220</v>
      </c>
      <c r="M53" s="188" t="s">
        <v>133</v>
      </c>
      <c r="N53" s="165">
        <f t="shared" si="1"/>
        <v>1</v>
      </c>
      <c r="O53" s="166"/>
      <c r="P53" s="167" t="str">
        <f>IF(M53="N",'잠재위험 및 대응책 DB'!A34,"-")</f>
        <v>-</v>
      </c>
      <c r="Q53" s="167" t="str">
        <f>IF(W53="통제 적용",'잠재위험 및 대응책 DB'!B36,"-")</f>
        <v>-</v>
      </c>
      <c r="R53" s="88"/>
      <c r="S53" s="140" t="str">
        <f t="shared" si="2"/>
        <v>하</v>
      </c>
      <c r="T53" s="92">
        <f t="shared" si="3"/>
        <v>1</v>
      </c>
      <c r="U53" s="92" t="str">
        <f t="shared" si="4"/>
        <v>-</v>
      </c>
      <c r="V53" s="92" t="str">
        <f t="shared" si="5"/>
        <v>-</v>
      </c>
      <c r="W53" s="92" t="str">
        <f t="shared" si="6"/>
        <v>-</v>
      </c>
      <c r="X53" s="92" t="str">
        <f t="shared" si="7"/>
        <v>-</v>
      </c>
      <c r="Y53" s="179"/>
      <c r="Z53" s="140" t="s">
        <v>324</v>
      </c>
      <c r="AA53" s="140" t="s">
        <v>324</v>
      </c>
      <c r="AB53" s="140" t="s">
        <v>324</v>
      </c>
      <c r="AC53" s="140">
        <f t="shared" si="8"/>
        <v>0</v>
      </c>
      <c r="AD53" s="140" t="s">
        <v>324</v>
      </c>
      <c r="AE53" s="140"/>
      <c r="AF53" s="140" t="s">
        <v>324</v>
      </c>
      <c r="AG53" s="253"/>
    </row>
    <row r="54" spans="1:33" ht="60" customHeight="1">
      <c r="B54" s="392" t="str">
        <f>'요약 통계'!B39</f>
        <v>서비스 관리</v>
      </c>
      <c r="C54" s="393"/>
      <c r="D54" s="157" t="s">
        <v>87</v>
      </c>
      <c r="E54" s="389" t="str">
        <f>'요약 통계'!D39</f>
        <v>Finger 서비스 비활성화</v>
      </c>
      <c r="F54" s="390"/>
      <c r="G54" s="390"/>
      <c r="H54" s="390"/>
      <c r="I54" s="391"/>
      <c r="J54" s="199" t="str">
        <f>'요약 통계'!E39</f>
        <v>상</v>
      </c>
      <c r="K54" s="158">
        <f>IF(M54="N/A","-",'요약 통계'!F39)</f>
        <v>3</v>
      </c>
      <c r="L54" s="159" t="s">
        <v>225</v>
      </c>
      <c r="M54" s="144" t="s">
        <v>133</v>
      </c>
      <c r="N54" s="160">
        <f t="shared" si="1"/>
        <v>3</v>
      </c>
      <c r="O54" s="161"/>
      <c r="P54" s="193" t="str">
        <f>IF(M54="N",'잠재위험 및 대응책 DB'!A35,"-")</f>
        <v>-</v>
      </c>
      <c r="Q54" s="193" t="str">
        <f>IF(W54="통제 적용",'잠재위험 및 대응책 DB'!B37,"-")</f>
        <v>-</v>
      </c>
      <c r="R54" s="93"/>
      <c r="S54" s="135" t="str">
        <f t="shared" si="2"/>
        <v>상</v>
      </c>
      <c r="T54" s="135">
        <f t="shared" si="3"/>
        <v>3</v>
      </c>
      <c r="U54" s="135" t="str">
        <f t="shared" si="4"/>
        <v>-</v>
      </c>
      <c r="V54" s="135" t="str">
        <f t="shared" si="5"/>
        <v>-</v>
      </c>
      <c r="W54" s="135" t="str">
        <f t="shared" si="6"/>
        <v>-</v>
      </c>
      <c r="X54" s="135" t="str">
        <f t="shared" si="7"/>
        <v>-</v>
      </c>
      <c r="Y54" s="179"/>
      <c r="Z54" s="135" t="s">
        <v>324</v>
      </c>
      <c r="AA54" s="135" t="s">
        <v>324</v>
      </c>
      <c r="AB54" s="135" t="s">
        <v>324</v>
      </c>
      <c r="AC54" s="135">
        <f t="shared" si="8"/>
        <v>0</v>
      </c>
      <c r="AD54" s="135" t="s">
        <v>324</v>
      </c>
      <c r="AE54" s="135"/>
      <c r="AF54" s="135" t="s">
        <v>324</v>
      </c>
      <c r="AG54" s="252"/>
    </row>
    <row r="55" spans="1:33" ht="60" customHeight="1">
      <c r="B55" s="392"/>
      <c r="C55" s="393"/>
      <c r="D55" s="157" t="s">
        <v>89</v>
      </c>
      <c r="E55" s="381" t="str">
        <f>'요약 통계'!D40</f>
        <v>공유 서비스에 대한 익명 접근 제한 설정</v>
      </c>
      <c r="F55" s="382"/>
      <c r="G55" s="382"/>
      <c r="H55" s="382"/>
      <c r="I55" s="383"/>
      <c r="J55" s="168" t="str">
        <f>'요약 통계'!E40</f>
        <v>상</v>
      </c>
      <c r="K55" s="132">
        <f>IF(M55="N/A","-",'요약 통계'!F40)</f>
        <v>3</v>
      </c>
      <c r="L55" s="133" t="s">
        <v>225</v>
      </c>
      <c r="M55" s="125" t="s">
        <v>133</v>
      </c>
      <c r="N55" s="134">
        <f t="shared" si="1"/>
        <v>3</v>
      </c>
      <c r="O55" s="127"/>
      <c r="P55" s="193" t="str">
        <f>IF(M55="N",'잠재위험 및 대응책 DB'!A36,"-")</f>
        <v>-</v>
      </c>
      <c r="Q55" s="193" t="str">
        <f>IF(W55="통제 적용",'잠재위험 및 대응책 DB'!B38,"-")</f>
        <v>-</v>
      </c>
      <c r="R55" s="93"/>
      <c r="S55" s="135" t="str">
        <f t="shared" si="2"/>
        <v>상</v>
      </c>
      <c r="T55" s="135">
        <f t="shared" si="3"/>
        <v>3</v>
      </c>
      <c r="U55" s="135" t="str">
        <f t="shared" si="4"/>
        <v>-</v>
      </c>
      <c r="V55" s="135" t="str">
        <f t="shared" si="5"/>
        <v>-</v>
      </c>
      <c r="W55" s="135" t="str">
        <f t="shared" si="6"/>
        <v>-</v>
      </c>
      <c r="X55" s="135" t="str">
        <f t="shared" si="7"/>
        <v>-</v>
      </c>
      <c r="Y55" s="179"/>
      <c r="Z55" s="135" t="s">
        <v>324</v>
      </c>
      <c r="AA55" s="135" t="s">
        <v>324</v>
      </c>
      <c r="AB55" s="135" t="s">
        <v>324</v>
      </c>
      <c r="AC55" s="135">
        <f t="shared" si="8"/>
        <v>0</v>
      </c>
      <c r="AD55" s="135" t="s">
        <v>324</v>
      </c>
      <c r="AE55" s="135"/>
      <c r="AF55" s="135" t="s">
        <v>324</v>
      </c>
      <c r="AG55" s="252"/>
    </row>
    <row r="56" spans="1:33" ht="60" customHeight="1">
      <c r="B56" s="392"/>
      <c r="C56" s="393"/>
      <c r="D56" s="157" t="s">
        <v>91</v>
      </c>
      <c r="E56" s="384" t="str">
        <f>'요약 통계'!D41</f>
        <v>r 계열 서비스 비활성화</v>
      </c>
      <c r="F56" s="385"/>
      <c r="G56" s="385"/>
      <c r="H56" s="385"/>
      <c r="I56" s="386"/>
      <c r="J56" s="168" t="str">
        <f>'요약 통계'!E41</f>
        <v>상</v>
      </c>
      <c r="K56" s="132">
        <f>IF(M56="N/A","-",'요약 통계'!F41)</f>
        <v>3</v>
      </c>
      <c r="L56" s="133" t="s">
        <v>225</v>
      </c>
      <c r="M56" s="125" t="s">
        <v>133</v>
      </c>
      <c r="N56" s="134">
        <f t="shared" si="1"/>
        <v>3</v>
      </c>
      <c r="O56" s="127"/>
      <c r="P56" s="193" t="str">
        <f>IF(M56="N",'잠재위험 및 대응책 DB'!A37,"-")</f>
        <v>-</v>
      </c>
      <c r="Q56" s="193" t="str">
        <f>IF(W56="통제 적용",'잠재위험 및 대응책 DB'!B39,"-")</f>
        <v>-</v>
      </c>
      <c r="R56" s="93"/>
      <c r="S56" s="135" t="str">
        <f t="shared" si="2"/>
        <v>상</v>
      </c>
      <c r="T56" s="135">
        <f t="shared" si="3"/>
        <v>3</v>
      </c>
      <c r="U56" s="135" t="str">
        <f t="shared" si="4"/>
        <v>-</v>
      </c>
      <c r="V56" s="135" t="str">
        <f t="shared" si="5"/>
        <v>-</v>
      </c>
      <c r="W56" s="135" t="str">
        <f t="shared" si="6"/>
        <v>-</v>
      </c>
      <c r="X56" s="135" t="str">
        <f t="shared" si="7"/>
        <v>-</v>
      </c>
      <c r="Y56" s="179"/>
      <c r="Z56" s="135" t="s">
        <v>324</v>
      </c>
      <c r="AA56" s="135" t="s">
        <v>324</v>
      </c>
      <c r="AB56" s="135" t="s">
        <v>324</v>
      </c>
      <c r="AC56" s="135">
        <f t="shared" si="8"/>
        <v>0</v>
      </c>
      <c r="AD56" s="135" t="s">
        <v>324</v>
      </c>
      <c r="AE56" s="135"/>
      <c r="AF56" s="135" t="s">
        <v>324</v>
      </c>
      <c r="AG56" s="252"/>
    </row>
    <row r="57" spans="1:33" ht="60" customHeight="1">
      <c r="B57" s="331"/>
      <c r="C57" s="331"/>
      <c r="D57" s="157" t="s">
        <v>93</v>
      </c>
      <c r="E57" s="370" t="str">
        <f>'요약 통계'!D42</f>
        <v>crontab 설정파일 권한 설정 미흡</v>
      </c>
      <c r="F57" s="370"/>
      <c r="G57" s="370"/>
      <c r="H57" s="370"/>
      <c r="I57" s="370"/>
      <c r="J57" s="168" t="str">
        <f>'요약 통계'!E42</f>
        <v>상</v>
      </c>
      <c r="K57" s="132">
        <f>IF(M57="N/A","-",'요약 통계'!F42)</f>
        <v>3</v>
      </c>
      <c r="L57" s="133" t="s">
        <v>223</v>
      </c>
      <c r="M57" s="125" t="s">
        <v>133</v>
      </c>
      <c r="N57" s="134">
        <f t="shared" si="1"/>
        <v>3</v>
      </c>
      <c r="O57" s="127"/>
      <c r="P57" s="193" t="str">
        <f>IF(M57="N",'잠재위험 및 대응책 DB'!A38,"-")</f>
        <v>-</v>
      </c>
      <c r="Q57" s="193" t="str">
        <f>IF(W57="통제 적용",'잠재위험 및 대응책 DB'!B40,"-")</f>
        <v>-</v>
      </c>
      <c r="R57" s="93"/>
      <c r="S57" s="135" t="str">
        <f t="shared" si="2"/>
        <v>상</v>
      </c>
      <c r="T57" s="135">
        <f t="shared" si="3"/>
        <v>3</v>
      </c>
      <c r="U57" s="135" t="str">
        <f t="shared" si="4"/>
        <v>-</v>
      </c>
      <c r="V57" s="135" t="str">
        <f t="shared" si="5"/>
        <v>-</v>
      </c>
      <c r="W57" s="135" t="str">
        <f t="shared" si="6"/>
        <v>-</v>
      </c>
      <c r="X57" s="135" t="str">
        <f t="shared" si="7"/>
        <v>-</v>
      </c>
      <c r="Y57" s="179"/>
      <c r="Z57" s="135" t="s">
        <v>324</v>
      </c>
      <c r="AA57" s="135" t="s">
        <v>324</v>
      </c>
      <c r="AB57" s="135" t="s">
        <v>324</v>
      </c>
      <c r="AC57" s="135">
        <f t="shared" si="8"/>
        <v>0</v>
      </c>
      <c r="AD57" s="135" t="s">
        <v>324</v>
      </c>
      <c r="AE57" s="135"/>
      <c r="AF57" s="135" t="s">
        <v>324</v>
      </c>
      <c r="AG57" s="252"/>
    </row>
    <row r="58" spans="1:33" ht="60" customHeight="1">
      <c r="B58" s="392"/>
      <c r="C58" s="393"/>
      <c r="D58" s="157" t="s">
        <v>94</v>
      </c>
      <c r="E58" s="389" t="str">
        <f>'요약 통계'!D43</f>
        <v>DoS 공격에 취약한 서비스 비활성화</v>
      </c>
      <c r="F58" s="390"/>
      <c r="G58" s="390"/>
      <c r="H58" s="390"/>
      <c r="I58" s="391"/>
      <c r="J58" s="168" t="str">
        <f>'요약 통계'!E43</f>
        <v>상</v>
      </c>
      <c r="K58" s="132">
        <f>IF(M58="N/A","-",'요약 통계'!F43)</f>
        <v>3</v>
      </c>
      <c r="L58" s="133" t="s">
        <v>225</v>
      </c>
      <c r="M58" s="125" t="s">
        <v>133</v>
      </c>
      <c r="N58" s="134">
        <f t="shared" si="1"/>
        <v>3</v>
      </c>
      <c r="O58" s="127"/>
      <c r="P58" s="193" t="str">
        <f>IF(M58="N",'잠재위험 및 대응책 DB'!A39,"-")</f>
        <v>-</v>
      </c>
      <c r="Q58" s="193" t="str">
        <f>IF(W58="통제 적용",'잠재위험 및 대응책 DB'!B41,"-")</f>
        <v>-</v>
      </c>
      <c r="R58" s="93"/>
      <c r="S58" s="135" t="str">
        <f t="shared" si="2"/>
        <v>상</v>
      </c>
      <c r="T58" s="135">
        <f t="shared" si="3"/>
        <v>3</v>
      </c>
      <c r="U58" s="135" t="str">
        <f t="shared" si="4"/>
        <v>-</v>
      </c>
      <c r="V58" s="135" t="str">
        <f t="shared" si="5"/>
        <v>-</v>
      </c>
      <c r="W58" s="135" t="str">
        <f t="shared" si="6"/>
        <v>-</v>
      </c>
      <c r="X58" s="135" t="str">
        <f t="shared" si="7"/>
        <v>-</v>
      </c>
      <c r="Y58" s="179"/>
      <c r="Z58" s="135" t="s">
        <v>324</v>
      </c>
      <c r="AA58" s="135" t="s">
        <v>324</v>
      </c>
      <c r="AB58" s="135" t="s">
        <v>324</v>
      </c>
      <c r="AC58" s="135">
        <f t="shared" si="8"/>
        <v>0</v>
      </c>
      <c r="AD58" s="135" t="s">
        <v>324</v>
      </c>
      <c r="AE58" s="135"/>
      <c r="AF58" s="135" t="s">
        <v>324</v>
      </c>
      <c r="AG58" s="252"/>
    </row>
    <row r="59" spans="1:33" ht="60" customHeight="1">
      <c r="B59" s="392"/>
      <c r="C59" s="393"/>
      <c r="D59" s="157" t="s">
        <v>96</v>
      </c>
      <c r="E59" s="381" t="str">
        <f>'요약 통계'!D44</f>
        <v>불필요한 NFS 서비스 비활성화</v>
      </c>
      <c r="F59" s="382"/>
      <c r="G59" s="382"/>
      <c r="H59" s="382"/>
      <c r="I59" s="383"/>
      <c r="J59" s="168" t="str">
        <f>'요약 통계'!E44</f>
        <v>상</v>
      </c>
      <c r="K59" s="132">
        <f>IF(M59="N/A","-",'요약 통계'!F44)</f>
        <v>3</v>
      </c>
      <c r="L59" s="133" t="s">
        <v>225</v>
      </c>
      <c r="M59" s="125" t="s">
        <v>133</v>
      </c>
      <c r="N59" s="134">
        <f t="shared" si="1"/>
        <v>3</v>
      </c>
      <c r="O59" s="127"/>
      <c r="P59" s="193" t="str">
        <f>IF(M59="N",'잠재위험 및 대응책 DB'!A40,"-")</f>
        <v>-</v>
      </c>
      <c r="Q59" s="193" t="str">
        <f>IF(W59="통제 적용",'잠재위험 및 대응책 DB'!B42,"-")</f>
        <v>-</v>
      </c>
      <c r="R59" s="93"/>
      <c r="S59" s="135" t="str">
        <f t="shared" si="2"/>
        <v>상</v>
      </c>
      <c r="T59" s="135">
        <f t="shared" si="3"/>
        <v>3</v>
      </c>
      <c r="U59" s="135" t="str">
        <f t="shared" si="4"/>
        <v>-</v>
      </c>
      <c r="V59" s="135" t="str">
        <f t="shared" si="5"/>
        <v>-</v>
      </c>
      <c r="W59" s="135" t="str">
        <f t="shared" si="6"/>
        <v>-</v>
      </c>
      <c r="X59" s="135" t="str">
        <f t="shared" si="7"/>
        <v>-</v>
      </c>
      <c r="Y59" s="179"/>
      <c r="Z59" s="135" t="s">
        <v>324</v>
      </c>
      <c r="AA59" s="135" t="s">
        <v>324</v>
      </c>
      <c r="AB59" s="135" t="s">
        <v>324</v>
      </c>
      <c r="AC59" s="135">
        <f t="shared" si="8"/>
        <v>0</v>
      </c>
      <c r="AD59" s="135" t="s">
        <v>324</v>
      </c>
      <c r="AE59" s="135"/>
      <c r="AF59" s="135" t="s">
        <v>324</v>
      </c>
      <c r="AG59" s="252"/>
    </row>
    <row r="60" spans="1:33" ht="60" customHeight="1">
      <c r="B60" s="392"/>
      <c r="C60" s="393"/>
      <c r="D60" s="157" t="s">
        <v>97</v>
      </c>
      <c r="E60" s="381" t="str">
        <f>'요약 통계'!D45</f>
        <v>NFS 접근통제</v>
      </c>
      <c r="F60" s="382"/>
      <c r="G60" s="382"/>
      <c r="H60" s="382"/>
      <c r="I60" s="383"/>
      <c r="J60" s="168" t="str">
        <f>'요약 통계'!E45</f>
        <v>상</v>
      </c>
      <c r="K60" s="132">
        <f>IF(M60="N/A","-",'요약 통계'!F45)</f>
        <v>3</v>
      </c>
      <c r="L60" s="133" t="s">
        <v>223</v>
      </c>
      <c r="M60" s="125" t="s">
        <v>133</v>
      </c>
      <c r="N60" s="134">
        <f t="shared" si="1"/>
        <v>3</v>
      </c>
      <c r="O60" s="127"/>
      <c r="P60" s="193" t="str">
        <f>IF(M60="N",'잠재위험 및 대응책 DB'!A41,"-")</f>
        <v>-</v>
      </c>
      <c r="Q60" s="193" t="str">
        <f>IF(W60="통제 적용",'잠재위험 및 대응책 DB'!B43,"-")</f>
        <v>-</v>
      </c>
      <c r="R60" s="93"/>
      <c r="S60" s="135" t="str">
        <f t="shared" si="2"/>
        <v>상</v>
      </c>
      <c r="T60" s="135">
        <f t="shared" si="3"/>
        <v>3</v>
      </c>
      <c r="U60" s="135" t="str">
        <f t="shared" si="4"/>
        <v>-</v>
      </c>
      <c r="V60" s="135" t="str">
        <f t="shared" si="5"/>
        <v>-</v>
      </c>
      <c r="W60" s="135" t="str">
        <f t="shared" si="6"/>
        <v>-</v>
      </c>
      <c r="X60" s="135" t="str">
        <f t="shared" si="7"/>
        <v>-</v>
      </c>
      <c r="Y60" s="179"/>
      <c r="Z60" s="135" t="s">
        <v>324</v>
      </c>
      <c r="AA60" s="135" t="s">
        <v>324</v>
      </c>
      <c r="AB60" s="135" t="s">
        <v>324</v>
      </c>
      <c r="AC60" s="135">
        <f t="shared" si="8"/>
        <v>0</v>
      </c>
      <c r="AD60" s="135" t="s">
        <v>324</v>
      </c>
      <c r="AE60" s="135"/>
      <c r="AF60" s="135" t="s">
        <v>324</v>
      </c>
      <c r="AG60" s="252"/>
    </row>
    <row r="61" spans="1:33" ht="60" customHeight="1">
      <c r="B61" s="392"/>
      <c r="C61" s="393"/>
      <c r="D61" s="157" t="s">
        <v>99</v>
      </c>
      <c r="E61" s="381" t="str">
        <f>'요약 통계'!D46</f>
        <v>불필요한 automountd 제거</v>
      </c>
      <c r="F61" s="382"/>
      <c r="G61" s="382"/>
      <c r="H61" s="382"/>
      <c r="I61" s="383"/>
      <c r="J61" s="168" t="str">
        <f>'요약 통계'!E46</f>
        <v>상</v>
      </c>
      <c r="K61" s="132">
        <f>IF(M61="N/A","-",'요약 통계'!F46)</f>
        <v>3</v>
      </c>
      <c r="L61" s="133" t="s">
        <v>225</v>
      </c>
      <c r="M61" s="125" t="s">
        <v>133</v>
      </c>
      <c r="N61" s="134">
        <f t="shared" si="1"/>
        <v>3</v>
      </c>
      <c r="O61" s="127"/>
      <c r="P61" s="193" t="str">
        <f>IF(M61="N",'잠재위험 및 대응책 DB'!A42,"-")</f>
        <v>-</v>
      </c>
      <c r="Q61" s="193" t="str">
        <f>IF(W61="통제 적용",'잠재위험 및 대응책 DB'!B44,"-")</f>
        <v>-</v>
      </c>
      <c r="R61" s="93"/>
      <c r="S61" s="135" t="str">
        <f t="shared" si="2"/>
        <v>상</v>
      </c>
      <c r="T61" s="135">
        <f t="shared" si="3"/>
        <v>3</v>
      </c>
      <c r="U61" s="135" t="str">
        <f t="shared" si="4"/>
        <v>-</v>
      </c>
      <c r="V61" s="135" t="str">
        <f t="shared" si="5"/>
        <v>-</v>
      </c>
      <c r="W61" s="135" t="str">
        <f t="shared" si="6"/>
        <v>-</v>
      </c>
      <c r="X61" s="135" t="str">
        <f t="shared" si="7"/>
        <v>-</v>
      </c>
      <c r="Y61" s="179"/>
      <c r="Z61" s="135" t="s">
        <v>324</v>
      </c>
      <c r="AA61" s="135" t="s">
        <v>324</v>
      </c>
      <c r="AB61" s="135" t="s">
        <v>324</v>
      </c>
      <c r="AC61" s="135">
        <f t="shared" si="8"/>
        <v>0</v>
      </c>
      <c r="AD61" s="135" t="s">
        <v>324</v>
      </c>
      <c r="AE61" s="135"/>
      <c r="AF61" s="135" t="s">
        <v>324</v>
      </c>
      <c r="AG61" s="252"/>
    </row>
    <row r="62" spans="1:33" ht="60" customHeight="1">
      <c r="B62" s="392"/>
      <c r="C62" s="393"/>
      <c r="D62" s="157" t="s">
        <v>338</v>
      </c>
      <c r="E62" s="381" t="str">
        <f>'요약 통계'!D47</f>
        <v>불필요한 RPC 서비스 확인</v>
      </c>
      <c r="F62" s="382"/>
      <c r="G62" s="382"/>
      <c r="H62" s="382"/>
      <c r="I62" s="383"/>
      <c r="J62" s="168" t="str">
        <f>'요약 통계'!E47</f>
        <v>상</v>
      </c>
      <c r="K62" s="132">
        <f>IF(M62="N/A","-",'요약 통계'!F47)</f>
        <v>3</v>
      </c>
      <c r="L62" s="133" t="s">
        <v>225</v>
      </c>
      <c r="M62" s="125" t="s">
        <v>133</v>
      </c>
      <c r="N62" s="134">
        <f t="shared" si="1"/>
        <v>3</v>
      </c>
      <c r="O62" s="127"/>
      <c r="P62" s="193" t="str">
        <f>IF(M62="N",'잠재위험 및 대응책 DB'!A43,"-")</f>
        <v>-</v>
      </c>
      <c r="Q62" s="193" t="str">
        <f>IF(W62="통제 적용",'잠재위험 및 대응책 DB'!B45,"-")</f>
        <v>-</v>
      </c>
      <c r="R62" s="93"/>
      <c r="S62" s="135" t="str">
        <f t="shared" si="2"/>
        <v>상</v>
      </c>
      <c r="T62" s="135">
        <f t="shared" si="3"/>
        <v>3</v>
      </c>
      <c r="U62" s="135" t="str">
        <f t="shared" si="4"/>
        <v>-</v>
      </c>
      <c r="V62" s="135" t="str">
        <f t="shared" si="5"/>
        <v>-</v>
      </c>
      <c r="W62" s="135" t="str">
        <f t="shared" si="6"/>
        <v>-</v>
      </c>
      <c r="X62" s="135" t="str">
        <f t="shared" si="7"/>
        <v>-</v>
      </c>
      <c r="Y62" s="179"/>
      <c r="Z62" s="135" t="s">
        <v>324</v>
      </c>
      <c r="AA62" s="135" t="s">
        <v>324</v>
      </c>
      <c r="AB62" s="135" t="s">
        <v>324</v>
      </c>
      <c r="AC62" s="135">
        <f t="shared" si="8"/>
        <v>0</v>
      </c>
      <c r="AD62" s="135" t="s">
        <v>324</v>
      </c>
      <c r="AE62" s="135"/>
      <c r="AF62" s="135" t="s">
        <v>324</v>
      </c>
      <c r="AG62" s="252"/>
    </row>
    <row r="63" spans="1:33" ht="60" customHeight="1">
      <c r="B63" s="392"/>
      <c r="C63" s="393"/>
      <c r="D63" s="157" t="s">
        <v>339</v>
      </c>
      <c r="E63" s="381" t="str">
        <f>'요약 통계'!D48</f>
        <v>NIS, NIS+ 점검</v>
      </c>
      <c r="F63" s="382"/>
      <c r="G63" s="382"/>
      <c r="H63" s="382"/>
      <c r="I63" s="383"/>
      <c r="J63" s="168" t="str">
        <f>'요약 통계'!E48</f>
        <v>상</v>
      </c>
      <c r="K63" s="132">
        <f>IF(M63="N/A","-",'요약 통계'!F48)</f>
        <v>3</v>
      </c>
      <c r="L63" s="133" t="s">
        <v>225</v>
      </c>
      <c r="M63" s="125" t="s">
        <v>133</v>
      </c>
      <c r="N63" s="134">
        <f t="shared" si="1"/>
        <v>3</v>
      </c>
      <c r="O63" s="127"/>
      <c r="P63" s="193" t="str">
        <f>IF(M63="N",'잠재위험 및 대응책 DB'!A44,"-")</f>
        <v>-</v>
      </c>
      <c r="Q63" s="193" t="str">
        <f>IF(W63="통제 적용",'잠재위험 및 대응책 DB'!B46,"-")</f>
        <v>-</v>
      </c>
      <c r="R63" s="93"/>
      <c r="S63" s="135" t="str">
        <f t="shared" si="2"/>
        <v>상</v>
      </c>
      <c r="T63" s="135">
        <f t="shared" si="3"/>
        <v>3</v>
      </c>
      <c r="U63" s="135" t="str">
        <f t="shared" si="4"/>
        <v>-</v>
      </c>
      <c r="V63" s="135" t="str">
        <f t="shared" si="5"/>
        <v>-</v>
      </c>
      <c r="W63" s="135" t="str">
        <f t="shared" si="6"/>
        <v>-</v>
      </c>
      <c r="X63" s="135" t="str">
        <f t="shared" si="7"/>
        <v>-</v>
      </c>
      <c r="Y63" s="179"/>
      <c r="Z63" s="135" t="s">
        <v>324</v>
      </c>
      <c r="AA63" s="135" t="s">
        <v>324</v>
      </c>
      <c r="AB63" s="135" t="s">
        <v>324</v>
      </c>
      <c r="AC63" s="135">
        <f t="shared" si="8"/>
        <v>0</v>
      </c>
      <c r="AD63" s="135" t="s">
        <v>324</v>
      </c>
      <c r="AE63" s="135"/>
      <c r="AF63" s="135" t="s">
        <v>324</v>
      </c>
      <c r="AG63" s="252"/>
    </row>
    <row r="64" spans="1:33" ht="60" customHeight="1">
      <c r="B64" s="392"/>
      <c r="C64" s="393"/>
      <c r="D64" s="157" t="s">
        <v>340</v>
      </c>
      <c r="E64" s="381" t="str">
        <f>'요약 통계'!D49</f>
        <v>tftp, talk 서비스 비활성화</v>
      </c>
      <c r="F64" s="382"/>
      <c r="G64" s="382"/>
      <c r="H64" s="382"/>
      <c r="I64" s="383"/>
      <c r="J64" s="168" t="str">
        <f>'요약 통계'!E49</f>
        <v>상</v>
      </c>
      <c r="K64" s="132">
        <f>IF(M64="N/A","-",'요약 통계'!F49)</f>
        <v>3</v>
      </c>
      <c r="L64" s="133" t="s">
        <v>225</v>
      </c>
      <c r="M64" s="125" t="s">
        <v>133</v>
      </c>
      <c r="N64" s="134">
        <f t="shared" si="1"/>
        <v>3</v>
      </c>
      <c r="O64" s="127"/>
      <c r="P64" s="193" t="str">
        <f>IF(M64="N",'잠재위험 및 대응책 DB'!A45,"-")</f>
        <v>-</v>
      </c>
      <c r="Q64" s="193" t="str">
        <f>IF(W64="통제 적용",'잠재위험 및 대응책 DB'!B47,"-")</f>
        <v>-</v>
      </c>
      <c r="R64" s="93"/>
      <c r="S64" s="135" t="str">
        <f t="shared" si="2"/>
        <v>상</v>
      </c>
      <c r="T64" s="135">
        <f t="shared" si="3"/>
        <v>3</v>
      </c>
      <c r="U64" s="135" t="str">
        <f t="shared" si="4"/>
        <v>-</v>
      </c>
      <c r="V64" s="135" t="str">
        <f t="shared" si="5"/>
        <v>-</v>
      </c>
      <c r="W64" s="135" t="str">
        <f t="shared" si="6"/>
        <v>-</v>
      </c>
      <c r="X64" s="135" t="str">
        <f t="shared" si="7"/>
        <v>-</v>
      </c>
      <c r="Y64" s="179"/>
      <c r="Z64" s="135" t="s">
        <v>324</v>
      </c>
      <c r="AA64" s="135" t="s">
        <v>324</v>
      </c>
      <c r="AB64" s="135" t="s">
        <v>324</v>
      </c>
      <c r="AC64" s="135">
        <f t="shared" si="8"/>
        <v>0</v>
      </c>
      <c r="AD64" s="135" t="s">
        <v>324</v>
      </c>
      <c r="AE64" s="135"/>
      <c r="AF64" s="135" t="s">
        <v>324</v>
      </c>
      <c r="AG64" s="252"/>
    </row>
    <row r="65" spans="2:33" ht="60" customHeight="1">
      <c r="B65" s="392"/>
      <c r="C65" s="393"/>
      <c r="D65" s="157" t="s">
        <v>100</v>
      </c>
      <c r="E65" s="381" t="str">
        <f>'요약 통계'!D50</f>
        <v>메일 서비스 버전 점검</v>
      </c>
      <c r="F65" s="382"/>
      <c r="G65" s="382"/>
      <c r="H65" s="382"/>
      <c r="I65" s="383"/>
      <c r="J65" s="168" t="str">
        <f>'요약 통계'!E50</f>
        <v>상</v>
      </c>
      <c r="K65" s="132">
        <f>IF(M65="N/A","-",'요약 통계'!F50)</f>
        <v>3</v>
      </c>
      <c r="L65" s="133" t="s">
        <v>226</v>
      </c>
      <c r="M65" s="125" t="s">
        <v>133</v>
      </c>
      <c r="N65" s="134">
        <f t="shared" si="1"/>
        <v>3</v>
      </c>
      <c r="O65" s="127"/>
      <c r="P65" s="193" t="str">
        <f>IF(M65="N",'잠재위험 및 대응책 DB'!A46,"-")</f>
        <v>-</v>
      </c>
      <c r="Q65" s="193" t="str">
        <f>IF(W65="통제 적용",'잠재위험 및 대응책 DB'!B48,"-")</f>
        <v>-</v>
      </c>
      <c r="R65" s="93"/>
      <c r="S65" s="135" t="str">
        <f t="shared" si="2"/>
        <v>상</v>
      </c>
      <c r="T65" s="135">
        <f t="shared" si="3"/>
        <v>3</v>
      </c>
      <c r="U65" s="135" t="str">
        <f t="shared" si="4"/>
        <v>-</v>
      </c>
      <c r="V65" s="135" t="str">
        <f t="shared" si="5"/>
        <v>-</v>
      </c>
      <c r="W65" s="135" t="str">
        <f t="shared" si="6"/>
        <v>-</v>
      </c>
      <c r="X65" s="135" t="str">
        <f t="shared" si="7"/>
        <v>-</v>
      </c>
      <c r="Y65" s="179"/>
      <c r="Z65" s="135" t="s">
        <v>324</v>
      </c>
      <c r="AA65" s="135" t="s">
        <v>324</v>
      </c>
      <c r="AB65" s="135" t="s">
        <v>324</v>
      </c>
      <c r="AC65" s="135">
        <f t="shared" si="8"/>
        <v>0</v>
      </c>
      <c r="AD65" s="135" t="s">
        <v>324</v>
      </c>
      <c r="AE65" s="135"/>
      <c r="AF65" s="135" t="s">
        <v>324</v>
      </c>
      <c r="AG65" s="252"/>
    </row>
    <row r="66" spans="2:33" ht="60" customHeight="1">
      <c r="B66" s="392"/>
      <c r="C66" s="393"/>
      <c r="D66" s="157" t="s">
        <v>102</v>
      </c>
      <c r="E66" s="381" t="str">
        <f>'요약 통계'!D51</f>
        <v>일반사용자의 메일 서비스 실행 방지</v>
      </c>
      <c r="F66" s="382"/>
      <c r="G66" s="382"/>
      <c r="H66" s="382"/>
      <c r="I66" s="383"/>
      <c r="J66" s="168" t="str">
        <f>'요약 통계'!E51</f>
        <v>상</v>
      </c>
      <c r="K66" s="132">
        <f>IF(M66="N/A","-",'요약 통계'!F51)</f>
        <v>3</v>
      </c>
      <c r="L66" s="133" t="s">
        <v>220</v>
      </c>
      <c r="M66" s="125" t="s">
        <v>133</v>
      </c>
      <c r="N66" s="134">
        <f t="shared" si="1"/>
        <v>3</v>
      </c>
      <c r="O66" s="127"/>
      <c r="P66" s="193" t="str">
        <f>IF(M66="N",'잠재위험 및 대응책 DB'!A47,"-")</f>
        <v>-</v>
      </c>
      <c r="Q66" s="193" t="str">
        <f>IF(W66="통제 적용",'잠재위험 및 대응책 DB'!B49,"-")</f>
        <v>-</v>
      </c>
      <c r="R66" s="93"/>
      <c r="S66" s="135" t="str">
        <f t="shared" si="2"/>
        <v>상</v>
      </c>
      <c r="T66" s="135">
        <f t="shared" si="3"/>
        <v>3</v>
      </c>
      <c r="U66" s="135" t="str">
        <f t="shared" si="4"/>
        <v>-</v>
      </c>
      <c r="V66" s="135" t="str">
        <f t="shared" si="5"/>
        <v>-</v>
      </c>
      <c r="W66" s="135" t="str">
        <f t="shared" si="6"/>
        <v>-</v>
      </c>
      <c r="X66" s="135" t="str">
        <f t="shared" si="7"/>
        <v>-</v>
      </c>
      <c r="Y66" s="179"/>
      <c r="Z66" s="135" t="s">
        <v>324</v>
      </c>
      <c r="AA66" s="135" t="s">
        <v>324</v>
      </c>
      <c r="AB66" s="135" t="s">
        <v>324</v>
      </c>
      <c r="AC66" s="135">
        <f t="shared" si="8"/>
        <v>0</v>
      </c>
      <c r="AD66" s="135" t="s">
        <v>324</v>
      </c>
      <c r="AE66" s="135"/>
      <c r="AF66" s="135" t="s">
        <v>324</v>
      </c>
      <c r="AG66" s="252"/>
    </row>
    <row r="67" spans="2:33" ht="60" customHeight="1">
      <c r="B67" s="392"/>
      <c r="C67" s="393"/>
      <c r="D67" s="157" t="s">
        <v>104</v>
      </c>
      <c r="E67" s="381" t="str">
        <f>'요약 통계'!D52</f>
        <v>스팸 메일 릴레이 제한</v>
      </c>
      <c r="F67" s="382"/>
      <c r="G67" s="382"/>
      <c r="H67" s="382"/>
      <c r="I67" s="383"/>
      <c r="J67" s="168" t="str">
        <f>'요약 통계'!E52</f>
        <v>상</v>
      </c>
      <c r="K67" s="132">
        <f>IF(M67="N/A","-",'요약 통계'!F52)</f>
        <v>3</v>
      </c>
      <c r="L67" s="133" t="s">
        <v>223</v>
      </c>
      <c r="M67" s="125" t="s">
        <v>133</v>
      </c>
      <c r="N67" s="134">
        <f t="shared" si="1"/>
        <v>3</v>
      </c>
      <c r="O67" s="127"/>
      <c r="P67" s="193" t="str">
        <f>IF(M67="N",'잠재위험 및 대응책 DB'!A48,"-")</f>
        <v>-</v>
      </c>
      <c r="Q67" s="193" t="str">
        <f>IF(W67="통제 적용",'잠재위험 및 대응책 DB'!B50,"-")</f>
        <v>-</v>
      </c>
      <c r="R67" s="93"/>
      <c r="S67" s="135" t="str">
        <f t="shared" si="2"/>
        <v>상</v>
      </c>
      <c r="T67" s="135">
        <f t="shared" si="3"/>
        <v>3</v>
      </c>
      <c r="U67" s="135" t="str">
        <f t="shared" si="4"/>
        <v>-</v>
      </c>
      <c r="V67" s="135" t="str">
        <f t="shared" si="5"/>
        <v>-</v>
      </c>
      <c r="W67" s="135" t="str">
        <f t="shared" si="6"/>
        <v>-</v>
      </c>
      <c r="X67" s="135" t="str">
        <f t="shared" si="7"/>
        <v>-</v>
      </c>
      <c r="Y67" s="179"/>
      <c r="Z67" s="135" t="s">
        <v>324</v>
      </c>
      <c r="AA67" s="135" t="s">
        <v>324</v>
      </c>
      <c r="AB67" s="135" t="s">
        <v>324</v>
      </c>
      <c r="AC67" s="135">
        <f t="shared" si="8"/>
        <v>0</v>
      </c>
      <c r="AD67" s="135" t="s">
        <v>324</v>
      </c>
      <c r="AE67" s="135"/>
      <c r="AF67" s="135" t="s">
        <v>324</v>
      </c>
      <c r="AG67" s="252"/>
    </row>
    <row r="68" spans="2:33" ht="60" customHeight="1">
      <c r="B68" s="392"/>
      <c r="C68" s="393"/>
      <c r="D68" s="157" t="s">
        <v>105</v>
      </c>
      <c r="E68" s="381" t="str">
        <f>'요약 통계'!D53</f>
        <v>expn, vrfy 명령어 제한</v>
      </c>
      <c r="F68" s="382"/>
      <c r="G68" s="382"/>
      <c r="H68" s="382"/>
      <c r="I68" s="383"/>
      <c r="J68" s="168" t="str">
        <f>'요약 통계'!E53</f>
        <v>중</v>
      </c>
      <c r="K68" s="132">
        <f>IF(M68="N/A","-",'요약 통계'!F53)</f>
        <v>2</v>
      </c>
      <c r="L68" s="133" t="s">
        <v>226</v>
      </c>
      <c r="M68" s="125" t="s">
        <v>133</v>
      </c>
      <c r="N68" s="134">
        <f t="shared" si="1"/>
        <v>2</v>
      </c>
      <c r="O68" s="127"/>
      <c r="P68" s="193" t="str">
        <f>IF(M68="N",'잠재위험 및 대응책 DB'!A49,"-")</f>
        <v>-</v>
      </c>
      <c r="Q68" s="193" t="str">
        <f>IF(W68="통제 적용",'잠재위험 및 대응책 DB'!B51,"-")</f>
        <v>-</v>
      </c>
      <c r="R68" s="93"/>
      <c r="S68" s="135" t="str">
        <f t="shared" si="2"/>
        <v>중</v>
      </c>
      <c r="T68" s="135">
        <f t="shared" si="3"/>
        <v>2</v>
      </c>
      <c r="U68" s="135" t="str">
        <f t="shared" si="4"/>
        <v>-</v>
      </c>
      <c r="V68" s="135" t="str">
        <f t="shared" si="5"/>
        <v>-</v>
      </c>
      <c r="W68" s="135" t="str">
        <f t="shared" si="6"/>
        <v>-</v>
      </c>
      <c r="X68" s="135" t="str">
        <f t="shared" si="7"/>
        <v>-</v>
      </c>
      <c r="Y68" s="179"/>
      <c r="Z68" s="135" t="s">
        <v>324</v>
      </c>
      <c r="AA68" s="135" t="s">
        <v>324</v>
      </c>
      <c r="AB68" s="135" t="s">
        <v>324</v>
      </c>
      <c r="AC68" s="135">
        <f t="shared" si="8"/>
        <v>0</v>
      </c>
      <c r="AD68" s="135" t="s">
        <v>324</v>
      </c>
      <c r="AE68" s="135"/>
      <c r="AF68" s="135" t="s">
        <v>324</v>
      </c>
      <c r="AG68" s="252"/>
    </row>
    <row r="69" spans="2:33" ht="60" customHeight="1">
      <c r="B69" s="392"/>
      <c r="C69" s="393"/>
      <c r="D69" s="157" t="s">
        <v>107</v>
      </c>
      <c r="E69" s="381" t="str">
        <f>'요약 통계'!D54</f>
        <v>DNS 보안 버전 패치</v>
      </c>
      <c r="F69" s="382"/>
      <c r="G69" s="382"/>
      <c r="H69" s="382"/>
      <c r="I69" s="383"/>
      <c r="J69" s="168" t="str">
        <f>'요약 통계'!E54</f>
        <v>상</v>
      </c>
      <c r="K69" s="132">
        <f>IF(M69="N/A","-",'요약 통계'!F54)</f>
        <v>3</v>
      </c>
      <c r="L69" s="133" t="s">
        <v>220</v>
      </c>
      <c r="M69" s="125" t="s">
        <v>133</v>
      </c>
      <c r="N69" s="134">
        <f t="shared" si="1"/>
        <v>3</v>
      </c>
      <c r="O69" s="127"/>
      <c r="P69" s="193" t="str">
        <f>IF(M69="N",'잠재위험 및 대응책 DB'!A50,"-")</f>
        <v>-</v>
      </c>
      <c r="Q69" s="193" t="str">
        <f>IF(W69="통제 적용",'잠재위험 및 대응책 DB'!B52,"-")</f>
        <v>-</v>
      </c>
      <c r="R69" s="93"/>
      <c r="S69" s="135" t="str">
        <f t="shared" si="2"/>
        <v>상</v>
      </c>
      <c r="T69" s="135">
        <f t="shared" si="3"/>
        <v>3</v>
      </c>
      <c r="U69" s="135" t="str">
        <f t="shared" si="4"/>
        <v>-</v>
      </c>
      <c r="V69" s="135" t="str">
        <f t="shared" si="5"/>
        <v>-</v>
      </c>
      <c r="W69" s="135" t="str">
        <f t="shared" si="6"/>
        <v>-</v>
      </c>
      <c r="X69" s="135" t="str">
        <f t="shared" si="7"/>
        <v>-</v>
      </c>
      <c r="Y69" s="179"/>
      <c r="Z69" s="135" t="s">
        <v>324</v>
      </c>
      <c r="AA69" s="135" t="s">
        <v>324</v>
      </c>
      <c r="AB69" s="135" t="s">
        <v>324</v>
      </c>
      <c r="AC69" s="135">
        <f t="shared" si="8"/>
        <v>0</v>
      </c>
      <c r="AD69" s="135" t="s">
        <v>324</v>
      </c>
      <c r="AE69" s="135"/>
      <c r="AF69" s="135" t="s">
        <v>324</v>
      </c>
      <c r="AG69" s="252"/>
    </row>
    <row r="70" spans="2:33" ht="60" customHeight="1">
      <c r="B70" s="392"/>
      <c r="C70" s="393"/>
      <c r="D70" s="157" t="s">
        <v>108</v>
      </c>
      <c r="E70" s="381" t="str">
        <f>'요약 통계'!D55</f>
        <v>DNS Zone Transfer 설정</v>
      </c>
      <c r="F70" s="382"/>
      <c r="G70" s="382"/>
      <c r="H70" s="382"/>
      <c r="I70" s="383"/>
      <c r="J70" s="168" t="str">
        <f>'요약 통계'!E55</f>
        <v>상</v>
      </c>
      <c r="K70" s="132">
        <f>IF(M70="N/A","-",'요약 통계'!F55)</f>
        <v>3</v>
      </c>
      <c r="L70" s="133" t="s">
        <v>220</v>
      </c>
      <c r="M70" s="125" t="s">
        <v>133</v>
      </c>
      <c r="N70" s="134">
        <f t="shared" si="1"/>
        <v>3</v>
      </c>
      <c r="O70" s="127"/>
      <c r="P70" s="193" t="str">
        <f>IF(M70="N",'잠재위험 및 대응책 DB'!A51,"-")</f>
        <v>-</v>
      </c>
      <c r="Q70" s="193" t="str">
        <f>IF(W70="통제 적용",'잠재위험 및 대응책 DB'!B53,"-")</f>
        <v>-</v>
      </c>
      <c r="R70" s="93"/>
      <c r="S70" s="135" t="str">
        <f t="shared" si="2"/>
        <v>상</v>
      </c>
      <c r="T70" s="135">
        <f t="shared" si="3"/>
        <v>3</v>
      </c>
      <c r="U70" s="135" t="str">
        <f t="shared" si="4"/>
        <v>-</v>
      </c>
      <c r="V70" s="135" t="str">
        <f t="shared" si="5"/>
        <v>-</v>
      </c>
      <c r="W70" s="135" t="str">
        <f t="shared" si="6"/>
        <v>-</v>
      </c>
      <c r="X70" s="135" t="str">
        <f t="shared" si="7"/>
        <v>-</v>
      </c>
      <c r="Y70" s="179"/>
      <c r="Z70" s="135" t="s">
        <v>324</v>
      </c>
      <c r="AA70" s="135" t="s">
        <v>324</v>
      </c>
      <c r="AB70" s="135" t="s">
        <v>324</v>
      </c>
      <c r="AC70" s="135">
        <f t="shared" si="8"/>
        <v>0</v>
      </c>
      <c r="AD70" s="135" t="s">
        <v>324</v>
      </c>
      <c r="AE70" s="135"/>
      <c r="AF70" s="135" t="s">
        <v>324</v>
      </c>
      <c r="AG70" s="252"/>
    </row>
    <row r="71" spans="2:33" ht="60" customHeight="1">
      <c r="B71" s="392"/>
      <c r="C71" s="393"/>
      <c r="D71" s="157" t="s">
        <v>109</v>
      </c>
      <c r="E71" s="381" t="str">
        <f>'요약 통계'!D56</f>
        <v>DNS 서비스의 취약한 동적 업데이트 설정 금지</v>
      </c>
      <c r="F71" s="382"/>
      <c r="G71" s="382"/>
      <c r="H71" s="382"/>
      <c r="I71" s="383"/>
      <c r="J71" s="168" t="str">
        <f>'요약 통계'!E56</f>
        <v>중</v>
      </c>
      <c r="K71" s="132">
        <f>IF(M71="N/A","-",'요약 통계'!F56)</f>
        <v>2</v>
      </c>
      <c r="L71" s="133" t="s">
        <v>223</v>
      </c>
      <c r="M71" s="125" t="s">
        <v>133</v>
      </c>
      <c r="N71" s="134">
        <f t="shared" si="1"/>
        <v>2</v>
      </c>
      <c r="O71" s="127"/>
      <c r="P71" s="193" t="str">
        <f>IF(M71="N",'잠재위험 및 대응책 DB'!A52,"-")</f>
        <v>-</v>
      </c>
      <c r="Q71" s="193" t="str">
        <f>IF(W71="통제 적용",'잠재위험 및 대응책 DB'!B54,"-")</f>
        <v>-</v>
      </c>
      <c r="R71" s="93"/>
      <c r="S71" s="135" t="str">
        <f t="shared" si="2"/>
        <v>중</v>
      </c>
      <c r="T71" s="135">
        <f t="shared" si="3"/>
        <v>2</v>
      </c>
      <c r="U71" s="135" t="str">
        <f t="shared" si="4"/>
        <v>-</v>
      </c>
      <c r="V71" s="135" t="str">
        <f t="shared" si="5"/>
        <v>-</v>
      </c>
      <c r="W71" s="135" t="str">
        <f t="shared" si="6"/>
        <v>-</v>
      </c>
      <c r="X71" s="135" t="str">
        <f t="shared" si="7"/>
        <v>-</v>
      </c>
      <c r="Y71" s="179"/>
      <c r="Z71" s="135" t="s">
        <v>324</v>
      </c>
      <c r="AA71" s="135" t="s">
        <v>324</v>
      </c>
      <c r="AB71" s="135" t="s">
        <v>324</v>
      </c>
      <c r="AC71" s="135">
        <f t="shared" si="8"/>
        <v>0</v>
      </c>
      <c r="AD71" s="135" t="s">
        <v>324</v>
      </c>
      <c r="AE71" s="135"/>
      <c r="AF71" s="135" t="s">
        <v>324</v>
      </c>
      <c r="AG71" s="252"/>
    </row>
    <row r="72" spans="2:33" ht="60" customHeight="1">
      <c r="B72" s="392"/>
      <c r="C72" s="393"/>
      <c r="D72" s="157" t="s">
        <v>110</v>
      </c>
      <c r="E72" s="381" t="str">
        <f>'요약 통계'!D57</f>
        <v>Telnet 서비스 비활성화</v>
      </c>
      <c r="F72" s="382"/>
      <c r="G72" s="382"/>
      <c r="H72" s="382"/>
      <c r="I72" s="383"/>
      <c r="J72" s="168" t="str">
        <f>'요약 통계'!E57</f>
        <v>중</v>
      </c>
      <c r="K72" s="132">
        <f>IF(M72="N/A","-",'요약 통계'!F57)</f>
        <v>2</v>
      </c>
      <c r="L72" s="133" t="s">
        <v>220</v>
      </c>
      <c r="M72" s="125" t="s">
        <v>133</v>
      </c>
      <c r="N72" s="134">
        <f t="shared" si="1"/>
        <v>2</v>
      </c>
      <c r="O72" s="127"/>
      <c r="P72" s="193" t="str">
        <f>IF(M72="N",'잠재위험 및 대응책 DB'!A53,"-")</f>
        <v>-</v>
      </c>
      <c r="Q72" s="193" t="str">
        <f>IF(W72="통제 적용",'잠재위험 및 대응책 DB'!B55,"-")</f>
        <v>-</v>
      </c>
      <c r="R72" s="93"/>
      <c r="S72" s="135" t="str">
        <f t="shared" si="2"/>
        <v>중</v>
      </c>
      <c r="T72" s="135">
        <f t="shared" si="3"/>
        <v>2</v>
      </c>
      <c r="U72" s="135" t="str">
        <f t="shared" si="4"/>
        <v>-</v>
      </c>
      <c r="V72" s="135" t="str">
        <f t="shared" si="5"/>
        <v>-</v>
      </c>
      <c r="W72" s="135" t="str">
        <f t="shared" si="6"/>
        <v>-</v>
      </c>
      <c r="X72" s="135" t="str">
        <f t="shared" si="7"/>
        <v>-</v>
      </c>
      <c r="Y72" s="179"/>
      <c r="Z72" s="135" t="s">
        <v>324</v>
      </c>
      <c r="AA72" s="135" t="s">
        <v>324</v>
      </c>
      <c r="AB72" s="135" t="s">
        <v>324</v>
      </c>
      <c r="AC72" s="135">
        <f t="shared" si="8"/>
        <v>0</v>
      </c>
      <c r="AD72" s="135" t="s">
        <v>324</v>
      </c>
      <c r="AE72" s="135"/>
      <c r="AF72" s="135" t="s">
        <v>324</v>
      </c>
      <c r="AG72" s="252"/>
    </row>
    <row r="73" spans="2:33" ht="60" customHeight="1">
      <c r="B73" s="392"/>
      <c r="C73" s="393"/>
      <c r="D73" s="157" t="s">
        <v>111</v>
      </c>
      <c r="E73" s="381" t="str">
        <f>'요약 통계'!D58</f>
        <v>FTP 서비스 정보 노출 제한</v>
      </c>
      <c r="F73" s="382"/>
      <c r="G73" s="382"/>
      <c r="H73" s="382"/>
      <c r="I73" s="383"/>
      <c r="J73" s="168" t="str">
        <f>'요약 통계'!E58</f>
        <v>하</v>
      </c>
      <c r="K73" s="132">
        <f>IF(M73="N/A","-",'요약 통계'!F58)</f>
        <v>1</v>
      </c>
      <c r="L73" s="133" t="s">
        <v>220</v>
      </c>
      <c r="M73" s="125" t="s">
        <v>133</v>
      </c>
      <c r="N73" s="134">
        <f t="shared" si="1"/>
        <v>1</v>
      </c>
      <c r="O73" s="127"/>
      <c r="P73" s="193" t="str">
        <f>IF(M73="N",'잠재위험 및 대응책 DB'!A54,"-")</f>
        <v>-</v>
      </c>
      <c r="Q73" s="193" t="str">
        <f>IF(W73="통제 적용",'잠재위험 및 대응책 DB'!B56,"-")</f>
        <v>-</v>
      </c>
      <c r="R73" s="93"/>
      <c r="S73" s="135" t="str">
        <f t="shared" si="2"/>
        <v>하</v>
      </c>
      <c r="T73" s="135">
        <f t="shared" si="3"/>
        <v>1</v>
      </c>
      <c r="U73" s="135" t="str">
        <f t="shared" si="4"/>
        <v>-</v>
      </c>
      <c r="V73" s="135" t="str">
        <f t="shared" si="5"/>
        <v>-</v>
      </c>
      <c r="W73" s="135" t="str">
        <f t="shared" si="6"/>
        <v>-</v>
      </c>
      <c r="X73" s="135" t="str">
        <f t="shared" si="7"/>
        <v>-</v>
      </c>
      <c r="Y73" s="179"/>
      <c r="Z73" s="135" t="s">
        <v>324</v>
      </c>
      <c r="AA73" s="135" t="s">
        <v>324</v>
      </c>
      <c r="AB73" s="135" t="s">
        <v>324</v>
      </c>
      <c r="AC73" s="135">
        <f t="shared" si="8"/>
        <v>0</v>
      </c>
      <c r="AD73" s="135" t="s">
        <v>324</v>
      </c>
      <c r="AE73" s="135"/>
      <c r="AF73" s="135" t="s">
        <v>324</v>
      </c>
      <c r="AG73" s="252"/>
    </row>
    <row r="74" spans="2:33" ht="60" customHeight="1">
      <c r="B74" s="392"/>
      <c r="C74" s="393"/>
      <c r="D74" s="157" t="s">
        <v>112</v>
      </c>
      <c r="E74" s="381" t="str">
        <f>'요약 통계'!D59</f>
        <v>암호화되지 않는 FTP 서비스 비활성화</v>
      </c>
      <c r="F74" s="382"/>
      <c r="G74" s="382"/>
      <c r="H74" s="382"/>
      <c r="I74" s="383"/>
      <c r="J74" s="168" t="str">
        <f>'요약 통계'!E59</f>
        <v>중</v>
      </c>
      <c r="K74" s="132">
        <f>IF(M74="N/A","-",'요약 통계'!F59)</f>
        <v>2</v>
      </c>
      <c r="L74" s="133" t="s">
        <v>220</v>
      </c>
      <c r="M74" s="125" t="s">
        <v>133</v>
      </c>
      <c r="N74" s="134">
        <f t="shared" si="1"/>
        <v>2</v>
      </c>
      <c r="O74" s="127"/>
      <c r="P74" s="193" t="str">
        <f>IF(M74="N",'잠재위험 및 대응책 DB'!A55,"-")</f>
        <v>-</v>
      </c>
      <c r="Q74" s="193" t="str">
        <f>IF(W74="통제 적용",'잠재위험 및 대응책 DB'!B57,"-")</f>
        <v>-</v>
      </c>
      <c r="R74" s="93"/>
      <c r="S74" s="135" t="str">
        <f t="shared" si="2"/>
        <v>중</v>
      </c>
      <c r="T74" s="135">
        <f t="shared" si="3"/>
        <v>2</v>
      </c>
      <c r="U74" s="135" t="str">
        <f t="shared" si="4"/>
        <v>-</v>
      </c>
      <c r="V74" s="135" t="str">
        <f t="shared" si="5"/>
        <v>-</v>
      </c>
      <c r="W74" s="135" t="str">
        <f t="shared" si="6"/>
        <v>-</v>
      </c>
      <c r="X74" s="135" t="str">
        <f t="shared" si="7"/>
        <v>-</v>
      </c>
      <c r="Y74" s="179"/>
      <c r="Z74" s="135" t="s">
        <v>324</v>
      </c>
      <c r="AA74" s="135" t="s">
        <v>324</v>
      </c>
      <c r="AB74" s="135" t="s">
        <v>324</v>
      </c>
      <c r="AC74" s="135">
        <f t="shared" si="8"/>
        <v>0</v>
      </c>
      <c r="AD74" s="135" t="s">
        <v>324</v>
      </c>
      <c r="AE74" s="135"/>
      <c r="AF74" s="135" t="s">
        <v>324</v>
      </c>
      <c r="AG74" s="252"/>
    </row>
    <row r="75" spans="2:33" ht="60" customHeight="1">
      <c r="B75" s="392"/>
      <c r="C75" s="393"/>
      <c r="D75" s="157" t="s">
        <v>341</v>
      </c>
      <c r="E75" s="381" t="str">
        <f>'요약 통계'!D60</f>
        <v>FTP 계정 shell 제한</v>
      </c>
      <c r="F75" s="382"/>
      <c r="G75" s="382"/>
      <c r="H75" s="382"/>
      <c r="I75" s="383"/>
      <c r="J75" s="168" t="str">
        <f>'요약 통계'!E60</f>
        <v>중</v>
      </c>
      <c r="K75" s="132">
        <f>IF(M75="N/A","-",'요약 통계'!F60)</f>
        <v>2</v>
      </c>
      <c r="L75" s="133" t="s">
        <v>220</v>
      </c>
      <c r="M75" s="125" t="s">
        <v>133</v>
      </c>
      <c r="N75" s="134">
        <f t="shared" si="1"/>
        <v>2</v>
      </c>
      <c r="O75" s="127"/>
      <c r="P75" s="193" t="str">
        <f>IF(M75="N",'잠재위험 및 대응책 DB'!A56,"-")</f>
        <v>-</v>
      </c>
      <c r="Q75" s="193" t="str">
        <f>IF(W75="통제 적용",'잠재위험 및 대응책 DB'!B58,"-")</f>
        <v>-</v>
      </c>
      <c r="R75" s="93"/>
      <c r="S75" s="135" t="str">
        <f t="shared" si="2"/>
        <v>중</v>
      </c>
      <c r="T75" s="135">
        <f t="shared" si="3"/>
        <v>2</v>
      </c>
      <c r="U75" s="135" t="str">
        <f t="shared" si="4"/>
        <v>-</v>
      </c>
      <c r="V75" s="135" t="str">
        <f t="shared" si="5"/>
        <v>-</v>
      </c>
      <c r="W75" s="135" t="str">
        <f t="shared" si="6"/>
        <v>-</v>
      </c>
      <c r="X75" s="135" t="str">
        <f t="shared" si="7"/>
        <v>-</v>
      </c>
      <c r="Y75" s="179"/>
      <c r="Z75" s="135" t="s">
        <v>324</v>
      </c>
      <c r="AA75" s="135" t="s">
        <v>324</v>
      </c>
      <c r="AB75" s="135" t="s">
        <v>324</v>
      </c>
      <c r="AC75" s="135">
        <f t="shared" si="8"/>
        <v>0</v>
      </c>
      <c r="AD75" s="135" t="s">
        <v>324</v>
      </c>
      <c r="AE75" s="135"/>
      <c r="AF75" s="135" t="s">
        <v>324</v>
      </c>
      <c r="AG75" s="252"/>
    </row>
    <row r="76" spans="2:33" ht="60" customHeight="1">
      <c r="B76" s="392"/>
      <c r="C76" s="393"/>
      <c r="D76" s="157" t="s">
        <v>113</v>
      </c>
      <c r="E76" s="381" t="str">
        <f>'요약 통계'!D61</f>
        <v>FTP 서비스 접근 제어 설정</v>
      </c>
      <c r="F76" s="382"/>
      <c r="G76" s="382"/>
      <c r="H76" s="382"/>
      <c r="I76" s="383"/>
      <c r="J76" s="168" t="str">
        <f>'요약 통계'!E61</f>
        <v>하</v>
      </c>
      <c r="K76" s="132">
        <f>IF(M76="N/A","-",'요약 통계'!F61)</f>
        <v>1</v>
      </c>
      <c r="L76" s="133" t="s">
        <v>220</v>
      </c>
      <c r="M76" s="125" t="s">
        <v>133</v>
      </c>
      <c r="N76" s="134">
        <f t="shared" si="1"/>
        <v>1</v>
      </c>
      <c r="O76" s="127"/>
      <c r="P76" s="193" t="str">
        <f>IF(M76="N",'잠재위험 및 대응책 DB'!A57,"-")</f>
        <v>-</v>
      </c>
      <c r="Q76" s="193" t="str">
        <f>IF(W76="통제 적용",'잠재위험 및 대응책 DB'!B59,"-")</f>
        <v>-</v>
      </c>
      <c r="R76" s="93"/>
      <c r="S76" s="135" t="str">
        <f t="shared" si="2"/>
        <v>하</v>
      </c>
      <c r="T76" s="135">
        <f t="shared" si="3"/>
        <v>1</v>
      </c>
      <c r="U76" s="135" t="str">
        <f t="shared" si="4"/>
        <v>-</v>
      </c>
      <c r="V76" s="135" t="str">
        <f t="shared" si="5"/>
        <v>-</v>
      </c>
      <c r="W76" s="135" t="str">
        <f t="shared" si="6"/>
        <v>-</v>
      </c>
      <c r="X76" s="135" t="str">
        <f t="shared" si="7"/>
        <v>-</v>
      </c>
      <c r="Y76" s="179"/>
      <c r="Z76" s="135" t="s">
        <v>324</v>
      </c>
      <c r="AA76" s="135" t="s">
        <v>324</v>
      </c>
      <c r="AB76" s="135" t="s">
        <v>324</v>
      </c>
      <c r="AC76" s="135">
        <f t="shared" si="8"/>
        <v>0</v>
      </c>
      <c r="AD76" s="135" t="s">
        <v>324</v>
      </c>
      <c r="AE76" s="135"/>
      <c r="AF76" s="135" t="s">
        <v>324</v>
      </c>
      <c r="AG76" s="252"/>
    </row>
    <row r="77" spans="2:33" ht="60" customHeight="1">
      <c r="B77" s="392"/>
      <c r="C77" s="393"/>
      <c r="D77" s="157" t="s">
        <v>114</v>
      </c>
      <c r="E77" s="381" t="str">
        <f>'요약 통계'!D62</f>
        <v>Ftpusers 파일 설정</v>
      </c>
      <c r="F77" s="382"/>
      <c r="G77" s="382"/>
      <c r="H77" s="382"/>
      <c r="I77" s="383"/>
      <c r="J77" s="168" t="str">
        <f>'요약 통계'!E62</f>
        <v>중</v>
      </c>
      <c r="K77" s="132">
        <f>IF(M77="N/A","-",'요약 통계'!F62)</f>
        <v>2</v>
      </c>
      <c r="L77" s="133" t="s">
        <v>222</v>
      </c>
      <c r="M77" s="125" t="s">
        <v>133</v>
      </c>
      <c r="N77" s="134">
        <f t="shared" si="1"/>
        <v>2</v>
      </c>
      <c r="O77" s="127"/>
      <c r="P77" s="193" t="str">
        <f>IF(M77="N",'잠재위험 및 대응책 DB'!A58,"-")</f>
        <v>-</v>
      </c>
      <c r="Q77" s="193" t="str">
        <f>IF(W77="통제 적용",'잠재위험 및 대응책 DB'!B60,"-")</f>
        <v>-</v>
      </c>
      <c r="R77" s="93"/>
      <c r="S77" s="135" t="str">
        <f t="shared" si="2"/>
        <v>중</v>
      </c>
      <c r="T77" s="135">
        <f t="shared" si="3"/>
        <v>2</v>
      </c>
      <c r="U77" s="135" t="str">
        <f t="shared" si="4"/>
        <v>-</v>
      </c>
      <c r="V77" s="135" t="str">
        <f t="shared" si="5"/>
        <v>-</v>
      </c>
      <c r="W77" s="135" t="str">
        <f t="shared" si="6"/>
        <v>-</v>
      </c>
      <c r="X77" s="135" t="str">
        <f t="shared" si="7"/>
        <v>-</v>
      </c>
      <c r="Y77" s="179"/>
      <c r="Z77" s="135" t="s">
        <v>324</v>
      </c>
      <c r="AA77" s="135" t="s">
        <v>324</v>
      </c>
      <c r="AB77" s="135" t="s">
        <v>324</v>
      </c>
      <c r="AC77" s="135">
        <f t="shared" si="8"/>
        <v>0</v>
      </c>
      <c r="AD77" s="135" t="s">
        <v>324</v>
      </c>
      <c r="AE77" s="135"/>
      <c r="AF77" s="135" t="s">
        <v>324</v>
      </c>
      <c r="AG77" s="252"/>
    </row>
    <row r="78" spans="2:33" ht="60" customHeight="1">
      <c r="B78" s="392"/>
      <c r="C78" s="393"/>
      <c r="D78" s="157" t="s">
        <v>115</v>
      </c>
      <c r="E78" s="381" t="str">
        <f>'요약 통계'!D63</f>
        <v>불필요한 SNMP 서비스 구동 점검</v>
      </c>
      <c r="F78" s="382"/>
      <c r="G78" s="382"/>
      <c r="H78" s="382"/>
      <c r="I78" s="383"/>
      <c r="J78" s="168" t="str">
        <f>'요약 통계'!E63</f>
        <v>중</v>
      </c>
      <c r="K78" s="132">
        <f>IF(M78="N/A","-",'요약 통계'!F63)</f>
        <v>2</v>
      </c>
      <c r="L78" s="133" t="s">
        <v>225</v>
      </c>
      <c r="M78" s="125" t="s">
        <v>133</v>
      </c>
      <c r="N78" s="134">
        <f t="shared" si="1"/>
        <v>2</v>
      </c>
      <c r="O78" s="127"/>
      <c r="P78" s="193" t="str">
        <f>IF(M78="N",'잠재위험 및 대응책 DB'!A59,"-")</f>
        <v>-</v>
      </c>
      <c r="Q78" s="193" t="str">
        <f>IF(W78="통제 적용",'잠재위험 및 대응책 DB'!B61,"-")</f>
        <v>-</v>
      </c>
      <c r="R78" s="93"/>
      <c r="S78" s="135" t="str">
        <f t="shared" si="2"/>
        <v>중</v>
      </c>
      <c r="T78" s="135">
        <f t="shared" si="3"/>
        <v>2</v>
      </c>
      <c r="U78" s="135" t="str">
        <f t="shared" si="4"/>
        <v>-</v>
      </c>
      <c r="V78" s="135" t="str">
        <f t="shared" si="5"/>
        <v>-</v>
      </c>
      <c r="W78" s="135" t="str">
        <f t="shared" si="6"/>
        <v>-</v>
      </c>
      <c r="X78" s="135" t="str">
        <f t="shared" si="7"/>
        <v>-</v>
      </c>
      <c r="Y78" s="179"/>
      <c r="Z78" s="135" t="s">
        <v>324</v>
      </c>
      <c r="AA78" s="135" t="s">
        <v>324</v>
      </c>
      <c r="AB78" s="135" t="s">
        <v>324</v>
      </c>
      <c r="AC78" s="135">
        <f t="shared" si="8"/>
        <v>0</v>
      </c>
      <c r="AD78" s="135" t="s">
        <v>324</v>
      </c>
      <c r="AE78" s="135"/>
      <c r="AF78" s="135" t="s">
        <v>324</v>
      </c>
      <c r="AG78" s="252"/>
    </row>
    <row r="79" spans="2:33" ht="60" customHeight="1">
      <c r="B79" s="392"/>
      <c r="C79" s="393"/>
      <c r="D79" s="157" t="s">
        <v>116</v>
      </c>
      <c r="E79" s="381" t="str">
        <f>'요약 통계'!D64</f>
        <v>안전한 SNMP 버전 사용</v>
      </c>
      <c r="F79" s="382"/>
      <c r="G79" s="382"/>
      <c r="H79" s="382"/>
      <c r="I79" s="383"/>
      <c r="J79" s="168" t="str">
        <f>'요약 통계'!E64</f>
        <v>상</v>
      </c>
      <c r="K79" s="132">
        <f>IF(M79="N/A","-",'요약 통계'!F64)</f>
        <v>3</v>
      </c>
      <c r="L79" s="133" t="s">
        <v>222</v>
      </c>
      <c r="M79" s="125" t="s">
        <v>133</v>
      </c>
      <c r="N79" s="134">
        <f t="shared" si="1"/>
        <v>3</v>
      </c>
      <c r="O79" s="127"/>
      <c r="P79" s="193" t="str">
        <f>IF(M79="N",'잠재위험 및 대응책 DB'!A60,"-")</f>
        <v>-</v>
      </c>
      <c r="Q79" s="193" t="str">
        <f>IF(W79="통제 적용",'잠재위험 및 대응책 DB'!B62,"-")</f>
        <v>-</v>
      </c>
      <c r="R79" s="93"/>
      <c r="S79" s="135" t="str">
        <f t="shared" si="2"/>
        <v>상</v>
      </c>
      <c r="T79" s="135">
        <f t="shared" si="3"/>
        <v>3</v>
      </c>
      <c r="U79" s="135" t="str">
        <f t="shared" si="4"/>
        <v>-</v>
      </c>
      <c r="V79" s="135" t="str">
        <f t="shared" si="5"/>
        <v>-</v>
      </c>
      <c r="W79" s="135" t="str">
        <f t="shared" si="6"/>
        <v>-</v>
      </c>
      <c r="X79" s="135" t="str">
        <f t="shared" si="7"/>
        <v>-</v>
      </c>
      <c r="Y79" s="179"/>
      <c r="Z79" s="135" t="s">
        <v>324</v>
      </c>
      <c r="AA79" s="135" t="s">
        <v>324</v>
      </c>
      <c r="AB79" s="135" t="s">
        <v>324</v>
      </c>
      <c r="AC79" s="135">
        <f t="shared" si="8"/>
        <v>0</v>
      </c>
      <c r="AD79" s="135" t="s">
        <v>324</v>
      </c>
      <c r="AE79" s="135"/>
      <c r="AF79" s="135" t="s">
        <v>324</v>
      </c>
      <c r="AG79" s="252"/>
    </row>
    <row r="80" spans="2:33" ht="60" customHeight="1">
      <c r="B80" s="392"/>
      <c r="C80" s="393"/>
      <c r="D80" s="157" t="s">
        <v>342</v>
      </c>
      <c r="E80" s="381" t="str">
        <f>'요약 통계'!D65</f>
        <v>SNMP Community String 복잡성 설정</v>
      </c>
      <c r="F80" s="382"/>
      <c r="G80" s="382"/>
      <c r="H80" s="382"/>
      <c r="I80" s="383"/>
      <c r="J80" s="168" t="str">
        <f>'요약 통계'!E65</f>
        <v>중</v>
      </c>
      <c r="K80" s="132">
        <f>IF(M80="N/A","-",'요약 통계'!F65)</f>
        <v>2</v>
      </c>
      <c r="L80" s="133" t="s">
        <v>220</v>
      </c>
      <c r="M80" s="125" t="s">
        <v>133</v>
      </c>
      <c r="N80" s="134">
        <f t="shared" si="1"/>
        <v>2</v>
      </c>
      <c r="O80" s="127"/>
      <c r="P80" s="193" t="str">
        <f>IF(M80="N",'잠재위험 및 대응책 DB'!A61,"-")</f>
        <v>-</v>
      </c>
      <c r="Q80" s="193" t="str">
        <f>IF(W80="통제 적용",'잠재위험 및 대응책 DB'!B63,"-")</f>
        <v>-</v>
      </c>
      <c r="R80" s="93"/>
      <c r="S80" s="135" t="str">
        <f t="shared" si="2"/>
        <v>중</v>
      </c>
      <c r="T80" s="135">
        <f t="shared" si="3"/>
        <v>2</v>
      </c>
      <c r="U80" s="135" t="str">
        <f t="shared" si="4"/>
        <v>-</v>
      </c>
      <c r="V80" s="135" t="str">
        <f t="shared" si="5"/>
        <v>-</v>
      </c>
      <c r="W80" s="135" t="str">
        <f t="shared" si="6"/>
        <v>-</v>
      </c>
      <c r="X80" s="135" t="str">
        <f t="shared" si="7"/>
        <v>-</v>
      </c>
      <c r="Y80" s="179"/>
      <c r="Z80" s="135" t="s">
        <v>324</v>
      </c>
      <c r="AA80" s="135" t="s">
        <v>324</v>
      </c>
      <c r="AB80" s="135" t="s">
        <v>324</v>
      </c>
      <c r="AC80" s="135">
        <f t="shared" si="8"/>
        <v>0</v>
      </c>
      <c r="AD80" s="135" t="s">
        <v>324</v>
      </c>
      <c r="AE80" s="135"/>
      <c r="AF80" s="135" t="s">
        <v>324</v>
      </c>
      <c r="AG80" s="252"/>
    </row>
    <row r="81" spans="2:33" ht="60" customHeight="1">
      <c r="B81" s="392"/>
      <c r="C81" s="393"/>
      <c r="D81" s="157" t="s">
        <v>117</v>
      </c>
      <c r="E81" s="384" t="str">
        <f>'요약 통계'!D66</f>
        <v>SNMP Access Control 설정</v>
      </c>
      <c r="F81" s="385"/>
      <c r="G81" s="385"/>
      <c r="H81" s="385"/>
      <c r="I81" s="386"/>
      <c r="J81" s="168" t="str">
        <f>'요약 통계'!E66</f>
        <v>상</v>
      </c>
      <c r="K81" s="132">
        <f>IF(M81="N/A","-",'요약 통계'!F66)</f>
        <v>3</v>
      </c>
      <c r="L81" s="133" t="s">
        <v>220</v>
      </c>
      <c r="M81" s="125" t="s">
        <v>133</v>
      </c>
      <c r="N81" s="134">
        <f t="shared" si="1"/>
        <v>3</v>
      </c>
      <c r="O81" s="127"/>
      <c r="P81" s="193" t="str">
        <f>IF(M81="N",'잠재위험 및 대응책 DB'!A62,"-")</f>
        <v>-</v>
      </c>
      <c r="Q81" s="193" t="str">
        <f>IF(W81="통제 적용",'잠재위험 및 대응책 DB'!B64,"-")</f>
        <v>-</v>
      </c>
      <c r="R81" s="93"/>
      <c r="S81" s="135" t="str">
        <f t="shared" si="2"/>
        <v>상</v>
      </c>
      <c r="T81" s="135">
        <f t="shared" si="3"/>
        <v>3</v>
      </c>
      <c r="U81" s="135" t="str">
        <f t="shared" si="4"/>
        <v>-</v>
      </c>
      <c r="V81" s="135" t="str">
        <f t="shared" si="5"/>
        <v>-</v>
      </c>
      <c r="W81" s="135" t="str">
        <f t="shared" si="6"/>
        <v>-</v>
      </c>
      <c r="X81" s="135" t="str">
        <f t="shared" si="7"/>
        <v>-</v>
      </c>
      <c r="Y81" s="179"/>
      <c r="Z81" s="135" t="s">
        <v>324</v>
      </c>
      <c r="AA81" s="135" t="s">
        <v>324</v>
      </c>
      <c r="AB81" s="135" t="s">
        <v>324</v>
      </c>
      <c r="AC81" s="135">
        <f t="shared" si="8"/>
        <v>0</v>
      </c>
      <c r="AD81" s="135" t="s">
        <v>324</v>
      </c>
      <c r="AE81" s="135"/>
      <c r="AF81" s="135" t="s">
        <v>324</v>
      </c>
      <c r="AG81" s="252"/>
    </row>
    <row r="82" spans="2:33" ht="60" customHeight="1">
      <c r="B82" s="331"/>
      <c r="C82" s="331"/>
      <c r="D82" s="157" t="s">
        <v>118</v>
      </c>
      <c r="E82" s="370" t="str">
        <f>'요약 통계'!D67</f>
        <v>로그온 시 경고 메시지 제공</v>
      </c>
      <c r="F82" s="370"/>
      <c r="G82" s="370"/>
      <c r="H82" s="370"/>
      <c r="I82" s="370"/>
      <c r="J82" s="168" t="str">
        <f>'요약 통계'!E67</f>
        <v>하</v>
      </c>
      <c r="K82" s="132">
        <f>IF(M82="N/A","-",'요약 통계'!F67)</f>
        <v>1</v>
      </c>
      <c r="L82" s="133" t="s">
        <v>223</v>
      </c>
      <c r="M82" s="125" t="s">
        <v>133</v>
      </c>
      <c r="N82" s="134">
        <f t="shared" si="1"/>
        <v>1</v>
      </c>
      <c r="O82" s="127"/>
      <c r="P82" s="193" t="str">
        <f>IF(M82="N",'잠재위험 및 대응책 DB'!A63,"-")</f>
        <v>-</v>
      </c>
      <c r="Q82" s="193" t="str">
        <f>IF(W82="통제 적용",'잠재위험 및 대응책 DB'!B65,"-")</f>
        <v>-</v>
      </c>
      <c r="R82" s="93"/>
      <c r="S82" s="135" t="str">
        <f t="shared" si="2"/>
        <v>하</v>
      </c>
      <c r="T82" s="135">
        <f t="shared" si="3"/>
        <v>1</v>
      </c>
      <c r="U82" s="135" t="str">
        <f t="shared" si="4"/>
        <v>-</v>
      </c>
      <c r="V82" s="135" t="str">
        <f t="shared" si="5"/>
        <v>-</v>
      </c>
      <c r="W82" s="135" t="str">
        <f t="shared" si="6"/>
        <v>-</v>
      </c>
      <c r="X82" s="135" t="str">
        <f t="shared" si="7"/>
        <v>-</v>
      </c>
      <c r="Y82" s="179"/>
      <c r="Z82" s="135" t="s">
        <v>324</v>
      </c>
      <c r="AA82" s="135" t="s">
        <v>324</v>
      </c>
      <c r="AB82" s="135" t="s">
        <v>324</v>
      </c>
      <c r="AC82" s="135">
        <f t="shared" si="8"/>
        <v>0</v>
      </c>
      <c r="AD82" s="135" t="s">
        <v>324</v>
      </c>
      <c r="AE82" s="135"/>
      <c r="AF82" s="135" t="s">
        <v>324</v>
      </c>
      <c r="AG82" s="252"/>
    </row>
    <row r="83" spans="2:33" ht="60" customHeight="1" thickBot="1">
      <c r="B83" s="407"/>
      <c r="C83" s="408"/>
      <c r="D83" s="149" t="s">
        <v>119</v>
      </c>
      <c r="E83" s="396" t="str">
        <f>'요약 통계'!D68</f>
        <v>sudo 명령어 접근 관리</v>
      </c>
      <c r="F83" s="397"/>
      <c r="G83" s="397"/>
      <c r="H83" s="397"/>
      <c r="I83" s="398"/>
      <c r="J83" s="150" t="str">
        <f>'요약 통계'!E68</f>
        <v>중</v>
      </c>
      <c r="K83" s="150">
        <f>IF(M83="N/A","-",'요약 통계'!F68)</f>
        <v>2</v>
      </c>
      <c r="L83" s="151" t="s">
        <v>225</v>
      </c>
      <c r="M83" s="152" t="s">
        <v>133</v>
      </c>
      <c r="N83" s="153">
        <f t="shared" si="1"/>
        <v>2</v>
      </c>
      <c r="O83" s="154"/>
      <c r="P83" s="155" t="str">
        <f>IF(M83="N",'잠재위험 및 대응책 DB'!A64,"-")</f>
        <v>-</v>
      </c>
      <c r="Q83" s="155" t="str">
        <f>IF(W83="통제 적용",'잠재위험 및 대응책 DB'!B66,"-")</f>
        <v>-</v>
      </c>
      <c r="R83" s="93"/>
      <c r="S83" s="135" t="str">
        <f t="shared" si="2"/>
        <v>중</v>
      </c>
      <c r="T83" s="135">
        <f t="shared" si="3"/>
        <v>2</v>
      </c>
      <c r="U83" s="135" t="str">
        <f t="shared" si="4"/>
        <v>-</v>
      </c>
      <c r="V83" s="135" t="str">
        <f t="shared" si="5"/>
        <v>-</v>
      </c>
      <c r="W83" s="135" t="str">
        <f t="shared" si="6"/>
        <v>-</v>
      </c>
      <c r="X83" s="135" t="str">
        <f t="shared" si="7"/>
        <v>-</v>
      </c>
      <c r="Y83" s="179"/>
      <c r="Z83" s="135" t="s">
        <v>324</v>
      </c>
      <c r="AA83" s="135" t="s">
        <v>324</v>
      </c>
      <c r="AB83" s="135" t="s">
        <v>324</v>
      </c>
      <c r="AC83" s="135">
        <f t="shared" si="8"/>
        <v>0</v>
      </c>
      <c r="AD83" s="135" t="s">
        <v>324</v>
      </c>
      <c r="AE83" s="135"/>
      <c r="AF83" s="135" t="s">
        <v>324</v>
      </c>
      <c r="AG83" s="252"/>
    </row>
    <row r="84" spans="2:33" ht="60" customHeight="1" thickBot="1">
      <c r="B84" s="406" t="str">
        <f>'요약 통계'!B69</f>
        <v>패치 관리</v>
      </c>
      <c r="C84" s="406"/>
      <c r="D84" s="170" t="s">
        <v>121</v>
      </c>
      <c r="E84" s="388" t="str">
        <f>'요약 통계'!D69</f>
        <v>주기적 보안 패치 및 벤더 권고사항 적용</v>
      </c>
      <c r="F84" s="388"/>
      <c r="G84" s="388"/>
      <c r="H84" s="388"/>
      <c r="I84" s="388"/>
      <c r="J84" s="251" t="str">
        <f>'요약 통계'!E69</f>
        <v>상</v>
      </c>
      <c r="K84" s="150">
        <f>IF(M84="N/A","-",'요약 통계'!F69)</f>
        <v>3</v>
      </c>
      <c r="L84" s="151" t="s">
        <v>224</v>
      </c>
      <c r="M84" s="194" t="s">
        <v>133</v>
      </c>
      <c r="N84" s="171">
        <f t="shared" ref="N84:N87" si="15">IF(M84="N",0,K84)</f>
        <v>3</v>
      </c>
      <c r="O84" s="172"/>
      <c r="P84" s="206" t="str">
        <f>IF(M84="N",'잠재위험 및 대응책 DB'!A65,"-")</f>
        <v>-</v>
      </c>
      <c r="Q84" s="206" t="str">
        <f>IF(W84="통제 적용",'잠재위험 및 대응책 DB'!B67,"-")</f>
        <v>-</v>
      </c>
      <c r="R84" s="93"/>
      <c r="S84" s="140" t="str">
        <f t="shared" ref="S84:S87" si="16">J84</f>
        <v>상</v>
      </c>
      <c r="T84" s="92">
        <f t="shared" ref="T84:T87" si="17">IF(S84="상",3,IF(S84="중",2,IF(S84="하",1,0)))</f>
        <v>3</v>
      </c>
      <c r="U84" s="92" t="str">
        <f t="shared" ref="U84:U87" si="18">IFERROR(IF(OR($M84="y",$M84="n/a"),"-",$G$10+(($K84-$N84)*2)),"-")</f>
        <v>-</v>
      </c>
      <c r="V84" s="92" t="str">
        <f>IF(U84="-","-",IF(U84&gt;=7,"상",IF(U84&gt;=4,"중",IF(U84&gt;=2,"하","하"))))</f>
        <v>-</v>
      </c>
      <c r="W84" s="92" t="str">
        <f t="shared" ref="W84:W87" si="19">IF(U84="-","-",IF(U84&gt;=$I$10,"통제 적용","위험 수용"))</f>
        <v>-</v>
      </c>
      <c r="X84" s="92" t="str">
        <f t="shared" ref="X84:X87" si="20">IF(W84="통제 적용",D84,"-")</f>
        <v>-</v>
      </c>
      <c r="Y84" s="179"/>
      <c r="Z84" s="140" t="s">
        <v>324</v>
      </c>
      <c r="AA84" s="140" t="s">
        <v>324</v>
      </c>
      <c r="AB84" s="140" t="s">
        <v>324</v>
      </c>
      <c r="AC84" s="140">
        <f t="shared" ref="AC84:AC87" si="21">SUM(Z84:AB84)</f>
        <v>0</v>
      </c>
      <c r="AD84" s="140" t="s">
        <v>324</v>
      </c>
      <c r="AE84" s="140"/>
      <c r="AF84" s="140" t="s">
        <v>324</v>
      </c>
      <c r="AG84" s="253"/>
    </row>
    <row r="85" spans="2:33" s="190" customFormat="1" ht="60" customHeight="1">
      <c r="B85" s="392" t="str">
        <f>'요약 통계'!B70</f>
        <v>로그 관리</v>
      </c>
      <c r="C85" s="393"/>
      <c r="D85" s="201" t="s">
        <v>122</v>
      </c>
      <c r="E85" s="403" t="s">
        <v>373</v>
      </c>
      <c r="F85" s="404"/>
      <c r="G85" s="404"/>
      <c r="H85" s="404"/>
      <c r="I85" s="405"/>
      <c r="J85" s="199" t="str">
        <f>'요약 통계'!E70</f>
        <v>중</v>
      </c>
      <c r="K85" s="168">
        <f>IF(M85="N/A","-",'요약 통계'!F70)</f>
        <v>2</v>
      </c>
      <c r="L85" s="169" t="s">
        <v>227</v>
      </c>
      <c r="M85" s="257" t="s">
        <v>133</v>
      </c>
      <c r="N85" s="258">
        <f t="shared" si="15"/>
        <v>2</v>
      </c>
      <c r="O85" s="192"/>
      <c r="P85" s="193" t="str">
        <f>IF(M85="N",'잠재위험 및 대응책 DB'!A66,"-")</f>
        <v>-</v>
      </c>
      <c r="Q85" s="193" t="str">
        <f>IF(W85="통제 적용",'잠재위험 및 대응책 DB'!B68,"-")</f>
        <v>-</v>
      </c>
      <c r="R85" s="93"/>
      <c r="S85" s="205" t="str">
        <f t="shared" si="16"/>
        <v>중</v>
      </c>
      <c r="T85" s="191">
        <f t="shared" ref="T85" si="22">IF(S85="상",3,IF(S85="중",2,IF(S85="하",1,0)))</f>
        <v>2</v>
      </c>
      <c r="U85" s="191" t="str">
        <f t="shared" si="18"/>
        <v>-</v>
      </c>
      <c r="V85" s="191" t="str">
        <f>IF(U85="-","-",IF(U85&gt;=7,"상",IF(U85&gt;=4,"중",IF(U85&gt;=2,"하","하"))))</f>
        <v>-</v>
      </c>
      <c r="W85" s="191" t="str">
        <f t="shared" ref="W85" si="23">IF(U85="-","-",IF(U85&gt;=$I$10,"통제 적용","위험 수용"))</f>
        <v>-</v>
      </c>
      <c r="X85" s="191" t="str">
        <f t="shared" ref="X85" si="24">IF(W85="통제 적용",D85,"-")</f>
        <v>-</v>
      </c>
      <c r="Y85" s="254"/>
      <c r="Z85" s="205" t="s">
        <v>324</v>
      </c>
      <c r="AA85" s="205" t="s">
        <v>324</v>
      </c>
      <c r="AB85" s="205" t="s">
        <v>324</v>
      </c>
      <c r="AC85" s="205">
        <f t="shared" ref="AC85" si="25">SUM(Z85:AB85)</f>
        <v>0</v>
      </c>
      <c r="AD85" s="205" t="s">
        <v>324</v>
      </c>
      <c r="AE85" s="205"/>
      <c r="AF85" s="205" t="s">
        <v>324</v>
      </c>
      <c r="AG85" s="255"/>
    </row>
    <row r="86" spans="2:33" ht="60" customHeight="1">
      <c r="B86" s="392"/>
      <c r="C86" s="393"/>
      <c r="D86" s="202" t="s">
        <v>123</v>
      </c>
      <c r="E86" s="399" t="s">
        <v>39</v>
      </c>
      <c r="F86" s="400"/>
      <c r="G86" s="400"/>
      <c r="H86" s="400"/>
      <c r="I86" s="401"/>
      <c r="J86" s="168" t="str">
        <f>'요약 통계'!E71</f>
        <v>중</v>
      </c>
      <c r="K86" s="132">
        <f>IF(M86="N/A","-",'요약 통계'!F70)</f>
        <v>2</v>
      </c>
      <c r="L86" s="133" t="s">
        <v>220</v>
      </c>
      <c r="M86" s="125" t="s">
        <v>133</v>
      </c>
      <c r="N86" s="134">
        <f t="shared" si="15"/>
        <v>2</v>
      </c>
      <c r="O86" s="127"/>
      <c r="P86" s="88" t="str">
        <f>IF(M86="N",'잠재위험 및 대응책 DB'!A67,"-")</f>
        <v>-</v>
      </c>
      <c r="Q86" s="88" t="str">
        <f>IF(W86="통제 적용",'잠재위험 및 대응책 DB'!B69,"-")</f>
        <v>-</v>
      </c>
      <c r="R86" s="93"/>
      <c r="S86" s="135" t="str">
        <f t="shared" si="16"/>
        <v>중</v>
      </c>
      <c r="T86" s="135">
        <f t="shared" si="17"/>
        <v>2</v>
      </c>
      <c r="U86" s="135" t="str">
        <f t="shared" si="18"/>
        <v>-</v>
      </c>
      <c r="V86" s="135" t="str">
        <f t="shared" ref="V86:V87" si="26">IF(U86="-","-",IF(U86&gt;=7,"상",IF(U86&gt;=4,"중",IF(U86&gt;=2,"하","하"))))</f>
        <v>-</v>
      </c>
      <c r="W86" s="135" t="str">
        <f t="shared" si="19"/>
        <v>-</v>
      </c>
      <c r="X86" s="135" t="str">
        <f t="shared" si="20"/>
        <v>-</v>
      </c>
      <c r="Y86" s="179"/>
      <c r="Z86" s="135" t="s">
        <v>324</v>
      </c>
      <c r="AA86" s="135" t="s">
        <v>324</v>
      </c>
      <c r="AB86" s="135" t="s">
        <v>324</v>
      </c>
      <c r="AC86" s="135">
        <f t="shared" si="21"/>
        <v>0</v>
      </c>
      <c r="AD86" s="135" t="s">
        <v>324</v>
      </c>
      <c r="AE86" s="135"/>
      <c r="AF86" s="135" t="s">
        <v>324</v>
      </c>
      <c r="AG86" s="252"/>
    </row>
    <row r="87" spans="2:33" ht="60" customHeight="1" thickBot="1">
      <c r="B87" s="394"/>
      <c r="C87" s="395"/>
      <c r="D87" s="202" t="s">
        <v>124</v>
      </c>
      <c r="E87" s="402" t="s">
        <v>374</v>
      </c>
      <c r="F87" s="402"/>
      <c r="G87" s="402"/>
      <c r="H87" s="402"/>
      <c r="I87" s="402"/>
      <c r="J87" s="132" t="str">
        <f>'요약 통계'!E72</f>
        <v>중</v>
      </c>
      <c r="K87" s="132">
        <f>IF(M87="N/A","-",'요약 통계'!F72)</f>
        <v>2</v>
      </c>
      <c r="L87" s="151" t="s">
        <v>226</v>
      </c>
      <c r="M87" s="125" t="s">
        <v>133</v>
      </c>
      <c r="N87" s="134">
        <f t="shared" si="15"/>
        <v>2</v>
      </c>
      <c r="O87" s="127"/>
      <c r="P87" s="88" t="str">
        <f>IF(M87="N",'잠재위험 및 대응책 DB'!A68,"-")</f>
        <v>-</v>
      </c>
      <c r="Q87" s="88" t="str">
        <f>IF(W87="통제 적용",'잠재위험 및 대응책 DB'!B70,"-")</f>
        <v>-</v>
      </c>
      <c r="R87" s="93"/>
      <c r="S87" s="135" t="str">
        <f t="shared" si="16"/>
        <v>중</v>
      </c>
      <c r="T87" s="135">
        <f t="shared" si="17"/>
        <v>2</v>
      </c>
      <c r="U87" s="135" t="str">
        <f t="shared" si="18"/>
        <v>-</v>
      </c>
      <c r="V87" s="135" t="str">
        <f t="shared" si="26"/>
        <v>-</v>
      </c>
      <c r="W87" s="135" t="str">
        <f t="shared" si="19"/>
        <v>-</v>
      </c>
      <c r="X87" s="135" t="str">
        <f t="shared" si="20"/>
        <v>-</v>
      </c>
      <c r="Y87" s="179"/>
      <c r="Z87" s="135" t="s">
        <v>324</v>
      </c>
      <c r="AA87" s="135" t="s">
        <v>324</v>
      </c>
      <c r="AB87" s="135" t="s">
        <v>324</v>
      </c>
      <c r="AC87" s="135">
        <f t="shared" si="21"/>
        <v>0</v>
      </c>
      <c r="AD87" s="135" t="s">
        <v>324</v>
      </c>
      <c r="AE87" s="135"/>
      <c r="AF87" s="135" t="s">
        <v>324</v>
      </c>
      <c r="AG87" s="252"/>
    </row>
    <row r="91" spans="2:33">
      <c r="J91" s="89" t="s">
        <v>217</v>
      </c>
      <c r="K91" s="13"/>
      <c r="L91" s="13"/>
      <c r="M91" s="89" t="s">
        <v>230</v>
      </c>
    </row>
    <row r="92" spans="2:33">
      <c r="J92" s="13">
        <v>3</v>
      </c>
      <c r="K92" s="13"/>
      <c r="L92" s="13"/>
      <c r="M92" s="13">
        <f>COUNTIF($U$21:$U$87,3)</f>
        <v>0</v>
      </c>
    </row>
    <row r="93" spans="2:33">
      <c r="J93" s="13">
        <v>4</v>
      </c>
      <c r="K93" s="13"/>
      <c r="L93" s="13"/>
      <c r="M93" s="13">
        <f>COUNTIF($U$21:$U$87,4)</f>
        <v>0</v>
      </c>
    </row>
    <row r="94" spans="2:33">
      <c r="J94" s="13">
        <v>5</v>
      </c>
      <c r="K94" s="13"/>
      <c r="L94" s="13"/>
      <c r="M94" s="13">
        <f>COUNTIF($U$21:$U$87,5)</f>
        <v>0</v>
      </c>
    </row>
    <row r="95" spans="2:33">
      <c r="J95" s="13">
        <v>6</v>
      </c>
      <c r="K95" s="13"/>
      <c r="L95" s="13"/>
      <c r="M95" s="13">
        <f>COUNTIF($U$21:$U$87,6)</f>
        <v>0</v>
      </c>
    </row>
    <row r="96" spans="2:33">
      <c r="J96" s="13">
        <v>7</v>
      </c>
      <c r="K96" s="13"/>
      <c r="L96" s="13"/>
      <c r="M96" s="13">
        <f>COUNTIF($U$21:$U$87,7)</f>
        <v>0</v>
      </c>
    </row>
    <row r="97" spans="10:13">
      <c r="J97" s="13">
        <v>8</v>
      </c>
      <c r="K97" s="13"/>
      <c r="L97" s="13"/>
      <c r="M97" s="13">
        <f>COUNTIF($U$21:$U$87,8)</f>
        <v>0</v>
      </c>
    </row>
    <row r="98" spans="10:13">
      <c r="J98" s="13">
        <v>9</v>
      </c>
      <c r="K98" s="13"/>
      <c r="L98" s="13"/>
      <c r="M98" s="13">
        <f>COUNTIF($U$21:$U$87,9)</f>
        <v>0</v>
      </c>
    </row>
  </sheetData>
  <mergeCells count="97">
    <mergeCell ref="B85:C87"/>
    <mergeCell ref="E83:I83"/>
    <mergeCell ref="E73:I73"/>
    <mergeCell ref="E74:I74"/>
    <mergeCell ref="E75:I75"/>
    <mergeCell ref="E76:I76"/>
    <mergeCell ref="E77:I77"/>
    <mergeCell ref="E78:I78"/>
    <mergeCell ref="E86:I86"/>
    <mergeCell ref="E87:I87"/>
    <mergeCell ref="E85:I85"/>
    <mergeCell ref="B84:C84"/>
    <mergeCell ref="E84:I84"/>
    <mergeCell ref="B54:C83"/>
    <mergeCell ref="E54:I54"/>
    <mergeCell ref="E55:I55"/>
    <mergeCell ref="E56:I56"/>
    <mergeCell ref="E57:I57"/>
    <mergeCell ref="E58:I58"/>
    <mergeCell ref="E59:I59"/>
    <mergeCell ref="E60:I60"/>
    <mergeCell ref="E67:I67"/>
    <mergeCell ref="E68:I68"/>
    <mergeCell ref="E69:I69"/>
    <mergeCell ref="E70:I70"/>
    <mergeCell ref="E71:I71"/>
    <mergeCell ref="E79:I79"/>
    <mergeCell ref="E80:I80"/>
    <mergeCell ref="E81:I81"/>
    <mergeCell ref="E82:I82"/>
    <mergeCell ref="E34:I34"/>
    <mergeCell ref="E35:I35"/>
    <mergeCell ref="E51:I51"/>
    <mergeCell ref="E53:I53"/>
    <mergeCell ref="E52:I52"/>
    <mergeCell ref="E72:I72"/>
    <mergeCell ref="E61:I61"/>
    <mergeCell ref="E62:I62"/>
    <mergeCell ref="E63:I63"/>
    <mergeCell ref="E64:I64"/>
    <mergeCell ref="E65:I65"/>
    <mergeCell ref="E66:I66"/>
    <mergeCell ref="B34:C53"/>
    <mergeCell ref="E36:I36"/>
    <mergeCell ref="E37:I37"/>
    <mergeCell ref="E38:I38"/>
    <mergeCell ref="E45:I45"/>
    <mergeCell ref="E46:I46"/>
    <mergeCell ref="E47:I47"/>
    <mergeCell ref="E48:I48"/>
    <mergeCell ref="E49:I49"/>
    <mergeCell ref="E50:I50"/>
    <mergeCell ref="E39:I39"/>
    <mergeCell ref="E40:I40"/>
    <mergeCell ref="E41:I41"/>
    <mergeCell ref="E42:I42"/>
    <mergeCell ref="E43:I43"/>
    <mergeCell ref="E44:I44"/>
    <mergeCell ref="M20:N20"/>
    <mergeCell ref="B21:C33"/>
    <mergeCell ref="E21:I21"/>
    <mergeCell ref="E22:I22"/>
    <mergeCell ref="E23:I23"/>
    <mergeCell ref="E24:I24"/>
    <mergeCell ref="E25:I25"/>
    <mergeCell ref="E29:I29"/>
    <mergeCell ref="E30:I30"/>
    <mergeCell ref="E31:I31"/>
    <mergeCell ref="J20:K20"/>
    <mergeCell ref="E32:I32"/>
    <mergeCell ref="E33:I33"/>
    <mergeCell ref="B11:C11"/>
    <mergeCell ref="B12:C12"/>
    <mergeCell ref="B13:C13"/>
    <mergeCell ref="B14:C14"/>
    <mergeCell ref="B15:C15"/>
    <mergeCell ref="B16:C16"/>
    <mergeCell ref="E26:I26"/>
    <mergeCell ref="E27:I27"/>
    <mergeCell ref="E28:I28"/>
    <mergeCell ref="B20:C20"/>
    <mergeCell ref="D20:I20"/>
    <mergeCell ref="B9:C10"/>
    <mergeCell ref="I9:J9"/>
    <mergeCell ref="S9:T9"/>
    <mergeCell ref="U9:V9"/>
    <mergeCell ref="I10:J10"/>
    <mergeCell ref="S10:T10"/>
    <mergeCell ref="U10:V10"/>
    <mergeCell ref="B4:C4"/>
    <mergeCell ref="D4:E4"/>
    <mergeCell ref="F4:G4"/>
    <mergeCell ref="H4:J4"/>
    <mergeCell ref="B5:C5"/>
    <mergeCell ref="D5:E5"/>
    <mergeCell ref="F5:G5"/>
    <mergeCell ref="H5:J5"/>
  </mergeCells>
  <phoneticPr fontId="7" type="noConversion"/>
  <conditionalFormatting sqref="D21:D87">
    <cfRule type="cellIs" dxfId="11" priority="5" stopIfTrue="1" operator="equal">
      <formula>"N/A"</formula>
    </cfRule>
    <cfRule type="cellIs" dxfId="10" priority="6" stopIfTrue="1" operator="equal">
      <formula>"N"</formula>
    </cfRule>
  </conditionalFormatting>
  <conditionalFormatting sqref="W21:W87">
    <cfRule type="cellIs" dxfId="9" priority="3" operator="equal">
      <formula>"위험 수용"</formula>
    </cfRule>
    <cfRule type="cellIs" dxfId="8" priority="4" operator="equal">
      <formula>"통제 적용"</formula>
    </cfRule>
  </conditionalFormatting>
  <conditionalFormatting sqref="M21:M87">
    <cfRule type="cellIs" dxfId="7" priority="1" stopIfTrue="1" operator="equal">
      <formula>"N/A"</formula>
    </cfRule>
    <cfRule type="cellIs" dxfId="6" priority="2" stopIfTrue="1" operator="equal">
      <formula>"N"</formula>
    </cfRule>
  </conditionalFormatting>
  <dataValidations count="3">
    <dataValidation type="list" allowBlank="1" showInputMessage="1" showErrorMessage="1" sqref="M21:M87" xr:uid="{00000000-0002-0000-0A00-000000000000}">
      <formula1>"Y,N,N/A"</formula1>
    </dataValidation>
    <dataValidation type="list" showInputMessage="1" showErrorMessage="1" sqref="Z21:AB87" xr:uid="{00000000-0002-0000-0A00-000001000000}">
      <formula1>"-,1,2,3,4,5"</formula1>
    </dataValidation>
    <dataValidation type="list" allowBlank="1" showInputMessage="1" showErrorMessage="1" sqref="AD21:AD87 AF21:AF87" xr:uid="{00000000-0002-0000-0A00-000002000000}">
      <formula1>"-,HOT FIX,단기,중기,장기"</formula1>
    </dataValidation>
  </dataValidations>
  <printOptions horizontalCentered="1"/>
  <pageMargins left="0.39370078740157483" right="0.39370078740157483" top="0.59055118110236215" bottom="0.59055118110236215" header="0.19685039370078741" footer="0.19685039370078741"/>
  <pageSetup paperSize="9" scale="11" orientation="landscape" horizontalDpi="300" verticalDpi="300" r:id="rId1"/>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15A27-CF6D-4951-90E8-01E3A45886DF}">
  <sheetPr codeName="Sheet17">
    <pageSetUpPr fitToPage="1"/>
  </sheetPr>
  <dimension ref="A1:AG99"/>
  <sheetViews>
    <sheetView view="pageBreakPreview" zoomScale="85" zoomScaleNormal="85" zoomScaleSheetLayoutView="85" workbookViewId="0">
      <selection activeCell="F7" sqref="F7"/>
    </sheetView>
  </sheetViews>
  <sheetFormatPr defaultColWidth="8.88671875" defaultRowHeight="16.5"/>
  <cols>
    <col min="1" max="1" width="2.44140625" style="1" customWidth="1"/>
    <col min="2" max="2" width="9.109375" style="1" customWidth="1"/>
    <col min="3" max="3" width="10.88671875" style="1" customWidth="1"/>
    <col min="4" max="4" width="6.109375" style="1" customWidth="1"/>
    <col min="5" max="5" width="13.6640625" style="1" customWidth="1"/>
    <col min="6" max="9" width="6.5546875" style="1" customWidth="1"/>
    <col min="10" max="10" width="6" style="1" customWidth="1"/>
    <col min="11" max="12" width="6.109375" style="1" customWidth="1"/>
    <col min="13" max="13" width="10.5546875" style="1" customWidth="1"/>
    <col min="14" max="14" width="4.33203125" style="1" customWidth="1"/>
    <col min="15" max="17" width="44.44140625" style="1" customWidth="1"/>
    <col min="18" max="18" width="4.88671875" style="1" customWidth="1"/>
    <col min="19" max="22" width="8.6640625" style="1" customWidth="1"/>
    <col min="23" max="24" width="8.88671875" style="1" customWidth="1"/>
    <col min="25" max="25" width="7.44140625" style="1" customWidth="1"/>
    <col min="26" max="32" width="8.88671875" style="1" customWidth="1"/>
    <col min="33" max="33" width="12.6640625" style="1" customWidth="1"/>
    <col min="34" max="16384" width="8.88671875" style="1"/>
  </cols>
  <sheetData>
    <row r="1" spans="2:22" s="19" customFormat="1"/>
    <row r="2" spans="2:22" s="19" customFormat="1" ht="17.25">
      <c r="B2" s="41" t="s">
        <v>205</v>
      </c>
      <c r="C2" s="42"/>
      <c r="D2" s="42"/>
      <c r="E2" s="42"/>
      <c r="F2" s="42"/>
      <c r="G2" s="42"/>
      <c r="H2" s="42"/>
      <c r="I2" s="42"/>
      <c r="J2" s="42"/>
    </row>
    <row r="3" spans="2:22" s="19" customFormat="1" ht="17.25">
      <c r="B3" s="43"/>
      <c r="C3" s="43"/>
      <c r="D3" s="43"/>
      <c r="E3" s="43"/>
      <c r="J3" s="43"/>
    </row>
    <row r="4" spans="2:22" s="19" customFormat="1">
      <c r="B4" s="361" t="s">
        <v>26</v>
      </c>
      <c r="C4" s="361"/>
      <c r="D4" s="362" t="str">
        <f ca="1">MID(CELL("filename",$A$1),FIND("]",CELL("filename",$A$1))+1,100)</f>
        <v>sample</v>
      </c>
      <c r="E4" s="362"/>
      <c r="F4" s="361" t="s">
        <v>28</v>
      </c>
      <c r="G4" s="361"/>
      <c r="H4" s="362" t="str">
        <f ca="1">IFERROR(VLOOKUP($D$4,점검대상!C7:M35,2,FALSE),"-")</f>
        <v>Ubuntu 20.04.6 LTS</v>
      </c>
      <c r="I4" s="362"/>
      <c r="J4" s="362"/>
    </row>
    <row r="5" spans="2:22" s="19" customFormat="1" ht="17.25">
      <c r="B5" s="361" t="s">
        <v>27</v>
      </c>
      <c r="C5" s="361"/>
      <c r="D5" s="362" t="str">
        <f ca="1">IFERROR(VLOOKUP($D$4,점검대상!C7:M35,3,FALSE),"-")</f>
        <v>127.0.0.1</v>
      </c>
      <c r="E5" s="362"/>
      <c r="F5" s="361" t="s">
        <v>29</v>
      </c>
      <c r="G5" s="361"/>
      <c r="H5" s="362">
        <f ca="1">IFERROR(VLOOKUP($D$4,점검대상!C7:M35,4,FALSE),"-")</f>
        <v>0</v>
      </c>
      <c r="I5" s="362"/>
      <c r="J5" s="362"/>
      <c r="N5" s="44"/>
    </row>
    <row r="6" spans="2:22" s="19" customFormat="1">
      <c r="M6" s="45"/>
      <c r="N6" s="45"/>
    </row>
    <row r="7" spans="2:22" s="19" customFormat="1" ht="17.25">
      <c r="B7" s="84" t="s">
        <v>206</v>
      </c>
      <c r="M7" s="45"/>
      <c r="N7" s="45"/>
    </row>
    <row r="8" spans="2:22" s="19" customFormat="1"/>
    <row r="9" spans="2:22" s="19" customFormat="1">
      <c r="B9" s="361" t="s">
        <v>207</v>
      </c>
      <c r="C9" s="361"/>
      <c r="D9" s="96" t="s">
        <v>208</v>
      </c>
      <c r="E9" s="96" t="s">
        <v>201</v>
      </c>
      <c r="F9" s="96" t="s">
        <v>202</v>
      </c>
      <c r="G9" s="96" t="s">
        <v>209</v>
      </c>
      <c r="H9" s="96" t="s">
        <v>203</v>
      </c>
      <c r="I9" s="363" t="s">
        <v>210</v>
      </c>
      <c r="J9" s="364"/>
      <c r="S9" s="365" t="str">
        <f>"DoA "&amp;$I$10&amp;" 이상"</f>
        <v>DoA 7 이상</v>
      </c>
      <c r="T9" s="365"/>
      <c r="U9" s="365" t="str">
        <f>"DoA "&amp;$I$10&amp;" 미만"</f>
        <v>DoA 7 미만</v>
      </c>
      <c r="V9" s="365"/>
    </row>
    <row r="10" spans="2:22" s="19" customFormat="1">
      <c r="B10" s="361"/>
      <c r="C10" s="361"/>
      <c r="D10" s="85">
        <f ca="1">IFERROR(VLOOKUP($D$4,점검대상!$C$7:$M$35,5,FALSE),"-")</f>
        <v>3</v>
      </c>
      <c r="E10" s="85">
        <f ca="1">IFERROR(VLOOKUP($D$4,점검대상!$C$7:$M$35,6,FALSE),"-")</f>
        <v>3</v>
      </c>
      <c r="F10" s="85">
        <f ca="1">IFERROR(VLOOKUP($D$4,점검대상!$C$7:$M$35,7,FALSE),"-")</f>
        <v>3</v>
      </c>
      <c r="G10" s="85">
        <f ca="1">IF(H10="1등급",3,IF(H10="2등급",2,IF(H10="3등급",1,"-")))</f>
        <v>3</v>
      </c>
      <c r="H10" s="85" t="str">
        <f ca="1">IFERROR(VLOOKUP($D$4,점검대상!$C$7:$M$35,8,FALSE),"-")</f>
        <v>1등급</v>
      </c>
      <c r="I10" s="366">
        <f>점검대상!K4</f>
        <v>7</v>
      </c>
      <c r="J10" s="367"/>
      <c r="S10" s="368">
        <f ca="1">COUNTIF($W21:$W87,"통제 적용")</f>
        <v>3</v>
      </c>
      <c r="T10" s="368"/>
      <c r="U10" s="368">
        <f ca="1">COUNTIF($W21:$W87,"위험 수용")</f>
        <v>0</v>
      </c>
      <c r="V10" s="368"/>
    </row>
    <row r="11" spans="2:22" s="19" customFormat="1" hidden="1">
      <c r="B11" s="372"/>
      <c r="C11" s="373"/>
      <c r="D11" s="46"/>
      <c r="E11" s="46"/>
      <c r="F11" s="46"/>
      <c r="G11" s="46"/>
      <c r="H11" s="47"/>
      <c r="I11" s="47"/>
      <c r="J11" s="48"/>
    </row>
    <row r="12" spans="2:22" s="19" customFormat="1" hidden="1">
      <c r="B12" s="372"/>
      <c r="C12" s="373"/>
      <c r="D12" s="46"/>
      <c r="E12" s="46"/>
      <c r="F12" s="46"/>
      <c r="G12" s="46"/>
      <c r="H12" s="47"/>
      <c r="I12" s="47"/>
      <c r="J12" s="48"/>
    </row>
    <row r="13" spans="2:22" s="19" customFormat="1" hidden="1">
      <c r="B13" s="372"/>
      <c r="C13" s="373"/>
      <c r="D13" s="46"/>
      <c r="E13" s="46"/>
      <c r="F13" s="46"/>
      <c r="G13" s="46"/>
      <c r="H13" s="47"/>
      <c r="I13" s="47"/>
      <c r="J13" s="48"/>
    </row>
    <row r="14" spans="2:22" s="19" customFormat="1" hidden="1">
      <c r="B14" s="372"/>
      <c r="C14" s="373"/>
      <c r="D14" s="46"/>
      <c r="E14" s="46"/>
      <c r="F14" s="46"/>
      <c r="G14" s="46"/>
      <c r="H14" s="47"/>
      <c r="I14" s="47"/>
      <c r="J14" s="48"/>
    </row>
    <row r="15" spans="2:22" s="19" customFormat="1" hidden="1">
      <c r="B15" s="372"/>
      <c r="C15" s="373"/>
      <c r="D15" s="46"/>
      <c r="E15" s="46"/>
      <c r="F15" s="46"/>
      <c r="G15" s="46"/>
      <c r="H15" s="47"/>
      <c r="I15" s="47"/>
      <c r="J15" s="48"/>
    </row>
    <row r="16" spans="2:22" s="19" customFormat="1" ht="17.25" hidden="1" thickTop="1">
      <c r="B16" s="369"/>
      <c r="C16" s="369"/>
      <c r="D16" s="94"/>
      <c r="E16" s="94"/>
      <c r="F16" s="94"/>
      <c r="G16" s="94"/>
      <c r="H16" s="94"/>
      <c r="I16" s="94"/>
      <c r="J16" s="49"/>
    </row>
    <row r="17" spans="1:33" s="19" customFormat="1">
      <c r="M17" s="45"/>
      <c r="N17" s="45"/>
    </row>
    <row r="18" spans="1:33" ht="17.25">
      <c r="B18" s="10" t="s">
        <v>40</v>
      </c>
      <c r="P18" s="9"/>
      <c r="Q18" s="9"/>
    </row>
    <row r="19" spans="1:33">
      <c r="R19" s="8"/>
    </row>
    <row r="20" spans="1:33" s="19" customFormat="1" ht="27">
      <c r="A20" s="37"/>
      <c r="B20" s="365" t="s">
        <v>2</v>
      </c>
      <c r="C20" s="365"/>
      <c r="D20" s="371" t="s">
        <v>36</v>
      </c>
      <c r="E20" s="371"/>
      <c r="F20" s="371"/>
      <c r="G20" s="371"/>
      <c r="H20" s="371"/>
      <c r="I20" s="371"/>
      <c r="J20" s="371" t="s">
        <v>1</v>
      </c>
      <c r="K20" s="371"/>
      <c r="L20" s="130" t="s">
        <v>215</v>
      </c>
      <c r="M20" s="371" t="s">
        <v>150</v>
      </c>
      <c r="N20" s="371"/>
      <c r="O20" s="130" t="s">
        <v>211</v>
      </c>
      <c r="P20" s="209" t="s">
        <v>212</v>
      </c>
      <c r="Q20" s="210" t="s">
        <v>213</v>
      </c>
      <c r="R20" s="37"/>
      <c r="S20" s="95" t="s">
        <v>214</v>
      </c>
      <c r="T20" s="130" t="s">
        <v>216</v>
      </c>
      <c r="U20" s="130" t="s">
        <v>217</v>
      </c>
      <c r="V20" s="130" t="s">
        <v>30</v>
      </c>
      <c r="W20" s="130" t="s">
        <v>218</v>
      </c>
      <c r="X20" s="130" t="s">
        <v>219</v>
      </c>
      <c r="Z20" s="103" t="s">
        <v>251</v>
      </c>
      <c r="AA20" s="103" t="s">
        <v>252</v>
      </c>
      <c r="AB20" s="103" t="s">
        <v>253</v>
      </c>
      <c r="AC20" s="103" t="s">
        <v>254</v>
      </c>
      <c r="AD20" s="103" t="s">
        <v>255</v>
      </c>
      <c r="AE20" s="103" t="s">
        <v>256</v>
      </c>
      <c r="AF20" s="103" t="s">
        <v>257</v>
      </c>
      <c r="AG20" s="103" t="s">
        <v>258</v>
      </c>
    </row>
    <row r="21" spans="1:33" ht="60" customHeight="1">
      <c r="A21" s="8"/>
      <c r="B21" s="409" t="str">
        <f>'요약 통계'!B6</f>
        <v>계정 관리</v>
      </c>
      <c r="C21" s="410"/>
      <c r="D21" s="131" t="s">
        <v>41</v>
      </c>
      <c r="E21" s="370" t="str">
        <f>'요약 통계'!D6</f>
        <v>root 계정 원격 접속 제한</v>
      </c>
      <c r="F21" s="370"/>
      <c r="G21" s="370"/>
      <c r="H21" s="370"/>
      <c r="I21" s="370"/>
      <c r="J21" s="168" t="str">
        <f>'요약 통계'!E6</f>
        <v>상</v>
      </c>
      <c r="K21" s="132">
        <f>IF(M21="N/A","-",'요약 통계'!F6)</f>
        <v>3</v>
      </c>
      <c r="L21" s="133" t="s">
        <v>220</v>
      </c>
      <c r="M21" s="125" t="s">
        <v>134</v>
      </c>
      <c r="N21" s="134">
        <f>IF(M21="N",0,K21)</f>
        <v>0</v>
      </c>
      <c r="O21" s="186" t="s">
        <v>331</v>
      </c>
      <c r="P21" s="236" t="str">
        <f>IF(M21="N",'잠재위험 및 대응책 DB'!A2,"-")</f>
        <v>root 계정을 탈취하여 외부에서 원격을 이용한 시스템 장악 및 각종 공격으로(무차별 대입 공격, 사전 대입 공격 등) 인한 root 계정 사용 불가 위험이 존재</v>
      </c>
      <c r="Q21" s="237" t="str">
        <f ca="1">IF(W21="통제 적용",'잠재위험 및 대응책 DB'!B2,"-")</f>
        <v>원격 접속 시 root 계정으로 접속할 수 없도록 파일 내용 설정</v>
      </c>
      <c r="R21" s="207"/>
      <c r="S21" s="135" t="str">
        <f t="shared" ref="S21:S51" si="0">J21</f>
        <v>상</v>
      </c>
      <c r="T21" s="135">
        <f>IF(S21="상",3,IF(S21="중",2,IF(S21="하",1,0)))</f>
        <v>3</v>
      </c>
      <c r="U21" s="135">
        <f ca="1">IFERROR(IF(OR($M21="y",$M21="n/a"),"-",$G$10+(($K21-$N21)*2)),"-")</f>
        <v>9</v>
      </c>
      <c r="V21" s="135" t="str">
        <f ca="1">IF(U21="-","-",IF(U21&gt;=7,"상",IF(U21&gt;=4,"중",IF(U21&gt;=2,"하","하"))))</f>
        <v>상</v>
      </c>
      <c r="W21" s="135" t="str">
        <f ca="1">IF(U21="-","-",IF(U21&gt;=$I$10,"통제 적용","위험 수용"))</f>
        <v>통제 적용</v>
      </c>
      <c r="X21" s="135" t="str">
        <f t="shared" ref="X21:X51" ca="1" si="1">IF(W21="통제 적용",D21,"-")</f>
        <v>U-01</v>
      </c>
      <c r="Z21" s="86">
        <v>5</v>
      </c>
      <c r="AA21" s="86">
        <v>4</v>
      </c>
      <c r="AB21" s="86">
        <v>5</v>
      </c>
      <c r="AC21" s="86">
        <f t="shared" ref="AC21" si="2">SUM(Z21:AB21)</f>
        <v>14</v>
      </c>
      <c r="AD21" s="86" t="s">
        <v>324</v>
      </c>
      <c r="AE21" s="86" t="s">
        <v>324</v>
      </c>
      <c r="AF21" s="86" t="s">
        <v>324</v>
      </c>
      <c r="AG21" s="86" t="s">
        <v>324</v>
      </c>
    </row>
    <row r="22" spans="1:33" ht="60" customHeight="1">
      <c r="A22" s="8"/>
      <c r="B22" s="411"/>
      <c r="C22" s="411"/>
      <c r="D22" s="131" t="s">
        <v>42</v>
      </c>
      <c r="E22" s="381" t="str">
        <f>'요약 통계'!D7</f>
        <v>비밀번호 관리정책 설정</v>
      </c>
      <c r="F22" s="382"/>
      <c r="G22" s="382"/>
      <c r="H22" s="382"/>
      <c r="I22" s="383"/>
      <c r="J22" s="168" t="str">
        <f>'요약 통계'!E7</f>
        <v>상</v>
      </c>
      <c r="K22" s="132">
        <f>IF(M22="N/A","-",'요약 통계'!F7)</f>
        <v>3</v>
      </c>
      <c r="L22" s="133" t="s">
        <v>221</v>
      </c>
      <c r="M22" s="125" t="s">
        <v>133</v>
      </c>
      <c r="N22" s="134">
        <f t="shared" ref="N22:N85" si="3">IF(M22="N",0,K22)</f>
        <v>3</v>
      </c>
      <c r="O22" s="186" t="s">
        <v>375</v>
      </c>
      <c r="P22" s="236" t="str">
        <f>IF(M22="N",'잠재위험 및 대응책 DB'!A3,"-")</f>
        <v>-</v>
      </c>
      <c r="Q22" s="237" t="str">
        <f>IF(W22="통제 적용",'잠재위험 및 대응책 DB'!B3,"-")</f>
        <v>-</v>
      </c>
      <c r="R22" s="207"/>
      <c r="S22" s="135" t="str">
        <f t="shared" si="0"/>
        <v>상</v>
      </c>
      <c r="T22" s="135">
        <f t="shared" ref="T22:T83" si="4">IF(S22="상",3,IF(S22="중",2,IF(S22="하",1,0)))</f>
        <v>3</v>
      </c>
      <c r="U22" s="135" t="str">
        <f t="shared" ref="U22:U83" si="5">IFERROR(IF(OR($M22="y",$M22="n/a"),"-",$G$10+(($K22-$N22)*2)),"-")</f>
        <v>-</v>
      </c>
      <c r="V22" s="135" t="str">
        <f t="shared" ref="V22:V83" si="6">IF(U22="-","-",IF(U22&gt;=7,"상",IF(U22&gt;=4,"중",IF(U22&gt;=2,"하","하"))))</f>
        <v>-</v>
      </c>
      <c r="W22" s="135" t="str">
        <f>IF(U22="-","-",IF(U22&gt;=$I$10,"통제 적용","위험 수용"))</f>
        <v>-</v>
      </c>
      <c r="X22" s="135" t="str">
        <f t="shared" si="1"/>
        <v>-</v>
      </c>
      <c r="Z22" s="86">
        <v>5</v>
      </c>
      <c r="AA22" s="86">
        <v>4</v>
      </c>
      <c r="AB22" s="86">
        <v>5</v>
      </c>
      <c r="AC22" s="86">
        <f>SUM(Z22:AB22)</f>
        <v>14</v>
      </c>
      <c r="AD22" s="86" t="s">
        <v>324</v>
      </c>
      <c r="AE22" s="86" t="s">
        <v>324</v>
      </c>
      <c r="AF22" s="86" t="s">
        <v>324</v>
      </c>
      <c r="AG22" s="86" t="s">
        <v>324</v>
      </c>
    </row>
    <row r="23" spans="1:33" ht="60" customHeight="1">
      <c r="A23" s="8"/>
      <c r="B23" s="411"/>
      <c r="C23" s="411"/>
      <c r="D23" s="131" t="s">
        <v>43</v>
      </c>
      <c r="E23" s="381" t="str">
        <f>'요약 통계'!D8</f>
        <v>계정 잠금 임계값 설정</v>
      </c>
      <c r="F23" s="382"/>
      <c r="G23" s="382"/>
      <c r="H23" s="382"/>
      <c r="I23" s="383"/>
      <c r="J23" s="168" t="str">
        <f>'요약 통계'!E8</f>
        <v>상</v>
      </c>
      <c r="K23" s="132">
        <f>IF(M23="N/A","-",'요약 통계'!F8)</f>
        <v>3</v>
      </c>
      <c r="L23" s="133" t="s">
        <v>222</v>
      </c>
      <c r="M23" s="125" t="s">
        <v>134</v>
      </c>
      <c r="N23" s="134">
        <f t="shared" si="3"/>
        <v>0</v>
      </c>
      <c r="O23" s="186" t="s">
        <v>376</v>
      </c>
      <c r="P23" s="236" t="str">
        <f>IF(M23="N",'잠재위험 및 대응책 DB'!A4,"-")</f>
        <v>비밀번호가 일치할 때까지 지속적으로 응답하여 해당 계정의 비밀번호가 유출될 위험이 존재</v>
      </c>
      <c r="Q23" s="237" t="str">
        <f ca="1">IF(W23="통제 적용",'잠재위험 및 대응책 DB'!B4,"-")</f>
        <v>계정 잠금 임계값을 10회 이하로 설정 권장</v>
      </c>
      <c r="R23" s="207"/>
      <c r="S23" s="135" t="str">
        <f t="shared" si="0"/>
        <v>상</v>
      </c>
      <c r="T23" s="135">
        <f t="shared" si="4"/>
        <v>3</v>
      </c>
      <c r="U23" s="135">
        <f t="shared" ca="1" si="5"/>
        <v>9</v>
      </c>
      <c r="V23" s="135" t="str">
        <f t="shared" ca="1" si="6"/>
        <v>상</v>
      </c>
      <c r="W23" s="135" t="str">
        <f t="shared" ref="W23:W83" ca="1" si="7">IF(U23="-","-",IF(U23&gt;=$I$10,"통제 적용","위험 수용"))</f>
        <v>통제 적용</v>
      </c>
      <c r="X23" s="135" t="str">
        <f t="shared" ca="1" si="1"/>
        <v>U-03</v>
      </c>
      <c r="Z23" s="86">
        <v>5</v>
      </c>
      <c r="AA23" s="86">
        <v>4</v>
      </c>
      <c r="AB23" s="86">
        <v>5</v>
      </c>
      <c r="AC23" s="86">
        <f t="shared" ref="AC23" si="8">SUM(Z23:AB23)</f>
        <v>14</v>
      </c>
      <c r="AD23" s="86" t="s">
        <v>324</v>
      </c>
      <c r="AE23" s="86" t="s">
        <v>324</v>
      </c>
      <c r="AF23" s="86" t="s">
        <v>324</v>
      </c>
      <c r="AG23" s="86" t="s">
        <v>324</v>
      </c>
    </row>
    <row r="24" spans="1:33" ht="60" customHeight="1">
      <c r="A24" s="8"/>
      <c r="B24" s="412"/>
      <c r="C24" s="413"/>
      <c r="D24" s="131" t="s">
        <v>44</v>
      </c>
      <c r="E24" s="381" t="str">
        <f>'요약 통계'!D9</f>
        <v>비밀번호 파일 보호</v>
      </c>
      <c r="F24" s="382"/>
      <c r="G24" s="382"/>
      <c r="H24" s="382"/>
      <c r="I24" s="383"/>
      <c r="J24" s="168" t="str">
        <f>'요약 통계'!E9</f>
        <v>상</v>
      </c>
      <c r="K24" s="132">
        <f>IF(M24="N/A","-",'요약 통계'!F9)</f>
        <v>3</v>
      </c>
      <c r="L24" s="133" t="s">
        <v>221</v>
      </c>
      <c r="M24" s="125" t="s">
        <v>133</v>
      </c>
      <c r="N24" s="134">
        <f t="shared" si="3"/>
        <v>3</v>
      </c>
      <c r="O24" s="186" t="s">
        <v>377</v>
      </c>
      <c r="P24" s="236" t="str">
        <f>IF(M24="N",'잠재위험 및 대응책 DB'!A5,"-")</f>
        <v>-</v>
      </c>
      <c r="Q24" s="237" t="str">
        <f>IF(W24="통제 적용",'잠재위험 및 대응책 DB'!B5,"-")</f>
        <v>-</v>
      </c>
      <c r="R24" s="207"/>
      <c r="S24" s="135" t="str">
        <f t="shared" si="0"/>
        <v>상</v>
      </c>
      <c r="T24" s="135">
        <f t="shared" si="4"/>
        <v>3</v>
      </c>
      <c r="U24" s="135" t="str">
        <f t="shared" si="5"/>
        <v>-</v>
      </c>
      <c r="V24" s="135" t="str">
        <f t="shared" si="6"/>
        <v>-</v>
      </c>
      <c r="W24" s="135" t="str">
        <f t="shared" si="7"/>
        <v>-</v>
      </c>
      <c r="X24" s="135" t="str">
        <f t="shared" si="1"/>
        <v>-</v>
      </c>
      <c r="Z24" s="86">
        <v>5</v>
      </c>
      <c r="AA24" s="86">
        <v>4</v>
      </c>
      <c r="AB24" s="86">
        <v>5</v>
      </c>
      <c r="AC24" s="86">
        <f t="shared" ref="AC24:AC83" si="9">SUM(Z24:AB24)</f>
        <v>14</v>
      </c>
      <c r="AD24" s="86" t="s">
        <v>324</v>
      </c>
      <c r="AE24" s="86" t="s">
        <v>324</v>
      </c>
      <c r="AF24" s="86" t="s">
        <v>324</v>
      </c>
      <c r="AG24" s="86" t="s">
        <v>324</v>
      </c>
    </row>
    <row r="25" spans="1:33" ht="60" customHeight="1">
      <c r="B25" s="412"/>
      <c r="C25" s="413"/>
      <c r="D25" s="131" t="s">
        <v>335</v>
      </c>
      <c r="E25" s="370" t="str">
        <f>'요약 통계'!D10</f>
        <v>root 이외의 UID가 '0' 금지</v>
      </c>
      <c r="F25" s="370"/>
      <c r="G25" s="370"/>
      <c r="H25" s="370"/>
      <c r="I25" s="370"/>
      <c r="J25" s="168" t="str">
        <f>'요약 통계'!E10</f>
        <v>상</v>
      </c>
      <c r="K25" s="132">
        <f>IF(M25="N/A","-",'요약 통계'!F10)</f>
        <v>3</v>
      </c>
      <c r="L25" s="133" t="s">
        <v>222</v>
      </c>
      <c r="M25" s="125" t="s">
        <v>134</v>
      </c>
      <c r="N25" s="134">
        <f t="shared" si="3"/>
        <v>0</v>
      </c>
      <c r="O25" s="186" t="s">
        <v>378</v>
      </c>
      <c r="P25" s="236" t="str">
        <f>IF(M25="N",'잠재위험 및 대응책 DB'!A6,"-")</f>
        <v>관리자가 실행할 수 있는 모든 작업이 가능한 위험 혹은 root 계정과 동일한 UID를 사용하므로 사용자 감사 추적 시 어려움 발생 위험이 존재</v>
      </c>
      <c r="Q25" s="237" t="str">
        <f ca="1">IF(W25="통제 적용",'잠재위험 및 대응책 DB'!B6,"-")</f>
        <v>UID가 0으로 설정된 계정을 0 이외의 중복되지 않은 UID로 변경 또는 불필요한 계정인 경우 제거하도록 설정하거나 
사용 중인 계정인 경우 명령어를 통한 조치가 적용되지 않을 수 있으므로 /etc/passwd 파일을 통해 변경</v>
      </c>
      <c r="R25" s="207"/>
      <c r="S25" s="135" t="str">
        <f t="shared" si="0"/>
        <v>상</v>
      </c>
      <c r="T25" s="135">
        <f t="shared" si="4"/>
        <v>3</v>
      </c>
      <c r="U25" s="135">
        <f t="shared" ca="1" si="5"/>
        <v>9</v>
      </c>
      <c r="V25" s="135" t="str">
        <f t="shared" ca="1" si="6"/>
        <v>상</v>
      </c>
      <c r="W25" s="135" t="str">
        <f t="shared" ca="1" si="7"/>
        <v>통제 적용</v>
      </c>
      <c r="X25" s="135" t="str">
        <f t="shared" ca="1" si="1"/>
        <v>U-05</v>
      </c>
      <c r="Z25" s="86">
        <v>5</v>
      </c>
      <c r="AA25" s="86">
        <v>4</v>
      </c>
      <c r="AB25" s="86">
        <v>5</v>
      </c>
      <c r="AC25" s="86">
        <f t="shared" si="9"/>
        <v>14</v>
      </c>
      <c r="AD25" s="86" t="s">
        <v>324</v>
      </c>
      <c r="AE25" s="86" t="s">
        <v>324</v>
      </c>
      <c r="AF25" s="86" t="s">
        <v>324</v>
      </c>
      <c r="AG25" s="86" t="s">
        <v>324</v>
      </c>
    </row>
    <row r="26" spans="1:33" ht="60" customHeight="1">
      <c r="B26" s="411"/>
      <c r="C26" s="411"/>
      <c r="D26" s="131" t="s">
        <v>45</v>
      </c>
      <c r="E26" s="381" t="str">
        <f>'요약 통계'!D11</f>
        <v>사용자 계정 su 기능 제한</v>
      </c>
      <c r="F26" s="382"/>
      <c r="G26" s="382"/>
      <c r="H26" s="382"/>
      <c r="I26" s="383"/>
      <c r="J26" s="168" t="str">
        <f>'요약 통계'!E11</f>
        <v>상</v>
      </c>
      <c r="K26" s="132">
        <f>IF(M26="N/A","-",'요약 통계'!F11)</f>
        <v>3</v>
      </c>
      <c r="L26" s="133" t="s">
        <v>223</v>
      </c>
      <c r="M26" s="125" t="s">
        <v>133</v>
      </c>
      <c r="N26" s="134">
        <f t="shared" si="3"/>
        <v>3</v>
      </c>
      <c r="O26" s="186" t="s">
        <v>379</v>
      </c>
      <c r="P26" s="236" t="str">
        <f>IF(M26="N",'잠재위험 및 대응책 DB'!A7,"-")</f>
        <v>-</v>
      </c>
      <c r="Q26" s="237" t="str">
        <f>IF(W26="통제 적용",'잠재위험 및 대응책 DB'!B7,"-")</f>
        <v>-</v>
      </c>
      <c r="R26" s="207"/>
      <c r="S26" s="135" t="str">
        <f t="shared" si="0"/>
        <v>상</v>
      </c>
      <c r="T26" s="135">
        <f t="shared" si="4"/>
        <v>3</v>
      </c>
      <c r="U26" s="135" t="str">
        <f>IFERROR(IF(OR($M26="y",$M26="n/a"),"-",$G$10+(($K26-$N26)*2)),"-")</f>
        <v>-</v>
      </c>
      <c r="V26" s="135" t="str">
        <f t="shared" si="6"/>
        <v>-</v>
      </c>
      <c r="W26" s="135" t="str">
        <f t="shared" si="7"/>
        <v>-</v>
      </c>
      <c r="X26" s="135" t="str">
        <f t="shared" si="1"/>
        <v>-</v>
      </c>
      <c r="Z26" s="86">
        <v>5</v>
      </c>
      <c r="AA26" s="86">
        <v>4</v>
      </c>
      <c r="AB26" s="86">
        <v>5</v>
      </c>
      <c r="AC26" s="86">
        <f t="shared" si="9"/>
        <v>14</v>
      </c>
      <c r="AD26" s="86" t="s">
        <v>324</v>
      </c>
      <c r="AE26" s="86" t="s">
        <v>324</v>
      </c>
      <c r="AF26" s="86" t="s">
        <v>324</v>
      </c>
      <c r="AG26" s="86" t="s">
        <v>324</v>
      </c>
    </row>
    <row r="27" spans="1:33" ht="60" customHeight="1">
      <c r="B27" s="412"/>
      <c r="C27" s="413"/>
      <c r="D27" s="131" t="s">
        <v>46</v>
      </c>
      <c r="E27" s="381" t="str">
        <f>'요약 통계'!D12</f>
        <v>불필요한 계정 제거</v>
      </c>
      <c r="F27" s="382"/>
      <c r="G27" s="382"/>
      <c r="H27" s="382"/>
      <c r="I27" s="383"/>
      <c r="J27" s="168" t="str">
        <f>'요약 통계'!E12</f>
        <v>하</v>
      </c>
      <c r="K27" s="132">
        <f>IF(M27="N/A","-",'요약 통계'!F12)</f>
        <v>1</v>
      </c>
      <c r="L27" s="133" t="s">
        <v>221</v>
      </c>
      <c r="M27" s="125" t="s">
        <v>133</v>
      </c>
      <c r="N27" s="134">
        <f t="shared" si="3"/>
        <v>1</v>
      </c>
      <c r="O27" s="186" t="s">
        <v>380</v>
      </c>
      <c r="P27" s="236" t="str">
        <f>IF(M27="N",'잠재위험 및 대응책 DB'!A8,"-")</f>
        <v>-</v>
      </c>
      <c r="Q27" s="237" t="str">
        <f>IF(W27="통제 적용",'잠재위험 및 대응책 DB'!B8,"-")</f>
        <v>-</v>
      </c>
      <c r="R27" s="207"/>
      <c r="S27" s="135" t="str">
        <f t="shared" si="0"/>
        <v>하</v>
      </c>
      <c r="T27" s="135">
        <f t="shared" si="4"/>
        <v>1</v>
      </c>
      <c r="U27" s="135" t="str">
        <f t="shared" si="5"/>
        <v>-</v>
      </c>
      <c r="V27" s="135" t="str">
        <f t="shared" si="6"/>
        <v>-</v>
      </c>
      <c r="W27" s="135" t="str">
        <f t="shared" si="7"/>
        <v>-</v>
      </c>
      <c r="X27" s="135" t="str">
        <f t="shared" si="1"/>
        <v>-</v>
      </c>
      <c r="Z27" s="86">
        <v>5</v>
      </c>
      <c r="AA27" s="86">
        <v>2</v>
      </c>
      <c r="AB27" s="86">
        <v>5</v>
      </c>
      <c r="AC27" s="86">
        <f t="shared" si="9"/>
        <v>12</v>
      </c>
      <c r="AD27" s="86" t="s">
        <v>324</v>
      </c>
      <c r="AE27" s="86" t="s">
        <v>324</v>
      </c>
      <c r="AF27" s="86" t="s">
        <v>324</v>
      </c>
      <c r="AG27" s="86" t="s">
        <v>324</v>
      </c>
    </row>
    <row r="28" spans="1:33" ht="60" customHeight="1">
      <c r="B28" s="411"/>
      <c r="C28" s="411"/>
      <c r="D28" s="131" t="s">
        <v>47</v>
      </c>
      <c r="E28" s="381" t="str">
        <f>'요약 통계'!D13</f>
        <v>관리자 그룹에 최소한의 계정 포함</v>
      </c>
      <c r="F28" s="382"/>
      <c r="G28" s="382"/>
      <c r="H28" s="382"/>
      <c r="I28" s="383"/>
      <c r="J28" s="168" t="str">
        <f>'요약 통계'!E13</f>
        <v>중</v>
      </c>
      <c r="K28" s="132">
        <f>IF(M28="N/A","-",'요약 통계'!F13)</f>
        <v>2</v>
      </c>
      <c r="L28" s="133" t="s">
        <v>221</v>
      </c>
      <c r="M28" s="125" t="s">
        <v>133</v>
      </c>
      <c r="N28" s="134">
        <f t="shared" si="3"/>
        <v>2</v>
      </c>
      <c r="O28" s="186" t="s">
        <v>381</v>
      </c>
      <c r="P28" s="236" t="str">
        <f>IF(M28="N",'잠재위험 및 대응책 DB'!A9,"-")</f>
        <v>-</v>
      </c>
      <c r="Q28" s="237" t="str">
        <f>IF(W28="통제 적용",'잠재위험 및 대응책 DB'!B9,"-")</f>
        <v>-</v>
      </c>
      <c r="R28" s="207"/>
      <c r="S28" s="135" t="str">
        <f t="shared" si="0"/>
        <v>중</v>
      </c>
      <c r="T28" s="135">
        <f t="shared" si="4"/>
        <v>2</v>
      </c>
      <c r="U28" s="135" t="str">
        <f t="shared" si="5"/>
        <v>-</v>
      </c>
      <c r="V28" s="135" t="str">
        <f t="shared" si="6"/>
        <v>-</v>
      </c>
      <c r="W28" s="135" t="str">
        <f t="shared" si="7"/>
        <v>-</v>
      </c>
      <c r="X28" s="135" t="str">
        <f t="shared" si="1"/>
        <v>-</v>
      </c>
      <c r="Z28" s="86">
        <v>5</v>
      </c>
      <c r="AA28" s="86">
        <v>3</v>
      </c>
      <c r="AB28" s="86">
        <v>5</v>
      </c>
      <c r="AC28" s="86">
        <f t="shared" ref="AC28:AC29" si="10">SUM(Z28:AB28)</f>
        <v>13</v>
      </c>
      <c r="AD28" s="86" t="s">
        <v>324</v>
      </c>
      <c r="AE28" s="86" t="s">
        <v>324</v>
      </c>
      <c r="AF28" s="86" t="s">
        <v>324</v>
      </c>
      <c r="AG28" s="86" t="s">
        <v>324</v>
      </c>
    </row>
    <row r="29" spans="1:33" ht="60" customHeight="1">
      <c r="B29" s="412"/>
      <c r="C29" s="413"/>
      <c r="D29" s="131" t="s">
        <v>48</v>
      </c>
      <c r="E29" s="370" t="str">
        <f>'요약 통계'!D14</f>
        <v>계정이 존재하지 않는 GID 금지</v>
      </c>
      <c r="F29" s="370"/>
      <c r="G29" s="370"/>
      <c r="H29" s="370"/>
      <c r="I29" s="370"/>
      <c r="J29" s="168" t="str">
        <f>'요약 통계'!E14</f>
        <v>하</v>
      </c>
      <c r="K29" s="132">
        <f>IF(M29="N/A","-",'요약 통계'!F14)</f>
        <v>1</v>
      </c>
      <c r="L29" s="133" t="s">
        <v>221</v>
      </c>
      <c r="M29" s="125" t="s">
        <v>133</v>
      </c>
      <c r="N29" s="134">
        <f t="shared" si="3"/>
        <v>1</v>
      </c>
      <c r="O29" s="186" t="s">
        <v>382</v>
      </c>
      <c r="P29" s="236" t="str">
        <f>IF(M29="N",'잠재위험 및 대응책 DB'!A10,"-")</f>
        <v>-</v>
      </c>
      <c r="Q29" s="237" t="str">
        <f>IF(W29="통제 적용",'잠재위험 및 대응책 DB'!B10,"-")</f>
        <v>-</v>
      </c>
      <c r="R29" s="207"/>
      <c r="S29" s="135" t="str">
        <f t="shared" si="0"/>
        <v>하</v>
      </c>
      <c r="T29" s="135">
        <f t="shared" si="4"/>
        <v>1</v>
      </c>
      <c r="U29" s="135" t="str">
        <f t="shared" si="5"/>
        <v>-</v>
      </c>
      <c r="V29" s="135" t="str">
        <f t="shared" si="6"/>
        <v>-</v>
      </c>
      <c r="W29" s="135" t="str">
        <f t="shared" si="7"/>
        <v>-</v>
      </c>
      <c r="X29" s="135" t="str">
        <f t="shared" si="1"/>
        <v>-</v>
      </c>
      <c r="Z29" s="86">
        <v>5</v>
      </c>
      <c r="AA29" s="86">
        <v>2</v>
      </c>
      <c r="AB29" s="86">
        <v>5</v>
      </c>
      <c r="AC29" s="86">
        <f t="shared" si="10"/>
        <v>12</v>
      </c>
      <c r="AD29" s="86" t="s">
        <v>324</v>
      </c>
      <c r="AE29" s="86" t="s">
        <v>324</v>
      </c>
      <c r="AF29" s="86" t="s">
        <v>324</v>
      </c>
      <c r="AG29" s="86" t="s">
        <v>324</v>
      </c>
    </row>
    <row r="30" spans="1:33" ht="60" customHeight="1">
      <c r="B30" s="412"/>
      <c r="C30" s="413"/>
      <c r="D30" s="131" t="s">
        <v>49</v>
      </c>
      <c r="E30" s="381" t="str">
        <f>'요약 통계'!D15</f>
        <v>동일한 UID 금지</v>
      </c>
      <c r="F30" s="382"/>
      <c r="G30" s="382"/>
      <c r="H30" s="382"/>
      <c r="I30" s="383"/>
      <c r="J30" s="168" t="str">
        <f>'요약 통계'!E15</f>
        <v>중</v>
      </c>
      <c r="K30" s="132">
        <f>IF(M30="N/A","-",'요약 통계'!F15)</f>
        <v>2</v>
      </c>
      <c r="L30" s="133" t="s">
        <v>223</v>
      </c>
      <c r="M30" s="125" t="s">
        <v>133</v>
      </c>
      <c r="N30" s="134">
        <f t="shared" si="3"/>
        <v>2</v>
      </c>
      <c r="O30" s="186" t="s">
        <v>383</v>
      </c>
      <c r="P30" s="236" t="str">
        <f>IF(M30="N",'잠재위험 및 대응책 DB'!A11,"-")</f>
        <v>-</v>
      </c>
      <c r="Q30" s="237" t="str">
        <f>IF(W30="통제 적용",'잠재위험 및 대응책 DB'!B11,"-")</f>
        <v>-</v>
      </c>
      <c r="R30" s="207"/>
      <c r="S30" s="135" t="str">
        <f t="shared" si="0"/>
        <v>중</v>
      </c>
      <c r="T30" s="135">
        <f t="shared" si="4"/>
        <v>2</v>
      </c>
      <c r="U30" s="135" t="str">
        <f t="shared" si="5"/>
        <v>-</v>
      </c>
      <c r="V30" s="135" t="str">
        <f t="shared" si="6"/>
        <v>-</v>
      </c>
      <c r="W30" s="135" t="str">
        <f t="shared" si="7"/>
        <v>-</v>
      </c>
      <c r="X30" s="135" t="str">
        <f t="shared" si="1"/>
        <v>-</v>
      </c>
      <c r="Z30" s="86">
        <v>5</v>
      </c>
      <c r="AA30" s="86">
        <v>3</v>
      </c>
      <c r="AB30" s="86">
        <v>5</v>
      </c>
      <c r="AC30" s="86">
        <f t="shared" si="9"/>
        <v>13</v>
      </c>
      <c r="AD30" s="86" t="s">
        <v>324</v>
      </c>
      <c r="AE30" s="86" t="s">
        <v>324</v>
      </c>
      <c r="AF30" s="86" t="s">
        <v>324</v>
      </c>
      <c r="AG30" s="86" t="s">
        <v>324</v>
      </c>
    </row>
    <row r="31" spans="1:33" ht="60" customHeight="1">
      <c r="B31" s="412"/>
      <c r="C31" s="413"/>
      <c r="D31" s="131" t="s">
        <v>50</v>
      </c>
      <c r="E31" s="381" t="str">
        <f>'요약 통계'!D16</f>
        <v>사용자 shell 점검</v>
      </c>
      <c r="F31" s="382"/>
      <c r="G31" s="382"/>
      <c r="H31" s="382"/>
      <c r="I31" s="383"/>
      <c r="J31" s="168" t="str">
        <f>'요약 통계'!E16</f>
        <v>하</v>
      </c>
      <c r="K31" s="132">
        <f>IF(M31="N/A","-",'요약 통계'!F16)</f>
        <v>1</v>
      </c>
      <c r="L31" s="133" t="s">
        <v>223</v>
      </c>
      <c r="M31" s="125" t="s">
        <v>133</v>
      </c>
      <c r="N31" s="134">
        <f t="shared" si="3"/>
        <v>1</v>
      </c>
      <c r="O31" s="186" t="s">
        <v>384</v>
      </c>
      <c r="P31" s="236" t="str">
        <f>IF(M31="N",'잠재위험 및 대응책 DB'!A12,"-")</f>
        <v>-</v>
      </c>
      <c r="Q31" s="237" t="str">
        <f>IF(W31="통제 적용",'잠재위험 및 대응책 DB'!B12,"-")</f>
        <v>-</v>
      </c>
      <c r="R31" s="207"/>
      <c r="S31" s="135" t="str">
        <f t="shared" si="0"/>
        <v>하</v>
      </c>
      <c r="T31" s="135">
        <f t="shared" si="4"/>
        <v>1</v>
      </c>
      <c r="U31" s="135" t="str">
        <f t="shared" si="5"/>
        <v>-</v>
      </c>
      <c r="V31" s="135" t="str">
        <f t="shared" si="6"/>
        <v>-</v>
      </c>
      <c r="W31" s="135" t="str">
        <f t="shared" si="7"/>
        <v>-</v>
      </c>
      <c r="X31" s="135" t="str">
        <f t="shared" si="1"/>
        <v>-</v>
      </c>
      <c r="Z31" s="86">
        <v>5</v>
      </c>
      <c r="AA31" s="86">
        <v>2</v>
      </c>
      <c r="AB31" s="86">
        <v>5</v>
      </c>
      <c r="AC31" s="86">
        <f t="shared" si="9"/>
        <v>12</v>
      </c>
      <c r="AD31" s="86" t="s">
        <v>324</v>
      </c>
      <c r="AE31" s="86" t="s">
        <v>324</v>
      </c>
      <c r="AF31" s="86" t="s">
        <v>324</v>
      </c>
      <c r="AG31" s="86" t="s">
        <v>324</v>
      </c>
    </row>
    <row r="32" spans="1:33" ht="60" customHeight="1">
      <c r="B32" s="411"/>
      <c r="C32" s="411"/>
      <c r="D32" s="131" t="s">
        <v>52</v>
      </c>
      <c r="E32" s="381" t="str">
        <f>'요약 통계'!D17</f>
        <v>세션 종료 시간 설정</v>
      </c>
      <c r="F32" s="382"/>
      <c r="G32" s="382"/>
      <c r="H32" s="382"/>
      <c r="I32" s="383"/>
      <c r="J32" s="168" t="str">
        <f>'요약 통계'!E17</f>
        <v>하</v>
      </c>
      <c r="K32" s="132">
        <f>IF(M32="N/A","-",'요약 통계'!F17)</f>
        <v>1</v>
      </c>
      <c r="L32" s="133" t="s">
        <v>223</v>
      </c>
      <c r="M32" s="125" t="s">
        <v>133</v>
      </c>
      <c r="N32" s="134">
        <f t="shared" si="3"/>
        <v>1</v>
      </c>
      <c r="O32" s="186" t="s">
        <v>385</v>
      </c>
      <c r="P32" s="236" t="str">
        <f>IF(M32="N",'잠재위험 및 대응책 DB'!A13,"-")</f>
        <v>-</v>
      </c>
      <c r="Q32" s="237" t="str">
        <f>IF(W32="통제 적용",'잠재위험 및 대응책 DB'!B13,"-")</f>
        <v>-</v>
      </c>
      <c r="R32" s="207"/>
      <c r="S32" s="135" t="str">
        <f t="shared" si="0"/>
        <v>하</v>
      </c>
      <c r="T32" s="135">
        <f t="shared" si="4"/>
        <v>1</v>
      </c>
      <c r="U32" s="135" t="str">
        <f t="shared" si="5"/>
        <v>-</v>
      </c>
      <c r="V32" s="135" t="str">
        <f t="shared" si="6"/>
        <v>-</v>
      </c>
      <c r="W32" s="135" t="str">
        <f t="shared" si="7"/>
        <v>-</v>
      </c>
      <c r="X32" s="135" t="str">
        <f t="shared" si="1"/>
        <v>-</v>
      </c>
      <c r="Z32" s="86">
        <v>5</v>
      </c>
      <c r="AA32" s="86">
        <v>2</v>
      </c>
      <c r="AB32" s="86">
        <v>5</v>
      </c>
      <c r="AC32" s="86">
        <f t="shared" si="9"/>
        <v>12</v>
      </c>
      <c r="AD32" s="86" t="s">
        <v>324</v>
      </c>
      <c r="AE32" s="86" t="s">
        <v>324</v>
      </c>
      <c r="AF32" s="86" t="s">
        <v>324</v>
      </c>
      <c r="AG32" s="86" t="s">
        <v>324</v>
      </c>
    </row>
    <row r="33" spans="2:33" ht="60" customHeight="1" thickBot="1">
      <c r="B33" s="414"/>
      <c r="C33" s="415"/>
      <c r="D33" s="149" t="s">
        <v>54</v>
      </c>
      <c r="E33" s="370" t="str">
        <f>'요약 통계'!D18</f>
        <v>안전한 비밀번호 암호화 알고리즘 사용</v>
      </c>
      <c r="F33" s="370"/>
      <c r="G33" s="370"/>
      <c r="H33" s="370"/>
      <c r="I33" s="370"/>
      <c r="J33" s="150" t="str">
        <f>'요약 통계'!E18</f>
        <v>중</v>
      </c>
      <c r="K33" s="150">
        <f>IF(M33="N/A","-",'요약 통계'!F18)</f>
        <v>2</v>
      </c>
      <c r="L33" s="151" t="s">
        <v>222</v>
      </c>
      <c r="M33" s="125" t="s">
        <v>133</v>
      </c>
      <c r="N33" s="134">
        <f t="shared" si="3"/>
        <v>2</v>
      </c>
      <c r="O33" s="212" t="s">
        <v>386</v>
      </c>
      <c r="P33" s="238" t="str">
        <f>IF(M33="N",'잠재위험 및 대응책 DB'!A14,"-")</f>
        <v>-</v>
      </c>
      <c r="Q33" s="238" t="str">
        <f>IF(W33="통제 적용",'잠재위험 및 대응책 DB'!B14,"-")</f>
        <v>-</v>
      </c>
      <c r="R33" s="207"/>
      <c r="S33" s="156" t="str">
        <f t="shared" si="0"/>
        <v>중</v>
      </c>
      <c r="T33" s="156">
        <f t="shared" si="4"/>
        <v>2</v>
      </c>
      <c r="U33" s="156" t="str">
        <f t="shared" si="5"/>
        <v>-</v>
      </c>
      <c r="V33" s="156" t="str">
        <f t="shared" si="6"/>
        <v>-</v>
      </c>
      <c r="W33" s="156" t="str">
        <f t="shared" si="7"/>
        <v>-</v>
      </c>
      <c r="X33" s="156" t="str">
        <f t="shared" si="1"/>
        <v>-</v>
      </c>
      <c r="Z33" s="86">
        <v>5</v>
      </c>
      <c r="AA33" s="86">
        <v>3</v>
      </c>
      <c r="AB33" s="86">
        <v>5</v>
      </c>
      <c r="AC33" s="86">
        <f t="shared" si="9"/>
        <v>13</v>
      </c>
      <c r="AD33" s="86" t="s">
        <v>324</v>
      </c>
      <c r="AE33" s="86" t="s">
        <v>324</v>
      </c>
      <c r="AF33" s="86" t="s">
        <v>324</v>
      </c>
      <c r="AG33" s="86" t="s">
        <v>324</v>
      </c>
    </row>
    <row r="34" spans="2:33" ht="60" customHeight="1">
      <c r="B34" s="416" t="str">
        <f>'요약 통계'!B19</f>
        <v>파일 및 디렉터리 관리</v>
      </c>
      <c r="C34" s="417"/>
      <c r="D34" s="217" t="s">
        <v>56</v>
      </c>
      <c r="E34" s="381" t="str">
        <f>'요약 통계'!D19</f>
        <v>root 홈, 패스 디렉터리 권한 및 패스 설정</v>
      </c>
      <c r="F34" s="382"/>
      <c r="G34" s="382"/>
      <c r="H34" s="382"/>
      <c r="I34" s="383"/>
      <c r="J34" s="199" t="str">
        <f>'요약 통계'!E19</f>
        <v>상</v>
      </c>
      <c r="K34" s="218">
        <f>IF(M34="N/A","-",'요약 통계'!F19)</f>
        <v>3</v>
      </c>
      <c r="L34" s="219" t="s">
        <v>223</v>
      </c>
      <c r="M34" s="126" t="s">
        <v>133</v>
      </c>
      <c r="N34" s="134">
        <f t="shared" si="3"/>
        <v>3</v>
      </c>
      <c r="O34" s="220" t="s">
        <v>387</v>
      </c>
      <c r="P34" s="246" t="str">
        <f>IF(M34="N",'잠재위험 및 대응책 DB'!A15,"-")</f>
        <v>-</v>
      </c>
      <c r="Q34" s="240" t="str">
        <f>IF(W34="통제 적용",'잠재위험 및 대응책 DB'!B17,"-")</f>
        <v>-</v>
      </c>
      <c r="R34" s="208"/>
      <c r="S34" s="147" t="str">
        <f t="shared" si="0"/>
        <v>상</v>
      </c>
      <c r="T34" s="148">
        <f t="shared" si="4"/>
        <v>3</v>
      </c>
      <c r="U34" s="148" t="str">
        <f t="shared" si="5"/>
        <v>-</v>
      </c>
      <c r="V34" s="148" t="str">
        <f t="shared" si="6"/>
        <v>-</v>
      </c>
      <c r="W34" s="148" t="str">
        <f t="shared" si="7"/>
        <v>-</v>
      </c>
      <c r="X34" s="148" t="str">
        <f t="shared" si="1"/>
        <v>-</v>
      </c>
      <c r="Z34" s="189">
        <v>5</v>
      </c>
      <c r="AA34" s="189">
        <v>4</v>
      </c>
      <c r="AB34" s="189">
        <v>5</v>
      </c>
      <c r="AC34" s="104">
        <f t="shared" si="9"/>
        <v>14</v>
      </c>
      <c r="AD34" s="104" t="s">
        <v>324</v>
      </c>
      <c r="AE34" s="104" t="s">
        <v>324</v>
      </c>
      <c r="AF34" s="104" t="s">
        <v>324</v>
      </c>
      <c r="AG34" s="256"/>
    </row>
    <row r="35" spans="2:33" ht="60" customHeight="1">
      <c r="B35" s="418"/>
      <c r="C35" s="419"/>
      <c r="D35" s="211" t="s">
        <v>57</v>
      </c>
      <c r="E35" s="381" t="str">
        <f>'요약 통계'!D20</f>
        <v>파일 및 디렉터리 소유자 설정</v>
      </c>
      <c r="F35" s="382"/>
      <c r="G35" s="382"/>
      <c r="H35" s="382"/>
      <c r="I35" s="383"/>
      <c r="J35" s="168" t="str">
        <f>'요약 통계'!E20</f>
        <v>상</v>
      </c>
      <c r="K35" s="137">
        <f>IF(M35="N/A","-",'요약 통계'!F20)</f>
        <v>3</v>
      </c>
      <c r="L35" s="138" t="s">
        <v>222</v>
      </c>
      <c r="M35" s="126" t="s">
        <v>133</v>
      </c>
      <c r="N35" s="134">
        <f t="shared" si="3"/>
        <v>3</v>
      </c>
      <c r="O35" s="215" t="s">
        <v>388</v>
      </c>
      <c r="P35" s="247" t="str">
        <f>IF(M35="N",'잠재위험 및 대응책 DB'!A16,"-")</f>
        <v>-</v>
      </c>
      <c r="Q35" s="241" t="str">
        <f>IF(W35="통제 적용",'잠재위험 및 대응책 DB'!B18,"-")</f>
        <v>-</v>
      </c>
      <c r="R35" s="208"/>
      <c r="S35" s="140" t="str">
        <f t="shared" si="0"/>
        <v>상</v>
      </c>
      <c r="T35" s="92">
        <f t="shared" si="4"/>
        <v>3</v>
      </c>
      <c r="U35" s="92" t="str">
        <f t="shared" si="5"/>
        <v>-</v>
      </c>
      <c r="V35" s="92" t="str">
        <f t="shared" si="6"/>
        <v>-</v>
      </c>
      <c r="W35" s="92" t="str">
        <f t="shared" si="7"/>
        <v>-</v>
      </c>
      <c r="X35" s="92" t="str">
        <f t="shared" si="1"/>
        <v>-</v>
      </c>
      <c r="Z35" s="189">
        <v>5</v>
      </c>
      <c r="AA35" s="189">
        <v>4</v>
      </c>
      <c r="AB35" s="189">
        <v>5</v>
      </c>
      <c r="AC35" s="104">
        <f t="shared" si="9"/>
        <v>14</v>
      </c>
      <c r="AD35" s="104" t="s">
        <v>324</v>
      </c>
      <c r="AE35" s="104" t="s">
        <v>324</v>
      </c>
      <c r="AF35" s="104" t="s">
        <v>324</v>
      </c>
      <c r="AG35" s="256"/>
    </row>
    <row r="36" spans="2:33" ht="60" customHeight="1">
      <c r="B36" s="418"/>
      <c r="C36" s="419"/>
      <c r="D36" s="211" t="s">
        <v>58</v>
      </c>
      <c r="E36" s="381" t="str">
        <f>'요약 통계'!D21</f>
        <v>/etc/passwd 파일 소유자 및 권한 설정</v>
      </c>
      <c r="F36" s="382"/>
      <c r="G36" s="382"/>
      <c r="H36" s="382"/>
      <c r="I36" s="383"/>
      <c r="J36" s="168" t="str">
        <f>'요약 통계'!E21</f>
        <v>상</v>
      </c>
      <c r="K36" s="137">
        <f>IF(M36="N/A","-",'요약 통계'!F21)</f>
        <v>3</v>
      </c>
      <c r="L36" s="138" t="s">
        <v>222</v>
      </c>
      <c r="M36" s="126" t="s">
        <v>133</v>
      </c>
      <c r="N36" s="134">
        <f t="shared" si="3"/>
        <v>3</v>
      </c>
      <c r="O36" s="215" t="s">
        <v>327</v>
      </c>
      <c r="P36" s="247" t="str">
        <f>IF(M36="N",'잠재위험 및 대응책 DB'!A17,"-")</f>
        <v>-</v>
      </c>
      <c r="Q36" s="241" t="str">
        <f>IF(W36="통제 적용",'잠재위험 및 대응책 DB'!B19,"-")</f>
        <v>-</v>
      </c>
      <c r="R36" s="208"/>
      <c r="S36" s="140" t="str">
        <f t="shared" si="0"/>
        <v>상</v>
      </c>
      <c r="T36" s="92">
        <f t="shared" si="4"/>
        <v>3</v>
      </c>
      <c r="U36" s="92" t="str">
        <f t="shared" si="5"/>
        <v>-</v>
      </c>
      <c r="V36" s="92" t="str">
        <f t="shared" si="6"/>
        <v>-</v>
      </c>
      <c r="W36" s="92" t="str">
        <f t="shared" si="7"/>
        <v>-</v>
      </c>
      <c r="X36" s="92" t="str">
        <f t="shared" si="1"/>
        <v>-</v>
      </c>
      <c r="Z36" s="189">
        <v>5</v>
      </c>
      <c r="AA36" s="189">
        <v>4</v>
      </c>
      <c r="AB36" s="189">
        <v>5</v>
      </c>
      <c r="AC36" s="104">
        <f t="shared" si="9"/>
        <v>14</v>
      </c>
      <c r="AD36" s="104" t="s">
        <v>324</v>
      </c>
      <c r="AE36" s="104" t="s">
        <v>324</v>
      </c>
      <c r="AF36" s="104" t="s">
        <v>324</v>
      </c>
      <c r="AG36" s="256"/>
    </row>
    <row r="37" spans="2:33" ht="60" customHeight="1">
      <c r="B37" s="418"/>
      <c r="C37" s="419"/>
      <c r="D37" s="211" t="s">
        <v>60</v>
      </c>
      <c r="E37" s="370" t="str">
        <f>'요약 통계'!D22</f>
        <v>시스템 시작 스크립트 권한 설정</v>
      </c>
      <c r="F37" s="370"/>
      <c r="G37" s="370"/>
      <c r="H37" s="370"/>
      <c r="I37" s="370"/>
      <c r="J37" s="168" t="str">
        <f>'요약 통계'!E22</f>
        <v>상</v>
      </c>
      <c r="K37" s="137">
        <f>IF(M37="N/A","-",'요약 통계'!F22)</f>
        <v>3</v>
      </c>
      <c r="L37" s="138" t="s">
        <v>221</v>
      </c>
      <c r="M37" s="126" t="s">
        <v>133</v>
      </c>
      <c r="N37" s="134">
        <f t="shared" si="3"/>
        <v>3</v>
      </c>
      <c r="O37" s="215" t="s">
        <v>389</v>
      </c>
      <c r="P37" s="247" t="str">
        <f>IF(M37="N",'잠재위험 및 대응책 DB'!A18,"-")</f>
        <v>-</v>
      </c>
      <c r="Q37" s="241" t="str">
        <f>IF(W37="통제 적용",'잠재위험 및 대응책 DB'!B20,"-")</f>
        <v>-</v>
      </c>
      <c r="R37" s="208"/>
      <c r="S37" s="140" t="str">
        <f t="shared" si="0"/>
        <v>상</v>
      </c>
      <c r="T37" s="92">
        <f t="shared" si="4"/>
        <v>3</v>
      </c>
      <c r="U37" s="92" t="str">
        <f t="shared" si="5"/>
        <v>-</v>
      </c>
      <c r="V37" s="92" t="str">
        <f t="shared" si="6"/>
        <v>-</v>
      </c>
      <c r="W37" s="92" t="str">
        <f t="shared" si="7"/>
        <v>-</v>
      </c>
      <c r="X37" s="92" t="str">
        <f t="shared" si="1"/>
        <v>-</v>
      </c>
      <c r="Z37" s="189">
        <v>5</v>
      </c>
      <c r="AA37" s="189">
        <v>4</v>
      </c>
      <c r="AB37" s="189">
        <v>5</v>
      </c>
      <c r="AC37" s="104">
        <f t="shared" si="9"/>
        <v>14</v>
      </c>
      <c r="AD37" s="104" t="s">
        <v>324</v>
      </c>
      <c r="AE37" s="104" t="s">
        <v>324</v>
      </c>
      <c r="AF37" s="104" t="s">
        <v>324</v>
      </c>
      <c r="AG37" s="256"/>
    </row>
    <row r="38" spans="2:33" ht="60" customHeight="1">
      <c r="B38" s="420"/>
      <c r="C38" s="420"/>
      <c r="D38" s="211" t="s">
        <v>62</v>
      </c>
      <c r="E38" s="381" t="str">
        <f>'요약 통계'!D23</f>
        <v>/etc/shadow 파일 소유자 및 권한 설정</v>
      </c>
      <c r="F38" s="382"/>
      <c r="G38" s="382"/>
      <c r="H38" s="382"/>
      <c r="I38" s="383"/>
      <c r="J38" s="168" t="str">
        <f>'요약 통계'!E23</f>
        <v>상</v>
      </c>
      <c r="K38" s="137">
        <f>IF(M38="N/A","-",'요약 통계'!F23)</f>
        <v>3</v>
      </c>
      <c r="L38" s="138" t="s">
        <v>223</v>
      </c>
      <c r="M38" s="126" t="s">
        <v>133</v>
      </c>
      <c r="N38" s="134">
        <f t="shared" si="3"/>
        <v>3</v>
      </c>
      <c r="O38" s="215" t="s">
        <v>390</v>
      </c>
      <c r="P38" s="247" t="str">
        <f>IF(M38="N",'잠재위험 및 대응책 DB'!A19,"-")</f>
        <v>-</v>
      </c>
      <c r="Q38" s="241" t="str">
        <f>IF(W38="통제 적용",'잠재위험 및 대응책 DB'!B21,"-")</f>
        <v>-</v>
      </c>
      <c r="R38" s="208"/>
      <c r="S38" s="140" t="str">
        <f t="shared" si="0"/>
        <v>상</v>
      </c>
      <c r="T38" s="92">
        <f t="shared" si="4"/>
        <v>3</v>
      </c>
      <c r="U38" s="92" t="str">
        <f t="shared" si="5"/>
        <v>-</v>
      </c>
      <c r="V38" s="92" t="str">
        <f t="shared" si="6"/>
        <v>-</v>
      </c>
      <c r="W38" s="92" t="str">
        <f t="shared" si="7"/>
        <v>-</v>
      </c>
      <c r="X38" s="92" t="str">
        <f t="shared" si="1"/>
        <v>-</v>
      </c>
      <c r="Z38" s="189">
        <v>5</v>
      </c>
      <c r="AA38" s="189">
        <v>4</v>
      </c>
      <c r="AB38" s="189">
        <v>5</v>
      </c>
      <c r="AC38" s="104">
        <f t="shared" si="9"/>
        <v>14</v>
      </c>
      <c r="AD38" s="104" t="s">
        <v>324</v>
      </c>
      <c r="AE38" s="104" t="s">
        <v>324</v>
      </c>
      <c r="AF38" s="104" t="s">
        <v>324</v>
      </c>
      <c r="AG38" s="256"/>
    </row>
    <row r="39" spans="2:33" ht="60" customHeight="1">
      <c r="B39" s="418"/>
      <c r="C39" s="419"/>
      <c r="D39" s="211" t="s">
        <v>336</v>
      </c>
      <c r="E39" s="381" t="str">
        <f>'요약 통계'!D24</f>
        <v>/etc/hosts 파일 소유자 및 권한 설정</v>
      </c>
      <c r="F39" s="382"/>
      <c r="G39" s="382"/>
      <c r="H39" s="382"/>
      <c r="I39" s="383"/>
      <c r="J39" s="168" t="str">
        <f>'요약 통계'!E24</f>
        <v>상</v>
      </c>
      <c r="K39" s="137">
        <f>IF(M39="N/A","-",'요약 통계'!F24)</f>
        <v>3</v>
      </c>
      <c r="L39" s="138" t="s">
        <v>223</v>
      </c>
      <c r="M39" s="126" t="s">
        <v>133</v>
      </c>
      <c r="N39" s="134">
        <f t="shared" si="3"/>
        <v>3</v>
      </c>
      <c r="O39" s="215" t="s">
        <v>391</v>
      </c>
      <c r="P39" s="247" t="str">
        <f>IF(M39="N",'잠재위험 및 대응책 DB'!A20,"-")</f>
        <v>-</v>
      </c>
      <c r="Q39" s="241" t="str">
        <f>IF(W39="통제 적용",'잠재위험 및 대응책 DB'!B22,"-")</f>
        <v>-</v>
      </c>
      <c r="R39" s="208"/>
      <c r="S39" s="140" t="str">
        <f t="shared" si="0"/>
        <v>상</v>
      </c>
      <c r="T39" s="92">
        <f t="shared" si="4"/>
        <v>3</v>
      </c>
      <c r="U39" s="92" t="str">
        <f t="shared" si="5"/>
        <v>-</v>
      </c>
      <c r="V39" s="92" t="str">
        <f t="shared" si="6"/>
        <v>-</v>
      </c>
      <c r="W39" s="92" t="str">
        <f t="shared" si="7"/>
        <v>-</v>
      </c>
      <c r="X39" s="92" t="str">
        <f t="shared" si="1"/>
        <v>-</v>
      </c>
      <c r="Z39" s="189">
        <v>5</v>
      </c>
      <c r="AA39" s="189">
        <v>4</v>
      </c>
      <c r="AB39" s="189">
        <v>5</v>
      </c>
      <c r="AC39" s="104">
        <f t="shared" si="9"/>
        <v>14</v>
      </c>
      <c r="AD39" s="104" t="s">
        <v>324</v>
      </c>
      <c r="AE39" s="104" t="s">
        <v>324</v>
      </c>
      <c r="AF39" s="104" t="s">
        <v>324</v>
      </c>
      <c r="AG39" s="256"/>
    </row>
    <row r="40" spans="2:33" ht="60" customHeight="1">
      <c r="B40" s="418"/>
      <c r="C40" s="419"/>
      <c r="D40" s="211" t="s">
        <v>337</v>
      </c>
      <c r="E40" s="381" t="str">
        <f>'요약 통계'!D25</f>
        <v>/etc/(x)inetd.conf 파일 소유자 및 권한 설정</v>
      </c>
      <c r="F40" s="382"/>
      <c r="G40" s="382"/>
      <c r="H40" s="382"/>
      <c r="I40" s="383"/>
      <c r="J40" s="168" t="str">
        <f>'요약 통계'!E25</f>
        <v>상</v>
      </c>
      <c r="K40" s="137">
        <f>IF(M40="N/A","-",'요약 통계'!F25)</f>
        <v>3</v>
      </c>
      <c r="L40" s="138" t="s">
        <v>223</v>
      </c>
      <c r="M40" s="126" t="s">
        <v>133</v>
      </c>
      <c r="N40" s="134">
        <f t="shared" si="3"/>
        <v>3</v>
      </c>
      <c r="O40" s="215" t="s">
        <v>392</v>
      </c>
      <c r="P40" s="247" t="str">
        <f>IF(M40="N",'잠재위험 및 대응책 DB'!A21,"-")</f>
        <v>-</v>
      </c>
      <c r="Q40" s="241" t="str">
        <f>IF(W40="통제 적용",'잠재위험 및 대응책 DB'!B23,"-")</f>
        <v>-</v>
      </c>
      <c r="R40" s="208"/>
      <c r="S40" s="140" t="str">
        <f t="shared" si="0"/>
        <v>상</v>
      </c>
      <c r="T40" s="92">
        <f t="shared" si="4"/>
        <v>3</v>
      </c>
      <c r="U40" s="92" t="str">
        <f t="shared" si="5"/>
        <v>-</v>
      </c>
      <c r="V40" s="92" t="str">
        <f t="shared" si="6"/>
        <v>-</v>
      </c>
      <c r="W40" s="92" t="str">
        <f t="shared" si="7"/>
        <v>-</v>
      </c>
      <c r="X40" s="92" t="str">
        <f t="shared" si="1"/>
        <v>-</v>
      </c>
      <c r="Z40" s="189">
        <v>5</v>
      </c>
      <c r="AA40" s="189">
        <v>4</v>
      </c>
      <c r="AB40" s="189">
        <v>5</v>
      </c>
      <c r="AC40" s="104">
        <f t="shared" si="9"/>
        <v>14</v>
      </c>
      <c r="AD40" s="104" t="s">
        <v>324</v>
      </c>
      <c r="AE40" s="104" t="s">
        <v>324</v>
      </c>
      <c r="AF40" s="104" t="s">
        <v>324</v>
      </c>
      <c r="AG40" s="256"/>
    </row>
    <row r="41" spans="2:33" ht="60" customHeight="1">
      <c r="B41" s="418"/>
      <c r="C41" s="419"/>
      <c r="D41" s="211" t="s">
        <v>66</v>
      </c>
      <c r="E41" s="370" t="str">
        <f>'요약 통계'!D26</f>
        <v>/etc/(r)syslog.conf 파일 소유자 및 권한 설정</v>
      </c>
      <c r="F41" s="370"/>
      <c r="G41" s="370"/>
      <c r="H41" s="370"/>
      <c r="I41" s="370"/>
      <c r="J41" s="168" t="str">
        <f>'요약 통계'!E26</f>
        <v>상</v>
      </c>
      <c r="K41" s="137">
        <f>IF(M41="N/A","-",'요약 통계'!F26)</f>
        <v>3</v>
      </c>
      <c r="L41" s="138" t="s">
        <v>223</v>
      </c>
      <c r="M41" s="126" t="s">
        <v>133</v>
      </c>
      <c r="N41" s="134">
        <f t="shared" si="3"/>
        <v>3</v>
      </c>
      <c r="O41" s="215" t="s">
        <v>393</v>
      </c>
      <c r="P41" s="247" t="str">
        <f>IF(M41="N",'잠재위험 및 대응책 DB'!A22,"-")</f>
        <v>-</v>
      </c>
      <c r="Q41" s="241" t="str">
        <f>IF(W41="통제 적용",'잠재위험 및 대응책 DB'!B24,"-")</f>
        <v>-</v>
      </c>
      <c r="R41" s="208"/>
      <c r="S41" s="140" t="str">
        <f t="shared" si="0"/>
        <v>상</v>
      </c>
      <c r="T41" s="92">
        <f t="shared" si="4"/>
        <v>3</v>
      </c>
      <c r="U41" s="92" t="str">
        <f t="shared" si="5"/>
        <v>-</v>
      </c>
      <c r="V41" s="92" t="str">
        <f t="shared" si="6"/>
        <v>-</v>
      </c>
      <c r="W41" s="92" t="str">
        <f t="shared" si="7"/>
        <v>-</v>
      </c>
      <c r="X41" s="92" t="str">
        <f t="shared" si="1"/>
        <v>-</v>
      </c>
      <c r="Z41" s="189">
        <v>5</v>
      </c>
      <c r="AA41" s="189">
        <v>4</v>
      </c>
      <c r="AB41" s="189">
        <v>5</v>
      </c>
      <c r="AC41" s="104">
        <f t="shared" si="9"/>
        <v>14</v>
      </c>
      <c r="AD41" s="104" t="s">
        <v>324</v>
      </c>
      <c r="AE41" s="104" t="s">
        <v>324</v>
      </c>
      <c r="AF41" s="104" t="s">
        <v>324</v>
      </c>
      <c r="AG41" s="256"/>
    </row>
    <row r="42" spans="2:33" ht="60" customHeight="1">
      <c r="B42" s="420"/>
      <c r="C42" s="420"/>
      <c r="D42" s="211" t="s">
        <v>68</v>
      </c>
      <c r="E42" s="381" t="str">
        <f>'요약 통계'!D27</f>
        <v>/etc/services 파일 소유자 및 권한 설정</v>
      </c>
      <c r="F42" s="382"/>
      <c r="G42" s="382"/>
      <c r="H42" s="382"/>
      <c r="I42" s="383"/>
      <c r="J42" s="168" t="str">
        <f>'요약 통계'!E27</f>
        <v>상</v>
      </c>
      <c r="K42" s="137">
        <f>IF(M42="N/A","-",'요약 통계'!F27)</f>
        <v>3</v>
      </c>
      <c r="L42" s="138" t="s">
        <v>223</v>
      </c>
      <c r="M42" s="126" t="s">
        <v>133</v>
      </c>
      <c r="N42" s="134">
        <f t="shared" si="3"/>
        <v>3</v>
      </c>
      <c r="O42" s="215" t="s">
        <v>394</v>
      </c>
      <c r="P42" s="247" t="str">
        <f>IF(M42="N",'잠재위험 및 대응책 DB'!A23,"-")</f>
        <v>-</v>
      </c>
      <c r="Q42" s="241" t="str">
        <f>IF(W42="통제 적용",'잠재위험 및 대응책 DB'!B25,"-")</f>
        <v>-</v>
      </c>
      <c r="R42" s="208"/>
      <c r="S42" s="140" t="str">
        <f t="shared" si="0"/>
        <v>상</v>
      </c>
      <c r="T42" s="92">
        <f t="shared" si="4"/>
        <v>3</v>
      </c>
      <c r="U42" s="92" t="str">
        <f t="shared" si="5"/>
        <v>-</v>
      </c>
      <c r="V42" s="92" t="str">
        <f t="shared" si="6"/>
        <v>-</v>
      </c>
      <c r="W42" s="92" t="str">
        <f t="shared" si="7"/>
        <v>-</v>
      </c>
      <c r="X42" s="92" t="str">
        <f t="shared" si="1"/>
        <v>-</v>
      </c>
      <c r="Z42" s="189">
        <v>5</v>
      </c>
      <c r="AA42" s="189">
        <v>4</v>
      </c>
      <c r="AB42" s="189">
        <v>5</v>
      </c>
      <c r="AC42" s="104">
        <f t="shared" si="9"/>
        <v>14</v>
      </c>
      <c r="AD42" s="104" t="s">
        <v>324</v>
      </c>
      <c r="AE42" s="104" t="s">
        <v>324</v>
      </c>
      <c r="AF42" s="104" t="s">
        <v>324</v>
      </c>
      <c r="AG42" s="256"/>
    </row>
    <row r="43" spans="2:33" ht="60" customHeight="1">
      <c r="B43" s="418"/>
      <c r="C43" s="419"/>
      <c r="D43" s="211" t="s">
        <v>69</v>
      </c>
      <c r="E43" s="381" t="str">
        <f>'요약 통계'!D28</f>
        <v>SUID, SGID, Sticky bit 설정 파일 점검</v>
      </c>
      <c r="F43" s="382"/>
      <c r="G43" s="382"/>
      <c r="H43" s="382"/>
      <c r="I43" s="383"/>
      <c r="J43" s="168" t="str">
        <f>'요약 통계'!E28</f>
        <v>상</v>
      </c>
      <c r="K43" s="137">
        <f>IF(M43="N/A","-",'요약 통계'!F28)</f>
        <v>3</v>
      </c>
      <c r="L43" s="138" t="s">
        <v>223</v>
      </c>
      <c r="M43" s="126" t="s">
        <v>133</v>
      </c>
      <c r="N43" s="134">
        <f t="shared" si="3"/>
        <v>3</v>
      </c>
      <c r="O43" s="215" t="s">
        <v>395</v>
      </c>
      <c r="P43" s="247" t="str">
        <f>IF(M43="N",'잠재위험 및 대응책 DB'!A24,"-")</f>
        <v>-</v>
      </c>
      <c r="Q43" s="241" t="str">
        <f>IF(W43="통제 적용",'잠재위험 및 대응책 DB'!B26,"-")</f>
        <v>-</v>
      </c>
      <c r="R43" s="208"/>
      <c r="S43" s="140" t="str">
        <f t="shared" si="0"/>
        <v>상</v>
      </c>
      <c r="T43" s="92">
        <f t="shared" si="4"/>
        <v>3</v>
      </c>
      <c r="U43" s="92" t="str">
        <f t="shared" si="5"/>
        <v>-</v>
      </c>
      <c r="V43" s="92" t="str">
        <f t="shared" si="6"/>
        <v>-</v>
      </c>
      <c r="W43" s="92" t="str">
        <f t="shared" si="7"/>
        <v>-</v>
      </c>
      <c r="X43" s="92" t="str">
        <f t="shared" si="1"/>
        <v>-</v>
      </c>
      <c r="Z43" s="189">
        <v>5</v>
      </c>
      <c r="AA43" s="189">
        <v>4</v>
      </c>
      <c r="AB43" s="189">
        <v>5</v>
      </c>
      <c r="AC43" s="104">
        <f t="shared" si="9"/>
        <v>14</v>
      </c>
      <c r="AD43" s="104" t="s">
        <v>324</v>
      </c>
      <c r="AE43" s="104" t="s">
        <v>324</v>
      </c>
      <c r="AF43" s="104" t="s">
        <v>324</v>
      </c>
      <c r="AG43" s="256"/>
    </row>
    <row r="44" spans="2:33" ht="60" customHeight="1">
      <c r="B44" s="418"/>
      <c r="C44" s="419"/>
      <c r="D44" s="211" t="s">
        <v>71</v>
      </c>
      <c r="E44" s="381" t="str">
        <f>'요약 통계'!D29</f>
        <v>사용자, 시스템 환경변수 파일 소유자 및 권한 설정</v>
      </c>
      <c r="F44" s="382"/>
      <c r="G44" s="382"/>
      <c r="H44" s="382"/>
      <c r="I44" s="383"/>
      <c r="J44" s="168" t="str">
        <f>'요약 통계'!E29</f>
        <v>상</v>
      </c>
      <c r="K44" s="137">
        <f>IF(M44="N/A","-",'요약 통계'!F29)</f>
        <v>3</v>
      </c>
      <c r="L44" s="138" t="s">
        <v>221</v>
      </c>
      <c r="M44" s="126" t="s">
        <v>133</v>
      </c>
      <c r="N44" s="134">
        <f t="shared" si="3"/>
        <v>3</v>
      </c>
      <c r="O44" s="215" t="s">
        <v>396</v>
      </c>
      <c r="P44" s="247" t="str">
        <f>IF(M44="N",'잠재위험 및 대응책 DB'!A25,"-")</f>
        <v>-</v>
      </c>
      <c r="Q44" s="241" t="str">
        <f>IF(W44="통제 적용",'잠재위험 및 대응책 DB'!B27,"-")</f>
        <v>-</v>
      </c>
      <c r="R44" s="208"/>
      <c r="S44" s="140" t="str">
        <f t="shared" si="0"/>
        <v>상</v>
      </c>
      <c r="T44" s="92">
        <f t="shared" si="4"/>
        <v>3</v>
      </c>
      <c r="U44" s="92" t="str">
        <f t="shared" si="5"/>
        <v>-</v>
      </c>
      <c r="V44" s="92" t="str">
        <f t="shared" si="6"/>
        <v>-</v>
      </c>
      <c r="W44" s="92" t="str">
        <f t="shared" si="7"/>
        <v>-</v>
      </c>
      <c r="X44" s="92" t="str">
        <f t="shared" si="1"/>
        <v>-</v>
      </c>
      <c r="Z44" s="189">
        <v>5</v>
      </c>
      <c r="AA44" s="189">
        <v>4</v>
      </c>
      <c r="AB44" s="189">
        <v>5</v>
      </c>
      <c r="AC44" s="104">
        <f t="shared" si="9"/>
        <v>14</v>
      </c>
      <c r="AD44" s="104" t="s">
        <v>324</v>
      </c>
      <c r="AE44" s="104" t="s">
        <v>324</v>
      </c>
      <c r="AF44" s="104" t="s">
        <v>324</v>
      </c>
      <c r="AG44" s="256"/>
    </row>
    <row r="45" spans="2:33" ht="60" customHeight="1">
      <c r="B45" s="418"/>
      <c r="C45" s="419"/>
      <c r="D45" s="211" t="s">
        <v>72</v>
      </c>
      <c r="E45" s="370" t="str">
        <f>'요약 통계'!D30</f>
        <v>world writable 파일 점검</v>
      </c>
      <c r="F45" s="370"/>
      <c r="G45" s="370"/>
      <c r="H45" s="370"/>
      <c r="I45" s="370"/>
      <c r="J45" s="168" t="str">
        <f>'요약 통계'!E30</f>
        <v>상</v>
      </c>
      <c r="K45" s="137">
        <f>IF(M45="N/A","-",'요약 통계'!F30)</f>
        <v>3</v>
      </c>
      <c r="L45" s="138" t="s">
        <v>224</v>
      </c>
      <c r="M45" s="126" t="s">
        <v>133</v>
      </c>
      <c r="N45" s="134">
        <f t="shared" si="3"/>
        <v>3</v>
      </c>
      <c r="O45" s="215" t="s">
        <v>397</v>
      </c>
      <c r="P45" s="247" t="str">
        <f>IF(M45="N",'잠재위험 및 대응책 DB'!A26,"-")</f>
        <v>-</v>
      </c>
      <c r="Q45" s="241" t="str">
        <f>IF(W45="통제 적용",'잠재위험 및 대응책 DB'!B28,"-")</f>
        <v>-</v>
      </c>
      <c r="R45" s="208"/>
      <c r="S45" s="140" t="str">
        <f>J45</f>
        <v>상</v>
      </c>
      <c r="T45" s="92">
        <f t="shared" si="4"/>
        <v>3</v>
      </c>
      <c r="U45" s="92" t="str">
        <f t="shared" si="5"/>
        <v>-</v>
      </c>
      <c r="V45" s="92" t="str">
        <f t="shared" si="6"/>
        <v>-</v>
      </c>
      <c r="W45" s="92" t="str">
        <f t="shared" si="7"/>
        <v>-</v>
      </c>
      <c r="X45" s="92" t="str">
        <f t="shared" si="1"/>
        <v>-</v>
      </c>
      <c r="Z45" s="189">
        <v>5</v>
      </c>
      <c r="AA45" s="189">
        <v>4</v>
      </c>
      <c r="AB45" s="189">
        <v>5</v>
      </c>
      <c r="AC45" s="104">
        <f t="shared" si="9"/>
        <v>14</v>
      </c>
      <c r="AD45" s="104" t="s">
        <v>324</v>
      </c>
      <c r="AE45" s="104" t="s">
        <v>324</v>
      </c>
      <c r="AF45" s="104" t="s">
        <v>324</v>
      </c>
      <c r="AG45" s="256"/>
    </row>
    <row r="46" spans="2:33" ht="60" customHeight="1">
      <c r="B46" s="418"/>
      <c r="C46" s="419"/>
      <c r="D46" s="211" t="s">
        <v>73</v>
      </c>
      <c r="E46" s="381" t="str">
        <f>'요약 통계'!D31</f>
        <v>/dev에 존재하지 않는 device 파일 점검</v>
      </c>
      <c r="F46" s="382"/>
      <c r="G46" s="382"/>
      <c r="H46" s="382"/>
      <c r="I46" s="383"/>
      <c r="J46" s="168" t="str">
        <f>'요약 통계'!E31</f>
        <v>상</v>
      </c>
      <c r="K46" s="137">
        <f>IF(M46="N/A","-",'요약 통계'!F31)</f>
        <v>3</v>
      </c>
      <c r="L46" s="138" t="s">
        <v>220</v>
      </c>
      <c r="M46" s="126" t="s">
        <v>133</v>
      </c>
      <c r="N46" s="134">
        <f t="shared" si="3"/>
        <v>3</v>
      </c>
      <c r="O46" s="215" t="s">
        <v>398</v>
      </c>
      <c r="P46" s="247" t="str">
        <f>IF(M46="N",'잠재위험 및 대응책 DB'!A27,"-")</f>
        <v>-</v>
      </c>
      <c r="Q46" s="241" t="str">
        <f>IF(W46="통제 적용",'잠재위험 및 대응책 DB'!B29,"-")</f>
        <v>-</v>
      </c>
      <c r="R46" s="208"/>
      <c r="S46" s="140" t="str">
        <f t="shared" si="0"/>
        <v>상</v>
      </c>
      <c r="T46" s="92">
        <f t="shared" si="4"/>
        <v>3</v>
      </c>
      <c r="U46" s="92" t="str">
        <f t="shared" si="5"/>
        <v>-</v>
      </c>
      <c r="V46" s="92" t="str">
        <f t="shared" si="6"/>
        <v>-</v>
      </c>
      <c r="W46" s="92" t="str">
        <f t="shared" si="7"/>
        <v>-</v>
      </c>
      <c r="X46" s="92" t="str">
        <f t="shared" si="1"/>
        <v>-</v>
      </c>
      <c r="Z46" s="189">
        <v>5</v>
      </c>
      <c r="AA46" s="189">
        <v>4</v>
      </c>
      <c r="AB46" s="189">
        <v>5</v>
      </c>
      <c r="AC46" s="104">
        <f t="shared" si="9"/>
        <v>14</v>
      </c>
      <c r="AD46" s="104" t="s">
        <v>324</v>
      </c>
      <c r="AE46" s="104" t="s">
        <v>324</v>
      </c>
      <c r="AF46" s="104" t="s">
        <v>324</v>
      </c>
      <c r="AG46" s="256"/>
    </row>
    <row r="47" spans="2:33" ht="60" customHeight="1">
      <c r="B47" s="418"/>
      <c r="C47" s="419"/>
      <c r="D47" s="211" t="s">
        <v>75</v>
      </c>
      <c r="E47" s="381" t="str">
        <f>'요약 통계'!D32</f>
        <v>$HOME/.rhosts, hosts.equiv 사용 금지</v>
      </c>
      <c r="F47" s="382"/>
      <c r="G47" s="382"/>
      <c r="H47" s="382"/>
      <c r="I47" s="383"/>
      <c r="J47" s="168" t="str">
        <f>'요약 통계'!E32</f>
        <v>상</v>
      </c>
      <c r="K47" s="137">
        <f>IF(M47="N/A","-",'요약 통계'!F32)</f>
        <v>3</v>
      </c>
      <c r="L47" s="138" t="s">
        <v>220</v>
      </c>
      <c r="M47" s="126" t="s">
        <v>133</v>
      </c>
      <c r="N47" s="134">
        <f t="shared" si="3"/>
        <v>3</v>
      </c>
      <c r="O47" s="215" t="s">
        <v>399</v>
      </c>
      <c r="P47" s="247" t="str">
        <f>IF(M47="N",'잠재위험 및 대응책 DB'!A28,"-")</f>
        <v>-</v>
      </c>
      <c r="Q47" s="241" t="str">
        <f>IF(W47="통제 적용",'잠재위험 및 대응책 DB'!B30,"-")</f>
        <v>-</v>
      </c>
      <c r="R47" s="208"/>
      <c r="S47" s="140" t="str">
        <f t="shared" si="0"/>
        <v>상</v>
      </c>
      <c r="T47" s="92">
        <f t="shared" si="4"/>
        <v>3</v>
      </c>
      <c r="U47" s="92" t="str">
        <f t="shared" si="5"/>
        <v>-</v>
      </c>
      <c r="V47" s="92" t="str">
        <f t="shared" si="6"/>
        <v>-</v>
      </c>
      <c r="W47" s="92" t="str">
        <f t="shared" si="7"/>
        <v>-</v>
      </c>
      <c r="X47" s="92" t="str">
        <f t="shared" si="1"/>
        <v>-</v>
      </c>
      <c r="Z47" s="189">
        <v>5</v>
      </c>
      <c r="AA47" s="189">
        <v>4</v>
      </c>
      <c r="AB47" s="189">
        <v>5</v>
      </c>
      <c r="AC47" s="104">
        <f t="shared" si="9"/>
        <v>14</v>
      </c>
      <c r="AD47" s="104" t="s">
        <v>324</v>
      </c>
      <c r="AE47" s="104" t="s">
        <v>324</v>
      </c>
      <c r="AF47" s="104" t="s">
        <v>324</v>
      </c>
      <c r="AG47" s="256"/>
    </row>
    <row r="48" spans="2:33" ht="60" customHeight="1">
      <c r="B48" s="418"/>
      <c r="C48" s="419"/>
      <c r="D48" s="211" t="s">
        <v>77</v>
      </c>
      <c r="E48" s="381" t="str">
        <f>'요약 통계'!D33</f>
        <v>접속 IP 및 포트 제한</v>
      </c>
      <c r="F48" s="382"/>
      <c r="G48" s="382"/>
      <c r="H48" s="382"/>
      <c r="I48" s="383"/>
      <c r="J48" s="168" t="str">
        <f>'요약 통계'!E33</f>
        <v>상</v>
      </c>
      <c r="K48" s="137">
        <f>IF(M48="N/A","-",'요약 통계'!F33)</f>
        <v>3</v>
      </c>
      <c r="L48" s="138" t="s">
        <v>220</v>
      </c>
      <c r="M48" s="126" t="s">
        <v>133</v>
      </c>
      <c r="N48" s="134">
        <f t="shared" si="3"/>
        <v>3</v>
      </c>
      <c r="O48" s="215" t="s">
        <v>400</v>
      </c>
      <c r="P48" s="247" t="str">
        <f>IF(M48="N",'잠재위험 및 대응책 DB'!A29,"-")</f>
        <v>-</v>
      </c>
      <c r="Q48" s="241" t="str">
        <f>IF(W48="통제 적용",'잠재위험 및 대응책 DB'!B31,"-")</f>
        <v>-</v>
      </c>
      <c r="R48" s="208"/>
      <c r="S48" s="140" t="str">
        <f t="shared" si="0"/>
        <v>상</v>
      </c>
      <c r="T48" s="92">
        <f t="shared" si="4"/>
        <v>3</v>
      </c>
      <c r="U48" s="92" t="str">
        <f t="shared" si="5"/>
        <v>-</v>
      </c>
      <c r="V48" s="92" t="str">
        <f t="shared" si="6"/>
        <v>-</v>
      </c>
      <c r="W48" s="92" t="str">
        <f t="shared" si="7"/>
        <v>-</v>
      </c>
      <c r="X48" s="92" t="str">
        <f t="shared" si="1"/>
        <v>-</v>
      </c>
      <c r="Z48" s="189">
        <v>5</v>
      </c>
      <c r="AA48" s="189">
        <v>4</v>
      </c>
      <c r="AB48" s="189">
        <v>5</v>
      </c>
      <c r="AC48" s="104">
        <f t="shared" si="9"/>
        <v>14</v>
      </c>
      <c r="AD48" s="104" t="s">
        <v>324</v>
      </c>
      <c r="AE48" s="104" t="s">
        <v>324</v>
      </c>
      <c r="AF48" s="104" t="s">
        <v>324</v>
      </c>
      <c r="AG48" s="256"/>
    </row>
    <row r="49" spans="2:33" ht="60" customHeight="1">
      <c r="B49" s="420"/>
      <c r="C49" s="420"/>
      <c r="D49" s="211" t="s">
        <v>79</v>
      </c>
      <c r="E49" s="370" t="str">
        <f>'요약 통계'!D34</f>
        <v>hosts.lpd 파일 소유자 및 권한 설정</v>
      </c>
      <c r="F49" s="370"/>
      <c r="G49" s="370"/>
      <c r="H49" s="370"/>
      <c r="I49" s="370"/>
      <c r="J49" s="168" t="str">
        <f>'요약 통계'!E34</f>
        <v>하</v>
      </c>
      <c r="K49" s="137">
        <f>IF(M49="N/A","-",'요약 통계'!F34)</f>
        <v>1</v>
      </c>
      <c r="L49" s="138" t="s">
        <v>220</v>
      </c>
      <c r="M49" s="126" t="s">
        <v>133</v>
      </c>
      <c r="N49" s="134">
        <f t="shared" si="3"/>
        <v>1</v>
      </c>
      <c r="O49" s="215" t="s">
        <v>401</v>
      </c>
      <c r="P49" s="247" t="str">
        <f>IF(M49="N",'잠재위험 및 대응책 DB'!A30,"-")</f>
        <v>-</v>
      </c>
      <c r="Q49" s="241" t="str">
        <f>IF(W49="통제 적용",'잠재위험 및 대응책 DB'!#REF!,"-")</f>
        <v>-</v>
      </c>
      <c r="R49" s="208"/>
      <c r="S49" s="140" t="str">
        <f t="shared" si="0"/>
        <v>하</v>
      </c>
      <c r="T49" s="92">
        <f t="shared" si="4"/>
        <v>1</v>
      </c>
      <c r="U49" s="92" t="str">
        <f t="shared" si="5"/>
        <v>-</v>
      </c>
      <c r="V49" s="92" t="str">
        <f t="shared" si="6"/>
        <v>-</v>
      </c>
      <c r="W49" s="92" t="str">
        <f t="shared" si="7"/>
        <v>-</v>
      </c>
      <c r="X49" s="92" t="str">
        <f t="shared" si="1"/>
        <v>-</v>
      </c>
      <c r="Z49" s="104">
        <v>5</v>
      </c>
      <c r="AA49" s="104">
        <v>2</v>
      </c>
      <c r="AB49" s="104">
        <v>5</v>
      </c>
      <c r="AC49" s="104">
        <f t="shared" si="9"/>
        <v>12</v>
      </c>
      <c r="AD49" s="104" t="s">
        <v>324</v>
      </c>
      <c r="AE49" s="104" t="s">
        <v>324</v>
      </c>
      <c r="AF49" s="104" t="s">
        <v>324</v>
      </c>
      <c r="AG49" s="256"/>
    </row>
    <row r="50" spans="2:33" ht="60" customHeight="1">
      <c r="B50" s="418"/>
      <c r="C50" s="419"/>
      <c r="D50" s="211" t="s">
        <v>81</v>
      </c>
      <c r="E50" s="381" t="str">
        <f>'요약 통계'!D35</f>
        <v>UMASK 설정 관리</v>
      </c>
      <c r="F50" s="382"/>
      <c r="G50" s="382"/>
      <c r="H50" s="382"/>
      <c r="I50" s="383"/>
      <c r="J50" s="168" t="str">
        <f>'요약 통계'!E35</f>
        <v>중</v>
      </c>
      <c r="K50" s="137">
        <f>IF(M50="N/A","-",'요약 통계'!F35)</f>
        <v>2</v>
      </c>
      <c r="L50" s="138" t="s">
        <v>223</v>
      </c>
      <c r="M50" s="126" t="s">
        <v>133</v>
      </c>
      <c r="N50" s="134">
        <f t="shared" si="3"/>
        <v>2</v>
      </c>
      <c r="O50" s="215" t="s">
        <v>402</v>
      </c>
      <c r="P50" s="247" t="str">
        <f>IF(M50="N",'잠재위험 및 대응책 DB'!A31,"-")</f>
        <v>-</v>
      </c>
      <c r="Q50" s="241" t="str">
        <f>IF(W50="통제 적용",'잠재위험 및 대응책 DB'!B32,"-")</f>
        <v>-</v>
      </c>
      <c r="R50" s="208"/>
      <c r="S50" s="140" t="str">
        <f t="shared" si="0"/>
        <v>중</v>
      </c>
      <c r="T50" s="92">
        <f t="shared" si="4"/>
        <v>2</v>
      </c>
      <c r="U50" s="92" t="str">
        <f t="shared" si="5"/>
        <v>-</v>
      </c>
      <c r="V50" s="92" t="str">
        <f t="shared" si="6"/>
        <v>-</v>
      </c>
      <c r="W50" s="92" t="str">
        <f t="shared" si="7"/>
        <v>-</v>
      </c>
      <c r="X50" s="92" t="str">
        <f t="shared" si="1"/>
        <v>-</v>
      </c>
      <c r="Z50" s="104">
        <v>5</v>
      </c>
      <c r="AA50" s="104">
        <v>3</v>
      </c>
      <c r="AB50" s="104">
        <v>5</v>
      </c>
      <c r="AC50" s="104">
        <f t="shared" si="9"/>
        <v>13</v>
      </c>
      <c r="AD50" s="104" t="s">
        <v>324</v>
      </c>
      <c r="AE50" s="104" t="s">
        <v>324</v>
      </c>
      <c r="AF50" s="104" t="s">
        <v>324</v>
      </c>
      <c r="AG50" s="256"/>
    </row>
    <row r="51" spans="2:33" ht="60" customHeight="1">
      <c r="B51" s="418"/>
      <c r="C51" s="419"/>
      <c r="D51" s="211" t="s">
        <v>82</v>
      </c>
      <c r="E51" s="381" t="str">
        <f>'요약 통계'!D36</f>
        <v>홈 디렉터리 소유자 및 권한 설정</v>
      </c>
      <c r="F51" s="382"/>
      <c r="G51" s="382"/>
      <c r="H51" s="382"/>
      <c r="I51" s="383"/>
      <c r="J51" s="168" t="str">
        <f>'요약 통계'!E36</f>
        <v>중</v>
      </c>
      <c r="K51" s="137">
        <f>IF(M51="N/A","-",'요약 통계'!F36)</f>
        <v>2</v>
      </c>
      <c r="L51" s="138" t="s">
        <v>223</v>
      </c>
      <c r="M51" s="126" t="s">
        <v>133</v>
      </c>
      <c r="N51" s="134">
        <f t="shared" si="3"/>
        <v>2</v>
      </c>
      <c r="O51" s="215" t="s">
        <v>403</v>
      </c>
      <c r="P51" s="247" t="str">
        <f>IF(M51="N",'잠재위험 및 대응책 DB'!A32,"-")</f>
        <v>-</v>
      </c>
      <c r="Q51" s="241" t="str">
        <f>IF(W51="통제 적용",'잠재위험 및 대응책 DB'!B33,"-")</f>
        <v>-</v>
      </c>
      <c r="R51" s="208"/>
      <c r="S51" s="140" t="str">
        <f t="shared" si="0"/>
        <v>중</v>
      </c>
      <c r="T51" s="92">
        <f t="shared" si="4"/>
        <v>2</v>
      </c>
      <c r="U51" s="92" t="str">
        <f t="shared" si="5"/>
        <v>-</v>
      </c>
      <c r="V51" s="92" t="str">
        <f t="shared" si="6"/>
        <v>-</v>
      </c>
      <c r="W51" s="92" t="str">
        <f t="shared" si="7"/>
        <v>-</v>
      </c>
      <c r="X51" s="92" t="str">
        <f t="shared" si="1"/>
        <v>-</v>
      </c>
      <c r="Z51" s="104">
        <v>5</v>
      </c>
      <c r="AA51" s="104">
        <v>3</v>
      </c>
      <c r="AB51" s="104">
        <v>5</v>
      </c>
      <c r="AC51" s="104">
        <f t="shared" si="9"/>
        <v>13</v>
      </c>
      <c r="AD51" s="104" t="s">
        <v>324</v>
      </c>
      <c r="AE51" s="104" t="s">
        <v>324</v>
      </c>
      <c r="AF51" s="104" t="s">
        <v>324</v>
      </c>
      <c r="AG51" s="256"/>
    </row>
    <row r="52" spans="2:33" ht="60" customHeight="1">
      <c r="B52" s="418"/>
      <c r="C52" s="419"/>
      <c r="D52" s="211" t="s">
        <v>83</v>
      </c>
      <c r="E52" s="381" t="str">
        <f>'요약 통계'!D37</f>
        <v>홈 디렉터리로 지정한 디렉터리의 존재 관리</v>
      </c>
      <c r="F52" s="382"/>
      <c r="G52" s="382"/>
      <c r="H52" s="382"/>
      <c r="I52" s="383"/>
      <c r="J52" s="168" t="str">
        <f>'요약 통계'!E37</f>
        <v>중</v>
      </c>
      <c r="K52" s="137">
        <f>IF(M52="N/A","-",'요약 통계'!F37)</f>
        <v>2</v>
      </c>
      <c r="L52" s="138" t="s">
        <v>225</v>
      </c>
      <c r="M52" s="126" t="s">
        <v>133</v>
      </c>
      <c r="N52" s="134">
        <f t="shared" si="3"/>
        <v>2</v>
      </c>
      <c r="O52" s="215" t="s">
        <v>404</v>
      </c>
      <c r="P52" s="247" t="str">
        <f>IF(M52="N",'잠재위험 및 대응책 DB'!A33,"-")</f>
        <v>-</v>
      </c>
      <c r="Q52" s="241"/>
      <c r="R52" s="208"/>
      <c r="S52" s="140" t="str">
        <f t="shared" ref="S52:S53" si="11">J52</f>
        <v>중</v>
      </c>
      <c r="T52" s="92">
        <f t="shared" si="4"/>
        <v>2</v>
      </c>
      <c r="U52" s="92" t="str">
        <f t="shared" si="5"/>
        <v>-</v>
      </c>
      <c r="V52" s="92" t="str">
        <f t="shared" ref="V52:V53" si="12">IF(U52="-","-",IF(U52&gt;=7,"상",IF(U52&gt;=4,"중",IF(U52&gt;=2,"하","하"))))</f>
        <v>-</v>
      </c>
      <c r="W52" s="92" t="str">
        <f t="shared" ref="W52:W53" si="13">IF(U52="-","-",IF(U52&gt;=$I$10,"통제 적용","위험 수용"))</f>
        <v>-</v>
      </c>
      <c r="X52" s="92" t="str">
        <f t="shared" ref="X52:X53" si="14">IF(W52="통제 적용",D52,"-")</f>
        <v>-</v>
      </c>
      <c r="Z52" s="104">
        <v>5</v>
      </c>
      <c r="AA52" s="104">
        <v>3</v>
      </c>
      <c r="AB52" s="104">
        <v>5</v>
      </c>
      <c r="AC52" s="104">
        <f t="shared" ref="AC52" si="15">SUM(Z52:AB52)</f>
        <v>13</v>
      </c>
      <c r="AD52" s="104" t="s">
        <v>324</v>
      </c>
      <c r="AE52" s="104" t="s">
        <v>324</v>
      </c>
      <c r="AF52" s="104" t="s">
        <v>324</v>
      </c>
      <c r="AG52" s="256"/>
    </row>
    <row r="53" spans="2:33" ht="60" customHeight="1" thickBot="1">
      <c r="B53" s="421"/>
      <c r="C53" s="422"/>
      <c r="D53" s="221" t="s">
        <v>85</v>
      </c>
      <c r="E53" s="370" t="str">
        <f>'요약 통계'!D38</f>
        <v>숨겨진 파일 및 디렉터리 검색 및 제거</v>
      </c>
      <c r="F53" s="370"/>
      <c r="G53" s="370"/>
      <c r="H53" s="370"/>
      <c r="I53" s="370"/>
      <c r="J53" s="150" t="str">
        <f>'요약 통계'!E38</f>
        <v>하</v>
      </c>
      <c r="K53" s="163">
        <f>IF(M53="N/A","-",'요약 통계'!F38)</f>
        <v>1</v>
      </c>
      <c r="L53" s="164" t="s">
        <v>224</v>
      </c>
      <c r="M53" s="126" t="s">
        <v>133</v>
      </c>
      <c r="N53" s="134">
        <f t="shared" si="3"/>
        <v>1</v>
      </c>
      <c r="O53" s="216" t="s">
        <v>405</v>
      </c>
      <c r="P53" s="242" t="str">
        <f>IF(M53="N",'잠재위험 및 대응책 DB'!A34,"-")</f>
        <v>-</v>
      </c>
      <c r="Q53" s="242"/>
      <c r="R53" s="208"/>
      <c r="S53" s="140" t="str">
        <f t="shared" si="11"/>
        <v>하</v>
      </c>
      <c r="T53" s="92">
        <f t="shared" si="4"/>
        <v>1</v>
      </c>
      <c r="U53" s="92" t="str">
        <f t="shared" si="5"/>
        <v>-</v>
      </c>
      <c r="V53" s="92" t="str">
        <f t="shared" si="12"/>
        <v>-</v>
      </c>
      <c r="W53" s="92" t="str">
        <f t="shared" si="13"/>
        <v>-</v>
      </c>
      <c r="X53" s="92" t="str">
        <f t="shared" si="14"/>
        <v>-</v>
      </c>
      <c r="Z53" s="104">
        <v>5</v>
      </c>
      <c r="AA53" s="104">
        <v>2</v>
      </c>
      <c r="AB53" s="104">
        <v>5</v>
      </c>
      <c r="AC53" s="104">
        <f t="shared" ref="AC53" si="16">SUM(Z53:AB53)</f>
        <v>12</v>
      </c>
      <c r="AD53" s="104" t="s">
        <v>324</v>
      </c>
      <c r="AE53" s="104" t="s">
        <v>324</v>
      </c>
      <c r="AF53" s="104" t="s">
        <v>324</v>
      </c>
      <c r="AG53" s="256"/>
    </row>
    <row r="54" spans="2:33" ht="60" customHeight="1">
      <c r="B54" s="423" t="str">
        <f>'요약 통계'!B39</f>
        <v>서비스 관리</v>
      </c>
      <c r="C54" s="423"/>
      <c r="D54" s="222" t="s">
        <v>87</v>
      </c>
      <c r="E54" s="381" t="str">
        <f>'요약 통계'!D39</f>
        <v>Finger 서비스 비활성화</v>
      </c>
      <c r="F54" s="382"/>
      <c r="G54" s="382"/>
      <c r="H54" s="382"/>
      <c r="I54" s="383"/>
      <c r="J54" s="199" t="str">
        <f>'요약 통계'!E39</f>
        <v>상</v>
      </c>
      <c r="K54" s="223">
        <f>IF(M54="N/A","-",'요약 통계'!F39)</f>
        <v>3</v>
      </c>
      <c r="L54" s="203" t="s">
        <v>225</v>
      </c>
      <c r="M54" s="125" t="s">
        <v>133</v>
      </c>
      <c r="N54" s="134">
        <f t="shared" si="3"/>
        <v>3</v>
      </c>
      <c r="O54" s="224" t="s">
        <v>406</v>
      </c>
      <c r="P54" s="239" t="str">
        <f>IF(M54="N",'잠재위험 및 대응책 DB'!A35,"-")</f>
        <v>-</v>
      </c>
      <c r="Q54" s="243" t="str">
        <f>IF(W54="통제 적용",'잠재위험 및 대응책 DB'!B35,"-")</f>
        <v>-</v>
      </c>
      <c r="R54" s="207"/>
      <c r="S54" s="162" t="str">
        <f t="shared" ref="S54:S87" si="17">J54</f>
        <v>상</v>
      </c>
      <c r="T54" s="162">
        <f t="shared" si="4"/>
        <v>3</v>
      </c>
      <c r="U54" s="162" t="str">
        <f t="shared" si="5"/>
        <v>-</v>
      </c>
      <c r="V54" s="162" t="str">
        <f t="shared" si="6"/>
        <v>-</v>
      </c>
      <c r="W54" s="162" t="str">
        <f t="shared" si="7"/>
        <v>-</v>
      </c>
      <c r="X54" s="162" t="str">
        <f t="shared" ref="X54:X87" si="18">IF(W54="통제 적용",D54,"-")</f>
        <v>-</v>
      </c>
      <c r="Z54" s="86">
        <v>5</v>
      </c>
      <c r="AA54" s="86">
        <v>4</v>
      </c>
      <c r="AB54" s="86">
        <v>5</v>
      </c>
      <c r="AC54" s="86">
        <f t="shared" si="9"/>
        <v>14</v>
      </c>
      <c r="AD54" s="86" t="s">
        <v>324</v>
      </c>
      <c r="AE54" s="86" t="s">
        <v>324</v>
      </c>
      <c r="AF54" s="86" t="s">
        <v>324</v>
      </c>
      <c r="AG54" s="86" t="s">
        <v>324</v>
      </c>
    </row>
    <row r="55" spans="2:33" ht="60" customHeight="1">
      <c r="B55" s="424"/>
      <c r="C55" s="424"/>
      <c r="D55" s="157" t="s">
        <v>89</v>
      </c>
      <c r="E55" s="381" t="str">
        <f>'요약 통계'!D40</f>
        <v>공유 서비스에 대한 익명 접근 제한 설정</v>
      </c>
      <c r="F55" s="382"/>
      <c r="G55" s="382"/>
      <c r="H55" s="382"/>
      <c r="I55" s="383"/>
      <c r="J55" s="168" t="str">
        <f>'요약 통계'!E40</f>
        <v>상</v>
      </c>
      <c r="K55" s="132">
        <f>IF(M55="N/A","-",'요약 통계'!F40)</f>
        <v>3</v>
      </c>
      <c r="L55" s="133" t="s">
        <v>225</v>
      </c>
      <c r="M55" s="125" t="s">
        <v>133</v>
      </c>
      <c r="N55" s="134">
        <f t="shared" si="3"/>
        <v>3</v>
      </c>
      <c r="O55" s="186" t="s">
        <v>407</v>
      </c>
      <c r="P55" s="236" t="str">
        <f>IF(M55="N",'잠재위험 및 대응책 DB'!A36,"-")</f>
        <v>-</v>
      </c>
      <c r="Q55" s="237" t="str">
        <f>IF(W55="통제 적용",'잠재위험 및 대응책 DB'!B36,"-")</f>
        <v>-</v>
      </c>
      <c r="R55" s="207"/>
      <c r="S55" s="135" t="str">
        <f t="shared" si="17"/>
        <v>상</v>
      </c>
      <c r="T55" s="135">
        <f t="shared" si="4"/>
        <v>3</v>
      </c>
      <c r="U55" s="135" t="str">
        <f t="shared" si="5"/>
        <v>-</v>
      </c>
      <c r="V55" s="135" t="str">
        <f t="shared" si="6"/>
        <v>-</v>
      </c>
      <c r="W55" s="135" t="str">
        <f t="shared" si="7"/>
        <v>-</v>
      </c>
      <c r="X55" s="135" t="str">
        <f t="shared" si="18"/>
        <v>-</v>
      </c>
      <c r="Z55" s="86">
        <v>5</v>
      </c>
      <c r="AA55" s="86">
        <v>4</v>
      </c>
      <c r="AB55" s="86">
        <v>5</v>
      </c>
      <c r="AC55" s="86">
        <f t="shared" si="9"/>
        <v>14</v>
      </c>
      <c r="AD55" s="86" t="s">
        <v>324</v>
      </c>
      <c r="AE55" s="86" t="s">
        <v>324</v>
      </c>
      <c r="AF55" s="86" t="s">
        <v>324</v>
      </c>
      <c r="AG55" s="86" t="s">
        <v>324</v>
      </c>
    </row>
    <row r="56" spans="2:33" ht="60" customHeight="1">
      <c r="B56" s="424"/>
      <c r="C56" s="424"/>
      <c r="D56" s="157" t="s">
        <v>91</v>
      </c>
      <c r="E56" s="381" t="str">
        <f>'요약 통계'!D41</f>
        <v>r 계열 서비스 비활성화</v>
      </c>
      <c r="F56" s="382"/>
      <c r="G56" s="382"/>
      <c r="H56" s="382"/>
      <c r="I56" s="383"/>
      <c r="J56" s="168" t="str">
        <f>'요약 통계'!E41</f>
        <v>상</v>
      </c>
      <c r="K56" s="132">
        <f>IF(M56="N/A","-",'요약 통계'!F41)</f>
        <v>3</v>
      </c>
      <c r="L56" s="133" t="s">
        <v>225</v>
      </c>
      <c r="M56" s="125" t="s">
        <v>133</v>
      </c>
      <c r="N56" s="134">
        <f t="shared" si="3"/>
        <v>3</v>
      </c>
      <c r="O56" s="186" t="s">
        <v>408</v>
      </c>
      <c r="P56" s="236" t="str">
        <f>IF(M56="N",'잠재위험 및 대응책 DB'!A37,"-")</f>
        <v>-</v>
      </c>
      <c r="Q56" s="237" t="str">
        <f>IF(W56="통제 적용",'잠재위험 및 대응책 DB'!B37,"-")</f>
        <v>-</v>
      </c>
      <c r="R56" s="207"/>
      <c r="S56" s="135" t="str">
        <f t="shared" si="17"/>
        <v>상</v>
      </c>
      <c r="T56" s="135">
        <f t="shared" si="4"/>
        <v>3</v>
      </c>
      <c r="U56" s="135" t="str">
        <f t="shared" si="5"/>
        <v>-</v>
      </c>
      <c r="V56" s="135" t="str">
        <f t="shared" si="6"/>
        <v>-</v>
      </c>
      <c r="W56" s="135" t="str">
        <f t="shared" si="7"/>
        <v>-</v>
      </c>
      <c r="X56" s="135" t="str">
        <f t="shared" si="18"/>
        <v>-</v>
      </c>
      <c r="Z56" s="86">
        <v>5</v>
      </c>
      <c r="AA56" s="86">
        <v>4</v>
      </c>
      <c r="AB56" s="86">
        <v>5</v>
      </c>
      <c r="AC56" s="86">
        <f t="shared" si="9"/>
        <v>14</v>
      </c>
      <c r="AD56" s="86" t="s">
        <v>324</v>
      </c>
      <c r="AE56" s="86" t="s">
        <v>324</v>
      </c>
      <c r="AF56" s="86" t="s">
        <v>324</v>
      </c>
      <c r="AG56" s="86" t="s">
        <v>324</v>
      </c>
    </row>
    <row r="57" spans="2:33" ht="60" customHeight="1">
      <c r="B57" s="424"/>
      <c r="C57" s="424"/>
      <c r="D57" s="157" t="s">
        <v>93</v>
      </c>
      <c r="E57" s="370" t="str">
        <f>'요약 통계'!D42</f>
        <v>crontab 설정파일 권한 설정 미흡</v>
      </c>
      <c r="F57" s="370"/>
      <c r="G57" s="370"/>
      <c r="H57" s="370"/>
      <c r="I57" s="370"/>
      <c r="J57" s="168" t="str">
        <f>'요약 통계'!E42</f>
        <v>상</v>
      </c>
      <c r="K57" s="132">
        <f>IF(M57="N/A","-",'요약 통계'!F42)</f>
        <v>3</v>
      </c>
      <c r="L57" s="133" t="s">
        <v>223</v>
      </c>
      <c r="M57" s="125" t="s">
        <v>133</v>
      </c>
      <c r="N57" s="134">
        <f t="shared" si="3"/>
        <v>3</v>
      </c>
      <c r="O57" s="186" t="s">
        <v>409</v>
      </c>
      <c r="P57" s="236" t="str">
        <f>IF(M57="N",'잠재위험 및 대응책 DB'!A38,"-")</f>
        <v>-</v>
      </c>
      <c r="Q57" s="237" t="str">
        <f>IF(W57="통제 적용",'잠재위험 및 대응책 DB'!B38,"-")</f>
        <v>-</v>
      </c>
      <c r="R57" s="207"/>
      <c r="S57" s="135" t="str">
        <f t="shared" si="17"/>
        <v>상</v>
      </c>
      <c r="T57" s="135">
        <f t="shared" si="4"/>
        <v>3</v>
      </c>
      <c r="U57" s="135" t="str">
        <f t="shared" si="5"/>
        <v>-</v>
      </c>
      <c r="V57" s="135" t="str">
        <f t="shared" si="6"/>
        <v>-</v>
      </c>
      <c r="W57" s="135" t="str">
        <f t="shared" si="7"/>
        <v>-</v>
      </c>
      <c r="X57" s="135" t="str">
        <f t="shared" si="18"/>
        <v>-</v>
      </c>
      <c r="Z57" s="86">
        <v>5</v>
      </c>
      <c r="AA57" s="86">
        <v>4</v>
      </c>
      <c r="AB57" s="86">
        <v>5</v>
      </c>
      <c r="AC57" s="86"/>
      <c r="AD57" s="86" t="s">
        <v>324</v>
      </c>
      <c r="AE57" s="86" t="s">
        <v>324</v>
      </c>
      <c r="AF57" s="86" t="s">
        <v>324</v>
      </c>
      <c r="AG57" s="86" t="s">
        <v>324</v>
      </c>
    </row>
    <row r="58" spans="2:33" ht="60" customHeight="1">
      <c r="B58" s="424"/>
      <c r="C58" s="424"/>
      <c r="D58" s="157" t="s">
        <v>94</v>
      </c>
      <c r="E58" s="381" t="str">
        <f>'요약 통계'!D43</f>
        <v>DoS 공격에 취약한 서비스 비활성화</v>
      </c>
      <c r="F58" s="382"/>
      <c r="G58" s="382"/>
      <c r="H58" s="382"/>
      <c r="I58" s="383"/>
      <c r="J58" s="168" t="str">
        <f>'요약 통계'!E43</f>
        <v>상</v>
      </c>
      <c r="K58" s="132">
        <f>IF(M58="N/A","-",'요약 통계'!F43)</f>
        <v>3</v>
      </c>
      <c r="L58" s="133" t="s">
        <v>225</v>
      </c>
      <c r="M58" s="125" t="s">
        <v>133</v>
      </c>
      <c r="N58" s="134">
        <f t="shared" si="3"/>
        <v>3</v>
      </c>
      <c r="O58" s="186" t="s">
        <v>410</v>
      </c>
      <c r="P58" s="236" t="str">
        <f>IF(M58="N",'잠재위험 및 대응책 DB'!A39,"-")</f>
        <v>-</v>
      </c>
      <c r="Q58" s="237" t="str">
        <f>IF(W58="통제 적용",'잠재위험 및 대응책 DB'!B39,"-")</f>
        <v>-</v>
      </c>
      <c r="R58" s="207"/>
      <c r="S58" s="135" t="str">
        <f t="shared" si="17"/>
        <v>상</v>
      </c>
      <c r="T58" s="135">
        <f t="shared" si="4"/>
        <v>3</v>
      </c>
      <c r="U58" s="135" t="str">
        <f t="shared" si="5"/>
        <v>-</v>
      </c>
      <c r="V58" s="135" t="str">
        <f t="shared" si="6"/>
        <v>-</v>
      </c>
      <c r="W58" s="135" t="str">
        <f t="shared" si="7"/>
        <v>-</v>
      </c>
      <c r="X58" s="135" t="str">
        <f t="shared" si="18"/>
        <v>-</v>
      </c>
      <c r="Z58" s="86">
        <v>5</v>
      </c>
      <c r="AA58" s="86">
        <v>4</v>
      </c>
      <c r="AB58" s="86">
        <v>5</v>
      </c>
      <c r="AC58" s="86">
        <f t="shared" si="9"/>
        <v>14</v>
      </c>
      <c r="AD58" s="86" t="s">
        <v>324</v>
      </c>
      <c r="AE58" s="86" t="s">
        <v>324</v>
      </c>
      <c r="AF58" s="86" t="s">
        <v>324</v>
      </c>
      <c r="AG58" s="86" t="s">
        <v>324</v>
      </c>
    </row>
    <row r="59" spans="2:33" ht="60" customHeight="1">
      <c r="B59" s="424"/>
      <c r="C59" s="424"/>
      <c r="D59" s="157" t="s">
        <v>96</v>
      </c>
      <c r="E59" s="381" t="str">
        <f>'요약 통계'!D44</f>
        <v>불필요한 NFS 서비스 비활성화</v>
      </c>
      <c r="F59" s="382"/>
      <c r="G59" s="382"/>
      <c r="H59" s="382"/>
      <c r="I59" s="383"/>
      <c r="J59" s="168" t="str">
        <f>'요약 통계'!E44</f>
        <v>상</v>
      </c>
      <c r="K59" s="132">
        <f>IF(M59="N/A","-",'요약 통계'!F44)</f>
        <v>3</v>
      </c>
      <c r="L59" s="133" t="s">
        <v>225</v>
      </c>
      <c r="M59" s="125" t="s">
        <v>133</v>
      </c>
      <c r="N59" s="134">
        <f t="shared" si="3"/>
        <v>3</v>
      </c>
      <c r="O59" s="186" t="s">
        <v>411</v>
      </c>
      <c r="P59" s="236" t="str">
        <f>IF(M59="N",'잠재위험 및 대응책 DB'!A40,"-")</f>
        <v>-</v>
      </c>
      <c r="Q59" s="237" t="str">
        <f>IF(W59="통제 적용",'잠재위험 및 대응책 DB'!B40,"-")</f>
        <v>-</v>
      </c>
      <c r="R59" s="207"/>
      <c r="S59" s="135" t="str">
        <f t="shared" si="17"/>
        <v>상</v>
      </c>
      <c r="T59" s="135">
        <f t="shared" si="4"/>
        <v>3</v>
      </c>
      <c r="U59" s="135" t="str">
        <f t="shared" si="5"/>
        <v>-</v>
      </c>
      <c r="V59" s="135" t="str">
        <f t="shared" si="6"/>
        <v>-</v>
      </c>
      <c r="W59" s="135" t="str">
        <f t="shared" si="7"/>
        <v>-</v>
      </c>
      <c r="X59" s="135" t="str">
        <f t="shared" si="18"/>
        <v>-</v>
      </c>
      <c r="Z59" s="86">
        <v>5</v>
      </c>
      <c r="AA59" s="86">
        <v>4</v>
      </c>
      <c r="AB59" s="86">
        <v>5</v>
      </c>
      <c r="AC59" s="86">
        <f t="shared" si="9"/>
        <v>14</v>
      </c>
      <c r="AD59" s="86" t="s">
        <v>324</v>
      </c>
      <c r="AE59" s="86" t="s">
        <v>324</v>
      </c>
      <c r="AF59" s="86" t="s">
        <v>324</v>
      </c>
      <c r="AG59" s="86" t="s">
        <v>324</v>
      </c>
    </row>
    <row r="60" spans="2:33" ht="60" customHeight="1">
      <c r="B60" s="424"/>
      <c r="C60" s="424"/>
      <c r="D60" s="157" t="s">
        <v>97</v>
      </c>
      <c r="E60" s="381" t="str">
        <f>'요약 통계'!D45</f>
        <v>NFS 접근통제</v>
      </c>
      <c r="F60" s="382"/>
      <c r="G60" s="382"/>
      <c r="H60" s="382"/>
      <c r="I60" s="383"/>
      <c r="J60" s="168" t="str">
        <f>'요약 통계'!E45</f>
        <v>상</v>
      </c>
      <c r="K60" s="132">
        <f>IF(M60="N/A","-",'요약 통계'!F45)</f>
        <v>3</v>
      </c>
      <c r="L60" s="133" t="s">
        <v>223</v>
      </c>
      <c r="M60" s="125" t="s">
        <v>133</v>
      </c>
      <c r="N60" s="134">
        <f t="shared" si="3"/>
        <v>3</v>
      </c>
      <c r="O60" s="186" t="s">
        <v>412</v>
      </c>
      <c r="P60" s="236" t="str">
        <f>IF(M60="N",'잠재위험 및 대응책 DB'!A41,"-")</f>
        <v>-</v>
      </c>
      <c r="Q60" s="237" t="str">
        <f>IF(W60="통제 적용",'잠재위험 및 대응책 DB'!B41,"-")</f>
        <v>-</v>
      </c>
      <c r="R60" s="207"/>
      <c r="S60" s="135" t="str">
        <f t="shared" si="17"/>
        <v>상</v>
      </c>
      <c r="T60" s="135">
        <f t="shared" si="4"/>
        <v>3</v>
      </c>
      <c r="U60" s="135" t="str">
        <f t="shared" si="5"/>
        <v>-</v>
      </c>
      <c r="V60" s="135" t="str">
        <f t="shared" si="6"/>
        <v>-</v>
      </c>
      <c r="W60" s="135" t="str">
        <f t="shared" si="7"/>
        <v>-</v>
      </c>
      <c r="X60" s="135" t="str">
        <f t="shared" si="18"/>
        <v>-</v>
      </c>
      <c r="Z60" s="86">
        <v>5</v>
      </c>
      <c r="AA60" s="86">
        <v>4</v>
      </c>
      <c r="AB60" s="86">
        <v>5</v>
      </c>
      <c r="AC60" s="86">
        <f t="shared" si="9"/>
        <v>14</v>
      </c>
      <c r="AD60" s="86" t="s">
        <v>324</v>
      </c>
      <c r="AE60" s="86" t="s">
        <v>324</v>
      </c>
      <c r="AF60" s="86" t="s">
        <v>324</v>
      </c>
      <c r="AG60" s="86" t="s">
        <v>324</v>
      </c>
    </row>
    <row r="61" spans="2:33" ht="60" customHeight="1">
      <c r="B61" s="424"/>
      <c r="C61" s="424"/>
      <c r="D61" s="157" t="s">
        <v>99</v>
      </c>
      <c r="E61" s="370" t="str">
        <f>'요약 통계'!D46</f>
        <v>불필요한 automountd 제거</v>
      </c>
      <c r="F61" s="370"/>
      <c r="G61" s="370"/>
      <c r="H61" s="370"/>
      <c r="I61" s="370"/>
      <c r="J61" s="168" t="str">
        <f>'요약 통계'!E46</f>
        <v>상</v>
      </c>
      <c r="K61" s="132">
        <f>IF(M61="N/A","-",'요약 통계'!F46)</f>
        <v>3</v>
      </c>
      <c r="L61" s="133" t="s">
        <v>225</v>
      </c>
      <c r="M61" s="125" t="s">
        <v>133</v>
      </c>
      <c r="N61" s="134">
        <f t="shared" si="3"/>
        <v>3</v>
      </c>
      <c r="O61" s="186" t="s">
        <v>328</v>
      </c>
      <c r="P61" s="236" t="str">
        <f>IF(M61="N",'잠재위험 및 대응책 DB'!A42,"-")</f>
        <v>-</v>
      </c>
      <c r="Q61" s="237" t="str">
        <f>IF(W61="통제 적용",'잠재위험 및 대응책 DB'!B42,"-")</f>
        <v>-</v>
      </c>
      <c r="R61" s="207"/>
      <c r="S61" s="135" t="str">
        <f t="shared" si="17"/>
        <v>상</v>
      </c>
      <c r="T61" s="135">
        <f t="shared" si="4"/>
        <v>3</v>
      </c>
      <c r="U61" s="135" t="str">
        <f t="shared" si="5"/>
        <v>-</v>
      </c>
      <c r="V61" s="135" t="str">
        <f t="shared" si="6"/>
        <v>-</v>
      </c>
      <c r="W61" s="135" t="str">
        <f t="shared" si="7"/>
        <v>-</v>
      </c>
      <c r="X61" s="135" t="str">
        <f t="shared" si="18"/>
        <v>-</v>
      </c>
      <c r="Z61" s="86">
        <v>5</v>
      </c>
      <c r="AA61" s="86">
        <v>4</v>
      </c>
      <c r="AB61" s="86">
        <v>5</v>
      </c>
      <c r="AC61" s="86">
        <f t="shared" si="9"/>
        <v>14</v>
      </c>
      <c r="AD61" s="86" t="s">
        <v>324</v>
      </c>
      <c r="AE61" s="86" t="s">
        <v>324</v>
      </c>
      <c r="AF61" s="86" t="s">
        <v>324</v>
      </c>
      <c r="AG61" s="86" t="s">
        <v>324</v>
      </c>
    </row>
    <row r="62" spans="2:33" ht="60" customHeight="1">
      <c r="B62" s="424"/>
      <c r="C62" s="424"/>
      <c r="D62" s="157" t="s">
        <v>338</v>
      </c>
      <c r="E62" s="381" t="str">
        <f>'요약 통계'!D47</f>
        <v>불필요한 RPC 서비스 확인</v>
      </c>
      <c r="F62" s="382"/>
      <c r="G62" s="382"/>
      <c r="H62" s="382"/>
      <c r="I62" s="383"/>
      <c r="J62" s="168" t="str">
        <f>'요약 통계'!E47</f>
        <v>상</v>
      </c>
      <c r="K62" s="132">
        <f>IF(M62="N/A","-",'요약 통계'!F47)</f>
        <v>3</v>
      </c>
      <c r="L62" s="133" t="s">
        <v>225</v>
      </c>
      <c r="M62" s="125" t="s">
        <v>133</v>
      </c>
      <c r="N62" s="134">
        <f t="shared" si="3"/>
        <v>3</v>
      </c>
      <c r="O62" s="186" t="s">
        <v>329</v>
      </c>
      <c r="P62" s="236" t="str">
        <f>IF(M62="N",'잠재위험 및 대응책 DB'!A43,"-")</f>
        <v>-</v>
      </c>
      <c r="Q62" s="237" t="str">
        <f>IF(W62="통제 적용",'잠재위험 및 대응책 DB'!B43,"-")</f>
        <v>-</v>
      </c>
      <c r="R62" s="207"/>
      <c r="S62" s="135" t="str">
        <f t="shared" si="17"/>
        <v>상</v>
      </c>
      <c r="T62" s="135">
        <f t="shared" si="4"/>
        <v>3</v>
      </c>
      <c r="U62" s="135" t="str">
        <f t="shared" si="5"/>
        <v>-</v>
      </c>
      <c r="V62" s="135" t="str">
        <f t="shared" si="6"/>
        <v>-</v>
      </c>
      <c r="W62" s="135" t="str">
        <f t="shared" si="7"/>
        <v>-</v>
      </c>
      <c r="X62" s="135" t="str">
        <f t="shared" si="18"/>
        <v>-</v>
      </c>
      <c r="Z62" s="86">
        <v>5</v>
      </c>
      <c r="AA62" s="86">
        <v>4</v>
      </c>
      <c r="AB62" s="86">
        <v>5</v>
      </c>
      <c r="AC62" s="86">
        <f t="shared" si="9"/>
        <v>14</v>
      </c>
      <c r="AD62" s="86" t="s">
        <v>324</v>
      </c>
      <c r="AE62" s="86" t="s">
        <v>324</v>
      </c>
      <c r="AF62" s="86" t="s">
        <v>324</v>
      </c>
      <c r="AG62" s="86" t="s">
        <v>324</v>
      </c>
    </row>
    <row r="63" spans="2:33" ht="60" customHeight="1">
      <c r="B63" s="424"/>
      <c r="C63" s="424"/>
      <c r="D63" s="157" t="s">
        <v>339</v>
      </c>
      <c r="E63" s="381" t="str">
        <f>'요약 통계'!D48</f>
        <v>NIS, NIS+ 점검</v>
      </c>
      <c r="F63" s="382"/>
      <c r="G63" s="382"/>
      <c r="H63" s="382"/>
      <c r="I63" s="383"/>
      <c r="J63" s="168" t="str">
        <f>'요약 통계'!E48</f>
        <v>상</v>
      </c>
      <c r="K63" s="132">
        <f>IF(M63="N/A","-",'요약 통계'!F48)</f>
        <v>3</v>
      </c>
      <c r="L63" s="133" t="s">
        <v>225</v>
      </c>
      <c r="M63" s="125" t="s">
        <v>133</v>
      </c>
      <c r="N63" s="134">
        <f t="shared" si="3"/>
        <v>3</v>
      </c>
      <c r="O63" s="186" t="s">
        <v>413</v>
      </c>
      <c r="P63" s="236" t="str">
        <f>IF(M63="N",'잠재위험 및 대응책 DB'!A44,"-")</f>
        <v>-</v>
      </c>
      <c r="Q63" s="237" t="str">
        <f>IF(W63="통제 적용",'잠재위험 및 대응책 DB'!B44,"-")</f>
        <v>-</v>
      </c>
      <c r="R63" s="207"/>
      <c r="S63" s="135" t="str">
        <f t="shared" si="17"/>
        <v>상</v>
      </c>
      <c r="T63" s="135">
        <f t="shared" si="4"/>
        <v>3</v>
      </c>
      <c r="U63" s="135" t="str">
        <f t="shared" si="5"/>
        <v>-</v>
      </c>
      <c r="V63" s="135" t="str">
        <f t="shared" si="6"/>
        <v>-</v>
      </c>
      <c r="W63" s="135" t="str">
        <f t="shared" si="7"/>
        <v>-</v>
      </c>
      <c r="X63" s="135" t="str">
        <f t="shared" si="18"/>
        <v>-</v>
      </c>
      <c r="Z63" s="86">
        <v>5</v>
      </c>
      <c r="AA63" s="86">
        <v>4</v>
      </c>
      <c r="AB63" s="86">
        <v>5</v>
      </c>
      <c r="AC63" s="86">
        <f t="shared" si="9"/>
        <v>14</v>
      </c>
      <c r="AD63" s="86" t="s">
        <v>324</v>
      </c>
      <c r="AE63" s="86" t="s">
        <v>324</v>
      </c>
      <c r="AF63" s="86" t="s">
        <v>324</v>
      </c>
      <c r="AG63" s="86" t="s">
        <v>324</v>
      </c>
    </row>
    <row r="64" spans="2:33" ht="60" customHeight="1">
      <c r="B64" s="424"/>
      <c r="C64" s="424"/>
      <c r="D64" s="157" t="s">
        <v>340</v>
      </c>
      <c r="E64" s="381" t="str">
        <f>'요약 통계'!D49</f>
        <v>tftp, talk 서비스 비활성화</v>
      </c>
      <c r="F64" s="382"/>
      <c r="G64" s="382"/>
      <c r="H64" s="382"/>
      <c r="I64" s="383"/>
      <c r="J64" s="168" t="str">
        <f>'요약 통계'!E49</f>
        <v>상</v>
      </c>
      <c r="K64" s="132">
        <f>IF(M64="N/A","-",'요약 통계'!F49)</f>
        <v>3</v>
      </c>
      <c r="L64" s="133" t="s">
        <v>225</v>
      </c>
      <c r="M64" s="125" t="s">
        <v>133</v>
      </c>
      <c r="N64" s="134">
        <f t="shared" si="3"/>
        <v>3</v>
      </c>
      <c r="O64" s="186" t="s">
        <v>414</v>
      </c>
      <c r="P64" s="236" t="str">
        <f>IF(M64="N",'잠재위험 및 대응책 DB'!A45,"-")</f>
        <v>-</v>
      </c>
      <c r="Q64" s="237" t="str">
        <f>IF(W64="통제 적용",'잠재위험 및 대응책 DB'!B45,"-")</f>
        <v>-</v>
      </c>
      <c r="R64" s="207"/>
      <c r="S64" s="135" t="str">
        <f t="shared" si="17"/>
        <v>상</v>
      </c>
      <c r="T64" s="135">
        <f t="shared" si="4"/>
        <v>3</v>
      </c>
      <c r="U64" s="135" t="str">
        <f t="shared" si="5"/>
        <v>-</v>
      </c>
      <c r="V64" s="135" t="str">
        <f t="shared" si="6"/>
        <v>-</v>
      </c>
      <c r="W64" s="135" t="str">
        <f t="shared" si="7"/>
        <v>-</v>
      </c>
      <c r="X64" s="135" t="str">
        <f t="shared" si="18"/>
        <v>-</v>
      </c>
      <c r="Z64" s="86">
        <v>5</v>
      </c>
      <c r="AA64" s="86">
        <v>4</v>
      </c>
      <c r="AB64" s="86">
        <v>5</v>
      </c>
      <c r="AC64" s="86">
        <f t="shared" si="9"/>
        <v>14</v>
      </c>
      <c r="AD64" s="86" t="s">
        <v>324</v>
      </c>
      <c r="AE64" s="86" t="s">
        <v>324</v>
      </c>
      <c r="AF64" s="86" t="s">
        <v>324</v>
      </c>
      <c r="AG64" s="86" t="s">
        <v>324</v>
      </c>
    </row>
    <row r="65" spans="2:33" ht="60" customHeight="1">
      <c r="B65" s="424"/>
      <c r="C65" s="424"/>
      <c r="D65" s="157" t="s">
        <v>100</v>
      </c>
      <c r="E65" s="370" t="str">
        <f>'요약 통계'!D50</f>
        <v>메일 서비스 버전 점검</v>
      </c>
      <c r="F65" s="370"/>
      <c r="G65" s="370"/>
      <c r="H65" s="370"/>
      <c r="I65" s="370"/>
      <c r="J65" s="168" t="str">
        <f>'요약 통계'!E50</f>
        <v>상</v>
      </c>
      <c r="K65" s="132">
        <f>IF(M65="N/A","-",'요약 통계'!F50)</f>
        <v>3</v>
      </c>
      <c r="L65" s="133" t="s">
        <v>226</v>
      </c>
      <c r="M65" s="125" t="s">
        <v>133</v>
      </c>
      <c r="N65" s="134">
        <f t="shared" si="3"/>
        <v>3</v>
      </c>
      <c r="O65" s="186" t="s">
        <v>415</v>
      </c>
      <c r="P65" s="236" t="str">
        <f>IF(M65="N",'잠재위험 및 대응책 DB'!A46,"-")</f>
        <v>-</v>
      </c>
      <c r="Q65" s="237" t="str">
        <f>IF(W65="통제 적용",'잠재위험 및 대응책 DB'!B46,"-")</f>
        <v>-</v>
      </c>
      <c r="R65" s="207"/>
      <c r="S65" s="135" t="str">
        <f t="shared" si="17"/>
        <v>상</v>
      </c>
      <c r="T65" s="135">
        <f t="shared" si="4"/>
        <v>3</v>
      </c>
      <c r="U65" s="135" t="str">
        <f t="shared" si="5"/>
        <v>-</v>
      </c>
      <c r="V65" s="135" t="str">
        <f t="shared" si="6"/>
        <v>-</v>
      </c>
      <c r="W65" s="135" t="str">
        <f t="shared" si="7"/>
        <v>-</v>
      </c>
      <c r="X65" s="135" t="str">
        <f t="shared" si="18"/>
        <v>-</v>
      </c>
      <c r="Z65" s="86">
        <v>5</v>
      </c>
      <c r="AA65" s="86">
        <v>4</v>
      </c>
      <c r="AB65" s="86">
        <v>5</v>
      </c>
      <c r="AC65" s="86">
        <f t="shared" si="9"/>
        <v>14</v>
      </c>
      <c r="AD65" s="86" t="s">
        <v>324</v>
      </c>
      <c r="AE65" s="86" t="s">
        <v>324</v>
      </c>
      <c r="AF65" s="86" t="s">
        <v>324</v>
      </c>
      <c r="AG65" s="86" t="s">
        <v>324</v>
      </c>
    </row>
    <row r="66" spans="2:33" ht="60" customHeight="1">
      <c r="B66" s="424"/>
      <c r="C66" s="424"/>
      <c r="D66" s="157" t="s">
        <v>102</v>
      </c>
      <c r="E66" s="381" t="str">
        <f>'요약 통계'!D51</f>
        <v>일반사용자의 메일 서비스 실행 방지</v>
      </c>
      <c r="F66" s="382"/>
      <c r="G66" s="382"/>
      <c r="H66" s="382"/>
      <c r="I66" s="383"/>
      <c r="J66" s="168" t="str">
        <f>'요약 통계'!E51</f>
        <v>상</v>
      </c>
      <c r="K66" s="132">
        <f>IF(M66="N/A","-",'요약 통계'!F51)</f>
        <v>3</v>
      </c>
      <c r="L66" s="133" t="s">
        <v>220</v>
      </c>
      <c r="M66" s="125" t="s">
        <v>133</v>
      </c>
      <c r="N66" s="134">
        <f t="shared" si="3"/>
        <v>3</v>
      </c>
      <c r="O66" s="186" t="s">
        <v>416</v>
      </c>
      <c r="P66" s="236" t="str">
        <f>IF(M66="N",'잠재위험 및 대응책 DB'!A47,"-")</f>
        <v>-</v>
      </c>
      <c r="Q66" s="237" t="str">
        <f>IF(W66="통제 적용",'잠재위험 및 대응책 DB'!B47,"-")</f>
        <v>-</v>
      </c>
      <c r="R66" s="207"/>
      <c r="S66" s="135" t="str">
        <f>J66</f>
        <v>상</v>
      </c>
      <c r="T66" s="135">
        <f t="shared" si="4"/>
        <v>3</v>
      </c>
      <c r="U66" s="135" t="str">
        <f t="shared" si="5"/>
        <v>-</v>
      </c>
      <c r="V66" s="135" t="str">
        <f t="shared" si="6"/>
        <v>-</v>
      </c>
      <c r="W66" s="135" t="str">
        <f t="shared" si="7"/>
        <v>-</v>
      </c>
      <c r="X66" s="135" t="str">
        <f t="shared" si="18"/>
        <v>-</v>
      </c>
      <c r="Z66" s="86">
        <v>5</v>
      </c>
      <c r="AA66" s="86">
        <v>4</v>
      </c>
      <c r="AB66" s="86">
        <v>5</v>
      </c>
      <c r="AC66" s="86">
        <f t="shared" si="9"/>
        <v>14</v>
      </c>
      <c r="AD66" s="86" t="s">
        <v>324</v>
      </c>
      <c r="AE66" s="86" t="s">
        <v>324</v>
      </c>
      <c r="AF66" s="86" t="s">
        <v>324</v>
      </c>
      <c r="AG66" s="86" t="s">
        <v>324</v>
      </c>
    </row>
    <row r="67" spans="2:33" ht="60" customHeight="1">
      <c r="B67" s="424"/>
      <c r="C67" s="424"/>
      <c r="D67" s="157" t="s">
        <v>104</v>
      </c>
      <c r="E67" s="381" t="str">
        <f>'요약 통계'!D52</f>
        <v>스팸 메일 릴레이 제한</v>
      </c>
      <c r="F67" s="382"/>
      <c r="G67" s="382"/>
      <c r="H67" s="382"/>
      <c r="I67" s="383"/>
      <c r="J67" s="168" t="str">
        <f>'요약 통계'!E52</f>
        <v>상</v>
      </c>
      <c r="K67" s="132">
        <f>IF(M67="N/A","-",'요약 통계'!F52)</f>
        <v>3</v>
      </c>
      <c r="L67" s="133" t="s">
        <v>223</v>
      </c>
      <c r="M67" s="125" t="s">
        <v>133</v>
      </c>
      <c r="N67" s="134">
        <f t="shared" si="3"/>
        <v>3</v>
      </c>
      <c r="O67" s="186" t="s">
        <v>417</v>
      </c>
      <c r="P67" s="236" t="str">
        <f>IF(M67="N",'잠재위험 및 대응책 DB'!A48,"-")</f>
        <v>-</v>
      </c>
      <c r="Q67" s="237" t="str">
        <f>IF(W67="통제 적용",'잠재위험 및 대응책 DB'!B48,"-")</f>
        <v>-</v>
      </c>
      <c r="R67" s="207"/>
      <c r="S67" s="135" t="str">
        <f t="shared" si="17"/>
        <v>상</v>
      </c>
      <c r="T67" s="135">
        <f t="shared" si="4"/>
        <v>3</v>
      </c>
      <c r="U67" s="135" t="str">
        <f t="shared" si="5"/>
        <v>-</v>
      </c>
      <c r="V67" s="135" t="str">
        <f t="shared" si="6"/>
        <v>-</v>
      </c>
      <c r="W67" s="135" t="str">
        <f t="shared" si="7"/>
        <v>-</v>
      </c>
      <c r="X67" s="135" t="str">
        <f t="shared" si="18"/>
        <v>-</v>
      </c>
      <c r="Z67" s="86">
        <v>5</v>
      </c>
      <c r="AA67" s="86">
        <v>4</v>
      </c>
      <c r="AB67" s="86">
        <v>5</v>
      </c>
      <c r="AC67" s="86">
        <f t="shared" si="9"/>
        <v>14</v>
      </c>
      <c r="AD67" s="86" t="s">
        <v>324</v>
      </c>
      <c r="AE67" s="86" t="s">
        <v>324</v>
      </c>
      <c r="AF67" s="86" t="s">
        <v>324</v>
      </c>
      <c r="AG67" s="86" t="s">
        <v>324</v>
      </c>
    </row>
    <row r="68" spans="2:33" ht="60" customHeight="1">
      <c r="B68" s="424"/>
      <c r="C68" s="424"/>
      <c r="D68" s="157" t="s">
        <v>105</v>
      </c>
      <c r="E68" s="381" t="str">
        <f>'요약 통계'!D53</f>
        <v>expn, vrfy 명령어 제한</v>
      </c>
      <c r="F68" s="382"/>
      <c r="G68" s="382"/>
      <c r="H68" s="382"/>
      <c r="I68" s="383"/>
      <c r="J68" s="168" t="str">
        <f>'요약 통계'!E53</f>
        <v>중</v>
      </c>
      <c r="K68" s="132">
        <f>IF(M68="N/A","-",'요약 통계'!F53)</f>
        <v>2</v>
      </c>
      <c r="L68" s="133" t="s">
        <v>226</v>
      </c>
      <c r="M68" s="125" t="s">
        <v>133</v>
      </c>
      <c r="N68" s="134">
        <f t="shared" si="3"/>
        <v>2</v>
      </c>
      <c r="O68" s="186" t="s">
        <v>418</v>
      </c>
      <c r="P68" s="236" t="str">
        <f>IF(M68="N",'잠재위험 및 대응책 DB'!A49,"-")</f>
        <v>-</v>
      </c>
      <c r="Q68" s="237" t="str">
        <f>IF(W68="통제 적용",'잠재위험 및 대응책 DB'!B49,"-")</f>
        <v>-</v>
      </c>
      <c r="R68" s="207"/>
      <c r="S68" s="135" t="str">
        <f t="shared" si="17"/>
        <v>중</v>
      </c>
      <c r="T68" s="135">
        <f t="shared" si="4"/>
        <v>2</v>
      </c>
      <c r="U68" s="135" t="str">
        <f t="shared" si="5"/>
        <v>-</v>
      </c>
      <c r="V68" s="135" t="str">
        <f t="shared" si="6"/>
        <v>-</v>
      </c>
      <c r="W68" s="135" t="str">
        <f t="shared" si="7"/>
        <v>-</v>
      </c>
      <c r="X68" s="135" t="str">
        <f t="shared" si="18"/>
        <v>-</v>
      </c>
      <c r="Z68" s="86">
        <v>5</v>
      </c>
      <c r="AA68" s="86">
        <v>3</v>
      </c>
      <c r="AB68" s="86">
        <v>5</v>
      </c>
      <c r="AC68" s="86">
        <f t="shared" si="9"/>
        <v>13</v>
      </c>
      <c r="AD68" s="86" t="s">
        <v>324</v>
      </c>
      <c r="AE68" s="86" t="s">
        <v>324</v>
      </c>
      <c r="AF68" s="86" t="s">
        <v>324</v>
      </c>
      <c r="AG68" s="86" t="s">
        <v>324</v>
      </c>
    </row>
    <row r="69" spans="2:33" ht="60" customHeight="1">
      <c r="B69" s="424"/>
      <c r="C69" s="424"/>
      <c r="D69" s="157" t="s">
        <v>107</v>
      </c>
      <c r="E69" s="370" t="str">
        <f>'요약 통계'!D54</f>
        <v>DNS 보안 버전 패치</v>
      </c>
      <c r="F69" s="370"/>
      <c r="G69" s="370"/>
      <c r="H69" s="370"/>
      <c r="I69" s="370"/>
      <c r="J69" s="168" t="str">
        <f>'요약 통계'!E54</f>
        <v>상</v>
      </c>
      <c r="K69" s="132">
        <f>IF(M69="N/A","-",'요약 통계'!F54)</f>
        <v>3</v>
      </c>
      <c r="L69" s="133" t="s">
        <v>220</v>
      </c>
      <c r="M69" s="125" t="s">
        <v>133</v>
      </c>
      <c r="N69" s="134">
        <f t="shared" si="3"/>
        <v>3</v>
      </c>
      <c r="O69" s="186" t="s">
        <v>419</v>
      </c>
      <c r="P69" s="236" t="str">
        <f>IF(M69="N",'잠재위험 및 대응책 DB'!A50,"-")</f>
        <v>-</v>
      </c>
      <c r="Q69" s="237" t="str">
        <f>IF(W69="통제 적용",'잠재위험 및 대응책 DB'!B50,"-")</f>
        <v>-</v>
      </c>
      <c r="R69" s="207"/>
      <c r="S69" s="135" t="str">
        <f t="shared" si="17"/>
        <v>상</v>
      </c>
      <c r="T69" s="135">
        <f t="shared" si="4"/>
        <v>3</v>
      </c>
      <c r="U69" s="135" t="str">
        <f t="shared" si="5"/>
        <v>-</v>
      </c>
      <c r="V69" s="135" t="str">
        <f t="shared" si="6"/>
        <v>-</v>
      </c>
      <c r="W69" s="135" t="str">
        <f t="shared" si="7"/>
        <v>-</v>
      </c>
      <c r="X69" s="135" t="str">
        <f t="shared" si="18"/>
        <v>-</v>
      </c>
      <c r="Z69" s="86">
        <v>5</v>
      </c>
      <c r="AA69" s="86">
        <v>4</v>
      </c>
      <c r="AB69" s="86">
        <v>5</v>
      </c>
      <c r="AC69" s="86">
        <f t="shared" si="9"/>
        <v>14</v>
      </c>
      <c r="AD69" s="86" t="s">
        <v>324</v>
      </c>
      <c r="AE69" s="86" t="s">
        <v>324</v>
      </c>
      <c r="AF69" s="86" t="s">
        <v>324</v>
      </c>
      <c r="AG69" s="86" t="s">
        <v>324</v>
      </c>
    </row>
    <row r="70" spans="2:33" ht="60" customHeight="1">
      <c r="B70" s="424"/>
      <c r="C70" s="424"/>
      <c r="D70" s="157" t="s">
        <v>108</v>
      </c>
      <c r="E70" s="381" t="str">
        <f>'요약 통계'!D55</f>
        <v>DNS Zone Transfer 설정</v>
      </c>
      <c r="F70" s="382"/>
      <c r="G70" s="382"/>
      <c r="H70" s="382"/>
      <c r="I70" s="383"/>
      <c r="J70" s="168" t="str">
        <f>'요약 통계'!E55</f>
        <v>상</v>
      </c>
      <c r="K70" s="132">
        <f>IF(M70="N/A","-",'요약 통계'!F55)</f>
        <v>3</v>
      </c>
      <c r="L70" s="133" t="s">
        <v>220</v>
      </c>
      <c r="M70" s="125" t="s">
        <v>133</v>
      </c>
      <c r="N70" s="134">
        <f t="shared" si="3"/>
        <v>3</v>
      </c>
      <c r="O70" s="186" t="s">
        <v>420</v>
      </c>
      <c r="P70" s="236" t="str">
        <f>IF(M70="N",'잠재위험 및 대응책 DB'!A51,"-")</f>
        <v>-</v>
      </c>
      <c r="Q70" s="237" t="str">
        <f>IF(W70="통제 적용",'잠재위험 및 대응책 DB'!B51,"-")</f>
        <v>-</v>
      </c>
      <c r="R70" s="207"/>
      <c r="S70" s="135" t="str">
        <f t="shared" si="17"/>
        <v>상</v>
      </c>
      <c r="T70" s="135">
        <f t="shared" si="4"/>
        <v>3</v>
      </c>
      <c r="U70" s="135" t="str">
        <f t="shared" si="5"/>
        <v>-</v>
      </c>
      <c r="V70" s="135" t="str">
        <f t="shared" si="6"/>
        <v>-</v>
      </c>
      <c r="W70" s="135" t="str">
        <f t="shared" si="7"/>
        <v>-</v>
      </c>
      <c r="X70" s="135" t="str">
        <f t="shared" si="18"/>
        <v>-</v>
      </c>
      <c r="Z70" s="86">
        <v>5</v>
      </c>
      <c r="AA70" s="86">
        <v>4</v>
      </c>
      <c r="AB70" s="86">
        <v>5</v>
      </c>
      <c r="AC70" s="86">
        <f t="shared" si="9"/>
        <v>14</v>
      </c>
      <c r="AD70" s="86" t="s">
        <v>324</v>
      </c>
      <c r="AE70" s="86" t="s">
        <v>324</v>
      </c>
      <c r="AF70" s="86" t="s">
        <v>324</v>
      </c>
      <c r="AG70" s="86" t="s">
        <v>324</v>
      </c>
    </row>
    <row r="71" spans="2:33" ht="60" customHeight="1">
      <c r="B71" s="424"/>
      <c r="C71" s="424"/>
      <c r="D71" s="157" t="s">
        <v>109</v>
      </c>
      <c r="E71" s="381" t="str">
        <f>'요약 통계'!D56</f>
        <v>DNS 서비스의 취약한 동적 업데이트 설정 금지</v>
      </c>
      <c r="F71" s="382"/>
      <c r="G71" s="382"/>
      <c r="H71" s="382"/>
      <c r="I71" s="383"/>
      <c r="J71" s="168" t="str">
        <f>'요약 통계'!E56</f>
        <v>중</v>
      </c>
      <c r="K71" s="132">
        <f>IF(M71="N/A","-",'요약 통계'!F56)</f>
        <v>2</v>
      </c>
      <c r="L71" s="133" t="s">
        <v>223</v>
      </c>
      <c r="M71" s="125" t="s">
        <v>133</v>
      </c>
      <c r="N71" s="134">
        <f t="shared" si="3"/>
        <v>2</v>
      </c>
      <c r="O71" s="186" t="s">
        <v>421</v>
      </c>
      <c r="P71" s="236" t="str">
        <f>IF(M71="N",'잠재위험 및 대응책 DB'!A52,"-")</f>
        <v>-</v>
      </c>
      <c r="Q71" s="237" t="str">
        <f>IF(W71="통제 적용",'잠재위험 및 대응책 DB'!B52,"-")</f>
        <v>-</v>
      </c>
      <c r="R71" s="207"/>
      <c r="S71" s="135" t="str">
        <f t="shared" si="17"/>
        <v>중</v>
      </c>
      <c r="T71" s="135">
        <f t="shared" si="4"/>
        <v>2</v>
      </c>
      <c r="U71" s="135" t="str">
        <f t="shared" si="5"/>
        <v>-</v>
      </c>
      <c r="V71" s="135" t="str">
        <f t="shared" si="6"/>
        <v>-</v>
      </c>
      <c r="W71" s="135" t="str">
        <f t="shared" si="7"/>
        <v>-</v>
      </c>
      <c r="X71" s="135" t="str">
        <f t="shared" si="18"/>
        <v>-</v>
      </c>
      <c r="Z71" s="86">
        <v>5</v>
      </c>
      <c r="AA71" s="86">
        <v>3</v>
      </c>
      <c r="AB71" s="86">
        <v>5</v>
      </c>
      <c r="AC71" s="86">
        <f t="shared" si="9"/>
        <v>13</v>
      </c>
      <c r="AD71" s="86" t="s">
        <v>324</v>
      </c>
      <c r="AE71" s="86" t="s">
        <v>324</v>
      </c>
      <c r="AF71" s="86" t="s">
        <v>324</v>
      </c>
      <c r="AG71" s="86" t="s">
        <v>324</v>
      </c>
    </row>
    <row r="72" spans="2:33" ht="60" customHeight="1">
      <c r="B72" s="424"/>
      <c r="C72" s="424"/>
      <c r="D72" s="157" t="s">
        <v>110</v>
      </c>
      <c r="E72" s="381" t="str">
        <f>'요약 통계'!D57</f>
        <v>Telnet 서비스 비활성화</v>
      </c>
      <c r="F72" s="382"/>
      <c r="G72" s="382"/>
      <c r="H72" s="382"/>
      <c r="I72" s="383"/>
      <c r="J72" s="168" t="str">
        <f>'요약 통계'!E57</f>
        <v>중</v>
      </c>
      <c r="K72" s="132">
        <f>IF(M72="N/A","-",'요약 통계'!F57)</f>
        <v>2</v>
      </c>
      <c r="L72" s="133" t="s">
        <v>220</v>
      </c>
      <c r="M72" s="125" t="s">
        <v>133</v>
      </c>
      <c r="N72" s="134">
        <f t="shared" si="3"/>
        <v>2</v>
      </c>
      <c r="O72" s="186" t="s">
        <v>422</v>
      </c>
      <c r="P72" s="236" t="str">
        <f>IF(M72="N",'잠재위험 및 대응책 DB'!A53,"-")</f>
        <v>-</v>
      </c>
      <c r="Q72" s="237" t="str">
        <f>IF(W72="통제 적용",'잠재위험 및 대응책 DB'!B53,"-")</f>
        <v>-</v>
      </c>
      <c r="R72" s="207"/>
      <c r="S72" s="135" t="str">
        <f t="shared" si="17"/>
        <v>중</v>
      </c>
      <c r="T72" s="135">
        <f t="shared" si="4"/>
        <v>2</v>
      </c>
      <c r="U72" s="135" t="str">
        <f t="shared" si="5"/>
        <v>-</v>
      </c>
      <c r="V72" s="135" t="str">
        <f t="shared" si="6"/>
        <v>-</v>
      </c>
      <c r="W72" s="135" t="str">
        <f t="shared" si="7"/>
        <v>-</v>
      </c>
      <c r="X72" s="135" t="str">
        <f t="shared" si="18"/>
        <v>-</v>
      </c>
      <c r="Z72" s="86">
        <v>5</v>
      </c>
      <c r="AA72" s="86">
        <v>3</v>
      </c>
      <c r="AB72" s="86">
        <v>5</v>
      </c>
      <c r="AC72" s="86">
        <f t="shared" si="9"/>
        <v>13</v>
      </c>
      <c r="AD72" s="86" t="s">
        <v>324</v>
      </c>
      <c r="AE72" s="86" t="s">
        <v>324</v>
      </c>
      <c r="AF72" s="86" t="s">
        <v>324</v>
      </c>
      <c r="AG72" s="86" t="s">
        <v>324</v>
      </c>
    </row>
    <row r="73" spans="2:33" ht="60" customHeight="1">
      <c r="B73" s="424"/>
      <c r="C73" s="424"/>
      <c r="D73" s="157" t="s">
        <v>111</v>
      </c>
      <c r="E73" s="370" t="str">
        <f>'요약 통계'!D58</f>
        <v>FTP 서비스 정보 노출 제한</v>
      </c>
      <c r="F73" s="370"/>
      <c r="G73" s="370"/>
      <c r="H73" s="370"/>
      <c r="I73" s="370"/>
      <c r="J73" s="168" t="str">
        <f>'요약 통계'!E58</f>
        <v>하</v>
      </c>
      <c r="K73" s="132">
        <f>IF(M73="N/A","-",'요약 통계'!F58)</f>
        <v>1</v>
      </c>
      <c r="L73" s="133" t="s">
        <v>220</v>
      </c>
      <c r="M73" s="125" t="s">
        <v>133</v>
      </c>
      <c r="N73" s="134">
        <f t="shared" si="3"/>
        <v>1</v>
      </c>
      <c r="O73" s="186" t="s">
        <v>423</v>
      </c>
      <c r="P73" s="236" t="str">
        <f>IF(M73="N",'잠재위험 및 대응책 DB'!A54,"-")</f>
        <v>-</v>
      </c>
      <c r="Q73" s="237" t="str">
        <f>IF(W73="통제 적용",'잠재위험 및 대응책 DB'!B54,"-")</f>
        <v>-</v>
      </c>
      <c r="R73" s="207"/>
      <c r="S73" s="135" t="str">
        <f t="shared" si="17"/>
        <v>하</v>
      </c>
      <c r="T73" s="135">
        <f t="shared" si="4"/>
        <v>1</v>
      </c>
      <c r="U73" s="135" t="str">
        <f t="shared" si="5"/>
        <v>-</v>
      </c>
      <c r="V73" s="135" t="str">
        <f t="shared" si="6"/>
        <v>-</v>
      </c>
      <c r="W73" s="135" t="str">
        <f t="shared" si="7"/>
        <v>-</v>
      </c>
      <c r="X73" s="135" t="str">
        <f t="shared" si="18"/>
        <v>-</v>
      </c>
      <c r="Z73" s="86">
        <v>5</v>
      </c>
      <c r="AA73" s="86">
        <v>2</v>
      </c>
      <c r="AB73" s="86">
        <v>5</v>
      </c>
      <c r="AC73" s="86">
        <f t="shared" si="9"/>
        <v>12</v>
      </c>
      <c r="AD73" s="86" t="s">
        <v>324</v>
      </c>
      <c r="AE73" s="86" t="s">
        <v>324</v>
      </c>
      <c r="AF73" s="86" t="s">
        <v>324</v>
      </c>
      <c r="AG73" s="86" t="s">
        <v>324</v>
      </c>
    </row>
    <row r="74" spans="2:33" ht="60" customHeight="1">
      <c r="B74" s="424"/>
      <c r="C74" s="424"/>
      <c r="D74" s="157" t="s">
        <v>112</v>
      </c>
      <c r="E74" s="381" t="str">
        <f>'요약 통계'!D59</f>
        <v>암호화되지 않는 FTP 서비스 비활성화</v>
      </c>
      <c r="F74" s="382"/>
      <c r="G74" s="382"/>
      <c r="H74" s="382"/>
      <c r="I74" s="383"/>
      <c r="J74" s="168" t="str">
        <f>'요약 통계'!E59</f>
        <v>중</v>
      </c>
      <c r="K74" s="132">
        <f>IF(M74="N/A","-",'요약 통계'!F59)</f>
        <v>2</v>
      </c>
      <c r="L74" s="133" t="s">
        <v>220</v>
      </c>
      <c r="M74" s="125" t="s">
        <v>133</v>
      </c>
      <c r="N74" s="134">
        <f t="shared" si="3"/>
        <v>2</v>
      </c>
      <c r="O74" s="186" t="s">
        <v>424</v>
      </c>
      <c r="P74" s="236" t="str">
        <f>IF(M74="N",'잠재위험 및 대응책 DB'!A55,"-")</f>
        <v>-</v>
      </c>
      <c r="Q74" s="237" t="str">
        <f>IF(W74="통제 적용",'잠재위험 및 대응책 DB'!B55,"-")</f>
        <v>-</v>
      </c>
      <c r="R74" s="207"/>
      <c r="S74" s="135" t="str">
        <f t="shared" si="17"/>
        <v>중</v>
      </c>
      <c r="T74" s="135">
        <f t="shared" si="4"/>
        <v>2</v>
      </c>
      <c r="U74" s="135" t="str">
        <f t="shared" si="5"/>
        <v>-</v>
      </c>
      <c r="V74" s="135" t="str">
        <f t="shared" si="6"/>
        <v>-</v>
      </c>
      <c r="W74" s="135" t="str">
        <f t="shared" si="7"/>
        <v>-</v>
      </c>
      <c r="X74" s="135" t="str">
        <f t="shared" si="18"/>
        <v>-</v>
      </c>
      <c r="Z74" s="86">
        <v>5</v>
      </c>
      <c r="AA74" s="86">
        <v>3</v>
      </c>
      <c r="AB74" s="86">
        <v>5</v>
      </c>
      <c r="AC74" s="86">
        <f t="shared" si="9"/>
        <v>13</v>
      </c>
      <c r="AD74" s="86" t="s">
        <v>324</v>
      </c>
      <c r="AE74" s="86" t="s">
        <v>324</v>
      </c>
      <c r="AF74" s="86" t="s">
        <v>324</v>
      </c>
      <c r="AG74" s="86" t="s">
        <v>324</v>
      </c>
    </row>
    <row r="75" spans="2:33" ht="60" customHeight="1">
      <c r="B75" s="424"/>
      <c r="C75" s="424"/>
      <c r="D75" s="157" t="s">
        <v>341</v>
      </c>
      <c r="E75" s="381" t="str">
        <f>'요약 통계'!D60</f>
        <v>FTP 계정 shell 제한</v>
      </c>
      <c r="F75" s="382"/>
      <c r="G75" s="382"/>
      <c r="H75" s="382"/>
      <c r="I75" s="383"/>
      <c r="J75" s="168" t="str">
        <f>'요약 통계'!E60</f>
        <v>중</v>
      </c>
      <c r="K75" s="132">
        <f>IF(M75="N/A","-",'요약 통계'!F60)</f>
        <v>2</v>
      </c>
      <c r="L75" s="133" t="s">
        <v>220</v>
      </c>
      <c r="M75" s="125" t="s">
        <v>133</v>
      </c>
      <c r="N75" s="134">
        <f t="shared" si="3"/>
        <v>2</v>
      </c>
      <c r="O75" s="186" t="s">
        <v>425</v>
      </c>
      <c r="P75" s="236" t="str">
        <f>IF(M75="N",'잠재위험 및 대응책 DB'!A56,"-")</f>
        <v>-</v>
      </c>
      <c r="Q75" s="237" t="str">
        <f>IF(W75="통제 적용",'잠재위험 및 대응책 DB'!B56,"-")</f>
        <v>-</v>
      </c>
      <c r="R75" s="207"/>
      <c r="S75" s="135" t="str">
        <f t="shared" si="17"/>
        <v>중</v>
      </c>
      <c r="T75" s="135">
        <f t="shared" si="4"/>
        <v>2</v>
      </c>
      <c r="U75" s="135" t="str">
        <f t="shared" si="5"/>
        <v>-</v>
      </c>
      <c r="V75" s="135" t="str">
        <f t="shared" si="6"/>
        <v>-</v>
      </c>
      <c r="W75" s="135" t="str">
        <f t="shared" si="7"/>
        <v>-</v>
      </c>
      <c r="X75" s="135" t="str">
        <f t="shared" si="18"/>
        <v>-</v>
      </c>
      <c r="Z75" s="86">
        <v>5</v>
      </c>
      <c r="AA75" s="86">
        <v>3</v>
      </c>
      <c r="AB75" s="86">
        <v>5</v>
      </c>
      <c r="AC75" s="86">
        <f t="shared" si="9"/>
        <v>13</v>
      </c>
      <c r="AD75" s="86" t="s">
        <v>324</v>
      </c>
      <c r="AE75" s="86" t="s">
        <v>324</v>
      </c>
      <c r="AF75" s="86" t="s">
        <v>324</v>
      </c>
      <c r="AG75" s="86" t="s">
        <v>324</v>
      </c>
    </row>
    <row r="76" spans="2:33" ht="60" customHeight="1">
      <c r="B76" s="424"/>
      <c r="C76" s="424"/>
      <c r="D76" s="157" t="s">
        <v>113</v>
      </c>
      <c r="E76" s="381" t="str">
        <f>'요약 통계'!D61</f>
        <v>FTP 서비스 접근 제어 설정</v>
      </c>
      <c r="F76" s="382"/>
      <c r="G76" s="382"/>
      <c r="H76" s="382"/>
      <c r="I76" s="383"/>
      <c r="J76" s="168" t="str">
        <f>'요약 통계'!E61</f>
        <v>하</v>
      </c>
      <c r="K76" s="132">
        <f>IF(M76="N/A","-",'요약 통계'!F61)</f>
        <v>1</v>
      </c>
      <c r="L76" s="133" t="s">
        <v>220</v>
      </c>
      <c r="M76" s="125" t="s">
        <v>133</v>
      </c>
      <c r="N76" s="134">
        <f t="shared" si="3"/>
        <v>1</v>
      </c>
      <c r="O76" s="186" t="s">
        <v>426</v>
      </c>
      <c r="P76" s="236" t="str">
        <f>IF(M76="N",'잠재위험 및 대응책 DB'!A57,"-")</f>
        <v>-</v>
      </c>
      <c r="Q76" s="237" t="str">
        <f>IF(W76="통제 적용",'잠재위험 및 대응책 DB'!B57,"-")</f>
        <v>-</v>
      </c>
      <c r="R76" s="207"/>
      <c r="S76" s="135" t="str">
        <f t="shared" si="17"/>
        <v>하</v>
      </c>
      <c r="T76" s="135">
        <f t="shared" si="4"/>
        <v>1</v>
      </c>
      <c r="U76" s="135" t="str">
        <f t="shared" si="5"/>
        <v>-</v>
      </c>
      <c r="V76" s="135" t="str">
        <f t="shared" si="6"/>
        <v>-</v>
      </c>
      <c r="W76" s="135" t="str">
        <f t="shared" si="7"/>
        <v>-</v>
      </c>
      <c r="X76" s="135" t="str">
        <f t="shared" si="18"/>
        <v>-</v>
      </c>
      <c r="Z76" s="86">
        <v>5</v>
      </c>
      <c r="AA76" s="86">
        <v>2</v>
      </c>
      <c r="AB76" s="86">
        <v>5</v>
      </c>
      <c r="AC76" s="86">
        <f t="shared" si="9"/>
        <v>12</v>
      </c>
      <c r="AD76" s="86" t="s">
        <v>324</v>
      </c>
      <c r="AE76" s="86" t="s">
        <v>324</v>
      </c>
      <c r="AF76" s="86" t="s">
        <v>324</v>
      </c>
      <c r="AG76" s="86" t="s">
        <v>324</v>
      </c>
    </row>
    <row r="77" spans="2:33" ht="60" customHeight="1">
      <c r="B77" s="424"/>
      <c r="C77" s="424"/>
      <c r="D77" s="157" t="s">
        <v>114</v>
      </c>
      <c r="E77" s="370" t="str">
        <f>'요약 통계'!D62</f>
        <v>Ftpusers 파일 설정</v>
      </c>
      <c r="F77" s="370"/>
      <c r="G77" s="370"/>
      <c r="H77" s="370"/>
      <c r="I77" s="370"/>
      <c r="J77" s="168" t="str">
        <f>'요약 통계'!E62</f>
        <v>중</v>
      </c>
      <c r="K77" s="132">
        <f>IF(M77="N/A","-",'요약 통계'!F62)</f>
        <v>2</v>
      </c>
      <c r="L77" s="133" t="s">
        <v>222</v>
      </c>
      <c r="M77" s="125" t="s">
        <v>133</v>
      </c>
      <c r="N77" s="134">
        <f t="shared" si="3"/>
        <v>2</v>
      </c>
      <c r="O77" s="186" t="s">
        <v>427</v>
      </c>
      <c r="P77" s="236" t="str">
        <f>IF(M77="N",'잠재위험 및 대응책 DB'!A58,"-")</f>
        <v>-</v>
      </c>
      <c r="Q77" s="237" t="str">
        <f>IF(W77="통제 적용",'잠재위험 및 대응책 DB'!B58,"-")</f>
        <v>-</v>
      </c>
      <c r="R77" s="207"/>
      <c r="S77" s="135" t="str">
        <f t="shared" si="17"/>
        <v>중</v>
      </c>
      <c r="T77" s="135">
        <f t="shared" si="4"/>
        <v>2</v>
      </c>
      <c r="U77" s="135" t="str">
        <f t="shared" si="5"/>
        <v>-</v>
      </c>
      <c r="V77" s="135" t="str">
        <f t="shared" si="6"/>
        <v>-</v>
      </c>
      <c r="W77" s="135" t="str">
        <f t="shared" si="7"/>
        <v>-</v>
      </c>
      <c r="X77" s="135" t="str">
        <f t="shared" si="18"/>
        <v>-</v>
      </c>
      <c r="Z77" s="86">
        <v>5</v>
      </c>
      <c r="AA77" s="86">
        <v>3</v>
      </c>
      <c r="AB77" s="86">
        <v>5</v>
      </c>
      <c r="AC77" s="86">
        <f t="shared" si="9"/>
        <v>13</v>
      </c>
      <c r="AD77" s="86" t="s">
        <v>324</v>
      </c>
      <c r="AE77" s="86" t="s">
        <v>324</v>
      </c>
      <c r="AF77" s="86" t="s">
        <v>324</v>
      </c>
      <c r="AG77" s="86" t="s">
        <v>324</v>
      </c>
    </row>
    <row r="78" spans="2:33" ht="60" customHeight="1">
      <c r="B78" s="424"/>
      <c r="C78" s="424"/>
      <c r="D78" s="157" t="s">
        <v>115</v>
      </c>
      <c r="E78" s="381" t="str">
        <f>'요약 통계'!D63</f>
        <v>불필요한 SNMP 서비스 구동 점검</v>
      </c>
      <c r="F78" s="382"/>
      <c r="G78" s="382"/>
      <c r="H78" s="382"/>
      <c r="I78" s="383"/>
      <c r="J78" s="168" t="str">
        <f>'요약 통계'!E63</f>
        <v>중</v>
      </c>
      <c r="K78" s="132">
        <f>IF(M78="N/A","-",'요약 통계'!F63)</f>
        <v>2</v>
      </c>
      <c r="L78" s="133" t="s">
        <v>225</v>
      </c>
      <c r="M78" s="125" t="s">
        <v>133</v>
      </c>
      <c r="N78" s="134">
        <f t="shared" si="3"/>
        <v>2</v>
      </c>
      <c r="O78" s="186" t="s">
        <v>428</v>
      </c>
      <c r="P78" s="236" t="str">
        <f>IF(M78="N",'잠재위험 및 대응책 DB'!A59,"-")</f>
        <v>-</v>
      </c>
      <c r="Q78" s="237" t="str">
        <f>IF(W78="통제 적용",'잠재위험 및 대응책 DB'!B59,"-")</f>
        <v>-</v>
      </c>
      <c r="R78" s="207"/>
      <c r="S78" s="135" t="str">
        <f t="shared" si="17"/>
        <v>중</v>
      </c>
      <c r="T78" s="135">
        <f t="shared" si="4"/>
        <v>2</v>
      </c>
      <c r="U78" s="135" t="str">
        <f t="shared" si="5"/>
        <v>-</v>
      </c>
      <c r="V78" s="135" t="str">
        <f t="shared" si="6"/>
        <v>-</v>
      </c>
      <c r="W78" s="135" t="str">
        <f t="shared" si="7"/>
        <v>-</v>
      </c>
      <c r="X78" s="135" t="str">
        <f t="shared" si="18"/>
        <v>-</v>
      </c>
      <c r="Z78" s="86">
        <v>5</v>
      </c>
      <c r="AA78" s="86">
        <v>3</v>
      </c>
      <c r="AB78" s="86">
        <v>5</v>
      </c>
      <c r="AC78" s="86">
        <f t="shared" si="9"/>
        <v>13</v>
      </c>
      <c r="AD78" s="86" t="s">
        <v>324</v>
      </c>
      <c r="AE78" s="86" t="s">
        <v>324</v>
      </c>
      <c r="AF78" s="86" t="s">
        <v>324</v>
      </c>
      <c r="AG78" s="86" t="s">
        <v>324</v>
      </c>
    </row>
    <row r="79" spans="2:33" ht="60" customHeight="1">
      <c r="B79" s="424"/>
      <c r="C79" s="424"/>
      <c r="D79" s="157" t="s">
        <v>116</v>
      </c>
      <c r="E79" s="381" t="str">
        <f>'요약 통계'!D64</f>
        <v>안전한 SNMP 버전 사용</v>
      </c>
      <c r="F79" s="382"/>
      <c r="G79" s="382"/>
      <c r="H79" s="382"/>
      <c r="I79" s="383"/>
      <c r="J79" s="168" t="str">
        <f>'요약 통계'!E64</f>
        <v>상</v>
      </c>
      <c r="K79" s="132">
        <f>IF(M79="N/A","-",'요약 통계'!F64)</f>
        <v>3</v>
      </c>
      <c r="L79" s="133" t="s">
        <v>222</v>
      </c>
      <c r="M79" s="125" t="s">
        <v>133</v>
      </c>
      <c r="N79" s="134">
        <f t="shared" si="3"/>
        <v>3</v>
      </c>
      <c r="O79" s="186" t="s">
        <v>429</v>
      </c>
      <c r="P79" s="236" t="str">
        <f>IF(M79="N",'잠재위험 및 대응책 DB'!A60,"-")</f>
        <v>-</v>
      </c>
      <c r="Q79" s="237" t="str">
        <f>IF(W79="통제 적용",'잠재위험 및 대응책 DB'!B60,"-")</f>
        <v>-</v>
      </c>
      <c r="R79" s="207"/>
      <c r="S79" s="135" t="str">
        <f t="shared" si="17"/>
        <v>상</v>
      </c>
      <c r="T79" s="135">
        <f t="shared" si="4"/>
        <v>3</v>
      </c>
      <c r="U79" s="135" t="str">
        <f t="shared" si="5"/>
        <v>-</v>
      </c>
      <c r="V79" s="135" t="str">
        <f t="shared" si="6"/>
        <v>-</v>
      </c>
      <c r="W79" s="135" t="str">
        <f t="shared" si="7"/>
        <v>-</v>
      </c>
      <c r="X79" s="135" t="str">
        <f t="shared" si="18"/>
        <v>-</v>
      </c>
      <c r="Z79" s="86">
        <v>5</v>
      </c>
      <c r="AA79" s="86">
        <v>4</v>
      </c>
      <c r="AB79" s="86">
        <v>5</v>
      </c>
      <c r="AC79" s="86">
        <f t="shared" si="9"/>
        <v>14</v>
      </c>
      <c r="AD79" s="86" t="s">
        <v>324</v>
      </c>
      <c r="AE79" s="86" t="s">
        <v>324</v>
      </c>
      <c r="AF79" s="86" t="s">
        <v>324</v>
      </c>
      <c r="AG79" s="86" t="s">
        <v>324</v>
      </c>
    </row>
    <row r="80" spans="2:33" ht="60" customHeight="1">
      <c r="B80" s="424"/>
      <c r="C80" s="424"/>
      <c r="D80" s="157" t="s">
        <v>342</v>
      </c>
      <c r="E80" s="381" t="str">
        <f>'요약 통계'!D65</f>
        <v>SNMP Community String 복잡성 설정</v>
      </c>
      <c r="F80" s="382"/>
      <c r="G80" s="382"/>
      <c r="H80" s="382"/>
      <c r="I80" s="383"/>
      <c r="J80" s="168" t="str">
        <f>'요약 통계'!E65</f>
        <v>중</v>
      </c>
      <c r="K80" s="132">
        <f>IF(M80="N/A","-",'요약 통계'!F65)</f>
        <v>2</v>
      </c>
      <c r="L80" s="133" t="s">
        <v>220</v>
      </c>
      <c r="M80" s="125" t="s">
        <v>133</v>
      </c>
      <c r="N80" s="134">
        <f t="shared" si="3"/>
        <v>2</v>
      </c>
      <c r="O80" s="186" t="s">
        <v>430</v>
      </c>
      <c r="P80" s="236" t="str">
        <f>IF(M80="N",'잠재위험 및 대응책 DB'!A61,"-")</f>
        <v>-</v>
      </c>
      <c r="Q80" s="237" t="str">
        <f>IF(W80="통제 적용",'잠재위험 및 대응책 DB'!B61,"-")</f>
        <v>-</v>
      </c>
      <c r="R80" s="207"/>
      <c r="S80" s="135" t="str">
        <f t="shared" si="17"/>
        <v>중</v>
      </c>
      <c r="T80" s="135">
        <f t="shared" si="4"/>
        <v>2</v>
      </c>
      <c r="U80" s="135" t="str">
        <f t="shared" si="5"/>
        <v>-</v>
      </c>
      <c r="V80" s="135" t="str">
        <f t="shared" si="6"/>
        <v>-</v>
      </c>
      <c r="W80" s="135" t="str">
        <f t="shared" si="7"/>
        <v>-</v>
      </c>
      <c r="X80" s="135" t="str">
        <f t="shared" si="18"/>
        <v>-</v>
      </c>
      <c r="Z80" s="86">
        <v>5</v>
      </c>
      <c r="AA80" s="86">
        <v>3</v>
      </c>
      <c r="AB80" s="86">
        <v>5</v>
      </c>
      <c r="AC80" s="86">
        <f t="shared" si="9"/>
        <v>13</v>
      </c>
      <c r="AD80" s="86" t="s">
        <v>324</v>
      </c>
      <c r="AE80" s="86" t="s">
        <v>324</v>
      </c>
      <c r="AF80" s="86" t="s">
        <v>324</v>
      </c>
      <c r="AG80" s="86" t="s">
        <v>324</v>
      </c>
    </row>
    <row r="81" spans="2:33" ht="60" customHeight="1">
      <c r="B81" s="424"/>
      <c r="C81" s="424"/>
      <c r="D81" s="157" t="s">
        <v>117</v>
      </c>
      <c r="E81" s="370" t="str">
        <f>'요약 통계'!D66</f>
        <v>SNMP Access Control 설정</v>
      </c>
      <c r="F81" s="370"/>
      <c r="G81" s="370"/>
      <c r="H81" s="370"/>
      <c r="I81" s="370"/>
      <c r="J81" s="168" t="str">
        <f>'요약 통계'!E66</f>
        <v>상</v>
      </c>
      <c r="K81" s="132">
        <f>IF(M81="N/A","-",'요약 통계'!F66)</f>
        <v>3</v>
      </c>
      <c r="L81" s="133" t="s">
        <v>220</v>
      </c>
      <c r="M81" s="125" t="s">
        <v>133</v>
      </c>
      <c r="N81" s="134">
        <f t="shared" si="3"/>
        <v>3</v>
      </c>
      <c r="O81" s="186" t="s">
        <v>431</v>
      </c>
      <c r="P81" s="236" t="str">
        <f>IF(M81="N",'잠재위험 및 대응책 DB'!A62,"-")</f>
        <v>-</v>
      </c>
      <c r="Q81" s="237" t="str">
        <f>IF(W81="통제 적용",'잠재위험 및 대응책 DB'!B62,"-")</f>
        <v>-</v>
      </c>
      <c r="R81" s="207"/>
      <c r="S81" s="135" t="str">
        <f t="shared" si="17"/>
        <v>상</v>
      </c>
      <c r="T81" s="135">
        <f t="shared" si="4"/>
        <v>3</v>
      </c>
      <c r="U81" s="135" t="str">
        <f t="shared" si="5"/>
        <v>-</v>
      </c>
      <c r="V81" s="135" t="str">
        <f t="shared" si="6"/>
        <v>-</v>
      </c>
      <c r="W81" s="135" t="str">
        <f t="shared" si="7"/>
        <v>-</v>
      </c>
      <c r="X81" s="135" t="str">
        <f t="shared" si="18"/>
        <v>-</v>
      </c>
      <c r="Z81" s="86">
        <v>5</v>
      </c>
      <c r="AA81" s="86">
        <v>4</v>
      </c>
      <c r="AB81" s="86">
        <v>5</v>
      </c>
      <c r="AC81" s="86">
        <f t="shared" si="9"/>
        <v>14</v>
      </c>
      <c r="AD81" s="86" t="s">
        <v>324</v>
      </c>
      <c r="AE81" s="86" t="s">
        <v>324</v>
      </c>
      <c r="AF81" s="86" t="s">
        <v>324</v>
      </c>
      <c r="AG81" s="86" t="s">
        <v>324</v>
      </c>
    </row>
    <row r="82" spans="2:33" ht="60" customHeight="1">
      <c r="B82" s="424"/>
      <c r="C82" s="424"/>
      <c r="D82" s="157" t="s">
        <v>118</v>
      </c>
      <c r="E82" s="381" t="str">
        <f>'요약 통계'!D67</f>
        <v>로그온 시 경고 메시지 제공</v>
      </c>
      <c r="F82" s="382"/>
      <c r="G82" s="382"/>
      <c r="H82" s="382"/>
      <c r="I82" s="383"/>
      <c r="J82" s="168" t="str">
        <f>'요약 통계'!E67</f>
        <v>하</v>
      </c>
      <c r="K82" s="132">
        <f>IF(M82="N/A","-",'요약 통계'!F67)</f>
        <v>1</v>
      </c>
      <c r="L82" s="133" t="s">
        <v>223</v>
      </c>
      <c r="M82" s="125" t="s">
        <v>133</v>
      </c>
      <c r="N82" s="134">
        <f t="shared" si="3"/>
        <v>1</v>
      </c>
      <c r="O82" s="186" t="s">
        <v>432</v>
      </c>
      <c r="P82" s="236" t="str">
        <f>IF(M82="N",'잠재위험 및 대응책 DB'!A63,"-")</f>
        <v>-</v>
      </c>
      <c r="Q82" s="237" t="str">
        <f>IF(W82="통제 적용",'잠재위험 및 대응책 DB'!B63,"-")</f>
        <v>-</v>
      </c>
      <c r="R82" s="207"/>
      <c r="S82" s="135" t="str">
        <f t="shared" si="17"/>
        <v>하</v>
      </c>
      <c r="T82" s="135">
        <f t="shared" si="4"/>
        <v>1</v>
      </c>
      <c r="U82" s="135" t="str">
        <f t="shared" si="5"/>
        <v>-</v>
      </c>
      <c r="V82" s="135" t="str">
        <f t="shared" si="6"/>
        <v>-</v>
      </c>
      <c r="W82" s="135" t="str">
        <f t="shared" si="7"/>
        <v>-</v>
      </c>
      <c r="X82" s="135" t="str">
        <f t="shared" si="18"/>
        <v>-</v>
      </c>
      <c r="Z82" s="86">
        <v>5</v>
      </c>
      <c r="AA82" s="86">
        <v>2</v>
      </c>
      <c r="AB82" s="86">
        <v>5</v>
      </c>
      <c r="AC82" s="86">
        <f t="shared" si="9"/>
        <v>12</v>
      </c>
      <c r="AD82" s="86" t="s">
        <v>324</v>
      </c>
      <c r="AE82" s="86" t="s">
        <v>324</v>
      </c>
      <c r="AF82" s="86" t="s">
        <v>324</v>
      </c>
      <c r="AG82" s="86" t="s">
        <v>324</v>
      </c>
    </row>
    <row r="83" spans="2:33" ht="60" customHeight="1" thickBot="1">
      <c r="B83" s="425"/>
      <c r="C83" s="425"/>
      <c r="D83" s="225" t="s">
        <v>119</v>
      </c>
      <c r="E83" s="384" t="str">
        <f>'요약 통계'!D68</f>
        <v>sudo 명령어 접근 관리</v>
      </c>
      <c r="F83" s="385"/>
      <c r="G83" s="385"/>
      <c r="H83" s="385"/>
      <c r="I83" s="386"/>
      <c r="J83" s="150" t="str">
        <f>'요약 통계'!E68</f>
        <v>중</v>
      </c>
      <c r="K83" s="150">
        <f>IF(M83="N/A","-",'요약 통계'!F68)</f>
        <v>2</v>
      </c>
      <c r="L83" s="151" t="s">
        <v>225</v>
      </c>
      <c r="M83" s="125" t="s">
        <v>133</v>
      </c>
      <c r="N83" s="134">
        <f t="shared" si="3"/>
        <v>2</v>
      </c>
      <c r="O83" s="212" t="s">
        <v>433</v>
      </c>
      <c r="P83" s="238" t="str">
        <f>IF(M83="N",'잠재위험 및 대응책 DB'!A64,"-")</f>
        <v>-</v>
      </c>
      <c r="Q83" s="238" t="str">
        <f>IF(W83="통제 적용",'잠재위험 및 대응책 DB'!B64,"-")</f>
        <v>-</v>
      </c>
      <c r="R83" s="207"/>
      <c r="S83" s="156" t="str">
        <f>J83</f>
        <v>중</v>
      </c>
      <c r="T83" s="156">
        <f t="shared" si="4"/>
        <v>2</v>
      </c>
      <c r="U83" s="156" t="str">
        <f t="shared" si="5"/>
        <v>-</v>
      </c>
      <c r="V83" s="156" t="str">
        <f t="shared" si="6"/>
        <v>-</v>
      </c>
      <c r="W83" s="156" t="str">
        <f t="shared" si="7"/>
        <v>-</v>
      </c>
      <c r="X83" s="156" t="str">
        <f t="shared" si="18"/>
        <v>-</v>
      </c>
      <c r="Z83" s="86">
        <v>5</v>
      </c>
      <c r="AA83" s="86">
        <v>3</v>
      </c>
      <c r="AB83" s="86">
        <v>5</v>
      </c>
      <c r="AC83" s="86">
        <f t="shared" si="9"/>
        <v>13</v>
      </c>
      <c r="AD83" s="86" t="s">
        <v>324</v>
      </c>
      <c r="AE83" s="86" t="s">
        <v>324</v>
      </c>
      <c r="AF83" s="86" t="s">
        <v>324</v>
      </c>
      <c r="AG83" s="86" t="s">
        <v>324</v>
      </c>
    </row>
    <row r="84" spans="2:33" ht="60" customHeight="1" thickBot="1">
      <c r="B84" s="433" t="str">
        <f>'요약 통계'!B69</f>
        <v>패치 관리</v>
      </c>
      <c r="C84" s="433"/>
      <c r="D84" s="259" t="s">
        <v>121</v>
      </c>
      <c r="E84" s="430" t="str">
        <f>'요약 통계'!D69</f>
        <v>주기적 보안 패치 및 벤더 권고사항 적용</v>
      </c>
      <c r="F84" s="431"/>
      <c r="G84" s="431"/>
      <c r="H84" s="431"/>
      <c r="I84" s="432"/>
      <c r="J84" s="260" t="str">
        <f>'요약 통계'!E69</f>
        <v>상</v>
      </c>
      <c r="K84" s="226">
        <f>IF(M84="N/A","-",'요약 통계'!F69)</f>
        <v>3</v>
      </c>
      <c r="L84" s="227" t="s">
        <v>227</v>
      </c>
      <c r="M84" s="126" t="s">
        <v>133</v>
      </c>
      <c r="N84" s="134">
        <f t="shared" si="3"/>
        <v>3</v>
      </c>
      <c r="O84" s="228" t="s">
        <v>434</v>
      </c>
      <c r="P84" s="248" t="str">
        <f>IF(M84="N",'잠재위험 및 대응책 DB'!A65,"-")</f>
        <v>-</v>
      </c>
      <c r="Q84" s="244" t="str">
        <f>IF(W84="통제 적용",'잠재위험 및 대응책 DB'!#REF!,"-")</f>
        <v>-</v>
      </c>
      <c r="R84" s="207"/>
      <c r="S84" s="173" t="str">
        <f t="shared" si="17"/>
        <v>상</v>
      </c>
      <c r="T84" s="174">
        <f t="shared" ref="T84:T87" si="19">IF(S84="상",3,IF(S84="중",2,IF(S84="하",1,0)))</f>
        <v>3</v>
      </c>
      <c r="U84" s="174" t="str">
        <f t="shared" ref="U84:U87" si="20">IFERROR(IF(OR($M84="y",$M84="n/a"),"-",$G$10+(($K84-$N84)*2)),"-")</f>
        <v>-</v>
      </c>
      <c r="V84" s="174" t="str">
        <f>IF(U84="-","-",IF(U84&gt;=7,"상",IF(U84&gt;=4,"중",IF(U84&gt;=2,"하","하"))))</f>
        <v>-</v>
      </c>
      <c r="W84" s="174" t="str">
        <f t="shared" ref="W84:W87" si="21">IF(U84="-","-",IF(U84&gt;=$I$10,"통제 적용","위험 수용"))</f>
        <v>-</v>
      </c>
      <c r="X84" s="174" t="str">
        <f t="shared" si="18"/>
        <v>-</v>
      </c>
      <c r="Z84" s="104">
        <v>5</v>
      </c>
      <c r="AA84" s="104">
        <v>4</v>
      </c>
      <c r="AB84" s="104">
        <v>5</v>
      </c>
      <c r="AC84" s="104">
        <f t="shared" ref="AC84:AC85" si="22">SUM(Z84:AB84)</f>
        <v>14</v>
      </c>
      <c r="AD84" s="104" t="s">
        <v>324</v>
      </c>
      <c r="AE84" s="104" t="s">
        <v>324</v>
      </c>
      <c r="AF84" s="104" t="s">
        <v>324</v>
      </c>
      <c r="AG84" s="104" t="s">
        <v>324</v>
      </c>
    </row>
    <row r="85" spans="2:33" ht="60" customHeight="1">
      <c r="B85" s="426" t="str">
        <f>'요약 통계'!B70</f>
        <v>로그 관리</v>
      </c>
      <c r="C85" s="426"/>
      <c r="D85" s="157" t="s">
        <v>122</v>
      </c>
      <c r="E85" s="429" t="str">
        <f>'요약 통계'!D70</f>
        <v>NTP 및 시각 동기화 설정</v>
      </c>
      <c r="F85" s="429"/>
      <c r="G85" s="429"/>
      <c r="H85" s="429"/>
      <c r="I85" s="429"/>
      <c r="J85" s="199" t="str">
        <f>'요약 통계'!E70</f>
        <v>중</v>
      </c>
      <c r="K85" s="158">
        <f>IF(M85="N/A","-",'요약 통계'!F70)</f>
        <v>2</v>
      </c>
      <c r="L85" s="159" t="s">
        <v>220</v>
      </c>
      <c r="M85" s="125" t="s">
        <v>133</v>
      </c>
      <c r="N85" s="134">
        <f t="shared" si="3"/>
        <v>2</v>
      </c>
      <c r="O85" s="213" t="s">
        <v>435</v>
      </c>
      <c r="P85" s="239" t="str">
        <f>IF(M85="N",'잠재위험 및 대응책 DB'!A66,"-")</f>
        <v>-</v>
      </c>
      <c r="Q85" s="245" t="str">
        <f>IF(W85="통제 적용",'잠재위험 및 대응책 DB'!#REF!,"-")</f>
        <v>-</v>
      </c>
      <c r="R85" s="207"/>
      <c r="S85" s="162" t="str">
        <f t="shared" si="17"/>
        <v>중</v>
      </c>
      <c r="T85" s="162">
        <f t="shared" si="19"/>
        <v>2</v>
      </c>
      <c r="U85" s="162" t="str">
        <f t="shared" si="20"/>
        <v>-</v>
      </c>
      <c r="V85" s="162" t="str">
        <f t="shared" ref="V85:V87" si="23">IF(U85="-","-",IF(U85&gt;=7,"상",IF(U85&gt;=4,"중",IF(U85&gt;=2,"하","하"))))</f>
        <v>-</v>
      </c>
      <c r="W85" s="162" t="str">
        <f t="shared" si="21"/>
        <v>-</v>
      </c>
      <c r="X85" s="162" t="str">
        <f t="shared" si="18"/>
        <v>-</v>
      </c>
      <c r="Z85" s="86">
        <v>5</v>
      </c>
      <c r="AA85" s="86">
        <v>3</v>
      </c>
      <c r="AB85" s="86">
        <v>5</v>
      </c>
      <c r="AC85" s="86">
        <f t="shared" si="22"/>
        <v>13</v>
      </c>
      <c r="AD85" s="86" t="s">
        <v>324</v>
      </c>
      <c r="AE85" s="86" t="s">
        <v>324</v>
      </c>
      <c r="AF85" s="86" t="s">
        <v>324</v>
      </c>
      <c r="AG85" s="86" t="s">
        <v>324</v>
      </c>
    </row>
    <row r="86" spans="2:33" ht="60" customHeight="1">
      <c r="B86" s="427"/>
      <c r="C86" s="428"/>
      <c r="D86" s="157" t="s">
        <v>123</v>
      </c>
      <c r="E86" s="381" t="str">
        <f>'요약 통계'!D71</f>
        <v>정책에 따른 시스템 로깅 설정</v>
      </c>
      <c r="F86" s="382"/>
      <c r="G86" s="382"/>
      <c r="H86" s="382"/>
      <c r="I86" s="383"/>
      <c r="J86" s="168" t="str">
        <f>'요약 통계'!E71</f>
        <v>중</v>
      </c>
      <c r="K86" s="158">
        <f>IF(M86="N/A","-",'요약 통계'!F71)</f>
        <v>2</v>
      </c>
      <c r="L86" s="159" t="s">
        <v>571</v>
      </c>
      <c r="M86" s="125" t="s">
        <v>133</v>
      </c>
      <c r="N86" s="134">
        <f t="shared" ref="N86:N87" si="24">IF(M86="N",0,K86)</f>
        <v>2</v>
      </c>
      <c r="O86" s="186" t="s">
        <v>436</v>
      </c>
      <c r="P86" s="236" t="str">
        <f>IF(M86="N",'잠재위험 및 대응책 DB'!A67,"-")</f>
        <v>-</v>
      </c>
      <c r="Q86" s="237"/>
      <c r="R86" s="207"/>
      <c r="S86" s="162" t="str">
        <f t="shared" si="17"/>
        <v>중</v>
      </c>
      <c r="T86" s="162">
        <f t="shared" si="19"/>
        <v>2</v>
      </c>
      <c r="U86" s="162" t="str">
        <f t="shared" si="20"/>
        <v>-</v>
      </c>
      <c r="V86" s="162" t="str">
        <f t="shared" ref="V86" si="25">IF(U86="-","-",IF(U86&gt;=7,"상",IF(U86&gt;=4,"중",IF(U86&gt;=2,"하","하"))))</f>
        <v>-</v>
      </c>
      <c r="W86" s="162" t="str">
        <f t="shared" ref="W86" si="26">IF(U86="-","-",IF(U86&gt;=$I$10,"통제 적용","위험 수용"))</f>
        <v>-</v>
      </c>
      <c r="X86" s="162" t="str">
        <f t="shared" si="18"/>
        <v>-</v>
      </c>
      <c r="Z86" s="86">
        <v>5</v>
      </c>
      <c r="AA86" s="86">
        <v>3</v>
      </c>
      <c r="AB86" s="86">
        <v>5</v>
      </c>
      <c r="AC86" s="86">
        <f t="shared" ref="AC86:AC87" si="27">SUM(Z86:AB86)</f>
        <v>13</v>
      </c>
      <c r="AD86" s="86" t="s">
        <v>324</v>
      </c>
      <c r="AE86" s="86" t="s">
        <v>324</v>
      </c>
      <c r="AF86" s="86" t="s">
        <v>324</v>
      </c>
      <c r="AG86" s="86" t="s">
        <v>324</v>
      </c>
    </row>
    <row r="87" spans="2:33" ht="60" customHeight="1" thickBot="1">
      <c r="B87" s="427"/>
      <c r="C87" s="428"/>
      <c r="D87" s="157" t="s">
        <v>124</v>
      </c>
      <c r="E87" s="381" t="str">
        <f>'요약 통계'!D72</f>
        <v>로그 디렉터리 소유자 및 권한 설정</v>
      </c>
      <c r="F87" s="382"/>
      <c r="G87" s="382"/>
      <c r="H87" s="382"/>
      <c r="I87" s="383"/>
      <c r="J87" s="132" t="str">
        <f>'요약 통계'!E72</f>
        <v>중</v>
      </c>
      <c r="K87" s="132">
        <f>IF(M87="N/A","-",'요약 통계'!F72)</f>
        <v>2</v>
      </c>
      <c r="L87" s="133" t="s">
        <v>226</v>
      </c>
      <c r="M87" s="125" t="s">
        <v>133</v>
      </c>
      <c r="N87" s="134">
        <f t="shared" si="24"/>
        <v>2</v>
      </c>
      <c r="O87" s="214" t="s">
        <v>437</v>
      </c>
      <c r="P87" s="236" t="str">
        <f>IF(M87="N",'잠재위험 및 대응책 DB'!A68,"-")</f>
        <v>-</v>
      </c>
      <c r="Q87" s="237" t="str">
        <f>IF(W87="통제 적용",'잠재위험 및 대응책 DB'!#REF!,"-")</f>
        <v>-</v>
      </c>
      <c r="R87" s="207"/>
      <c r="S87" s="135" t="str">
        <f t="shared" si="17"/>
        <v>중</v>
      </c>
      <c r="T87" s="135">
        <f t="shared" si="19"/>
        <v>2</v>
      </c>
      <c r="U87" s="135" t="str">
        <f t="shared" si="20"/>
        <v>-</v>
      </c>
      <c r="V87" s="135" t="str">
        <f t="shared" si="23"/>
        <v>-</v>
      </c>
      <c r="W87" s="135" t="str">
        <f t="shared" si="21"/>
        <v>-</v>
      </c>
      <c r="X87" s="135" t="str">
        <f t="shared" si="18"/>
        <v>-</v>
      </c>
      <c r="Z87" s="86">
        <v>5</v>
      </c>
      <c r="AA87" s="86">
        <v>3</v>
      </c>
      <c r="AB87" s="86">
        <v>5</v>
      </c>
      <c r="AC87" s="86">
        <f t="shared" si="27"/>
        <v>13</v>
      </c>
      <c r="AD87" s="86" t="s">
        <v>324</v>
      </c>
      <c r="AE87" s="86" t="s">
        <v>324</v>
      </c>
      <c r="AF87" s="86" t="s">
        <v>324</v>
      </c>
      <c r="AG87" s="86" t="s">
        <v>324</v>
      </c>
    </row>
    <row r="89" spans="2:33">
      <c r="S89" s="179"/>
      <c r="AC89" s="179"/>
    </row>
    <row r="90" spans="2:33" hidden="1">
      <c r="S90" s="179"/>
      <c r="AC90" s="179"/>
    </row>
    <row r="91" spans="2:33" hidden="1">
      <c r="J91" s="89" t="s">
        <v>217</v>
      </c>
      <c r="K91" s="13"/>
      <c r="L91" s="13"/>
      <c r="M91" s="89" t="s">
        <v>230</v>
      </c>
      <c r="S91" s="179"/>
      <c r="AC91" s="179"/>
    </row>
    <row r="92" spans="2:33" hidden="1">
      <c r="J92" s="13">
        <v>3</v>
      </c>
      <c r="K92" s="13"/>
      <c r="L92" s="13"/>
      <c r="M92" s="13">
        <f ca="1">COUNTIF($U$21:$U$87,3)</f>
        <v>0</v>
      </c>
      <c r="S92" s="179"/>
      <c r="AC92" s="179"/>
    </row>
    <row r="93" spans="2:33" hidden="1">
      <c r="J93" s="13">
        <v>4</v>
      </c>
      <c r="K93" s="13"/>
      <c r="L93" s="13"/>
      <c r="M93" s="13">
        <f ca="1">COUNTIF($U$21:$U$87,4)</f>
        <v>0</v>
      </c>
      <c r="S93" s="179"/>
      <c r="AC93" s="179"/>
    </row>
    <row r="94" spans="2:33" hidden="1">
      <c r="J94" s="13">
        <v>5</v>
      </c>
      <c r="K94" s="13"/>
      <c r="L94" s="13"/>
      <c r="M94" s="13">
        <f ca="1">COUNTIF($U$21:$U$87,5)</f>
        <v>0</v>
      </c>
      <c r="S94" s="179"/>
      <c r="AC94" s="179"/>
    </row>
    <row r="95" spans="2:33" hidden="1">
      <c r="J95" s="13">
        <v>6</v>
      </c>
      <c r="K95" s="13"/>
      <c r="L95" s="13"/>
      <c r="M95" s="13">
        <f ca="1">COUNTIF($U$21:$U$87,6)</f>
        <v>0</v>
      </c>
      <c r="S95" s="179"/>
      <c r="AC95" s="179"/>
    </row>
    <row r="96" spans="2:33" hidden="1">
      <c r="J96" s="13">
        <v>7</v>
      </c>
      <c r="K96" s="13"/>
      <c r="L96" s="13"/>
      <c r="M96" s="13">
        <f ca="1">COUNTIF($U$21:$U$87,7)</f>
        <v>0</v>
      </c>
      <c r="S96" s="179"/>
      <c r="AC96" s="179"/>
    </row>
    <row r="97" spans="10:29" hidden="1">
      <c r="J97" s="13">
        <v>8</v>
      </c>
      <c r="K97" s="13"/>
      <c r="L97" s="13"/>
      <c r="M97" s="13">
        <f ca="1">COUNTIF($U$21:$U$87,8)</f>
        <v>0</v>
      </c>
      <c r="S97" s="179"/>
      <c r="AC97" s="179"/>
    </row>
    <row r="98" spans="10:29" hidden="1">
      <c r="J98" s="13">
        <v>9</v>
      </c>
      <c r="K98" s="13"/>
      <c r="L98" s="13"/>
      <c r="M98" s="13">
        <f ca="1">COUNTIF($U$21:$U$87,9)</f>
        <v>3</v>
      </c>
      <c r="S98" s="179"/>
      <c r="AC98" s="179"/>
    </row>
    <row r="99" spans="10:29" hidden="1"/>
  </sheetData>
  <mergeCells count="97">
    <mergeCell ref="E61:I61"/>
    <mergeCell ref="E86:I86"/>
    <mergeCell ref="E83:I83"/>
    <mergeCell ref="E74:I74"/>
    <mergeCell ref="E73:I73"/>
    <mergeCell ref="E75:I75"/>
    <mergeCell ref="E76:I76"/>
    <mergeCell ref="E77:I77"/>
    <mergeCell ref="E78:I78"/>
    <mergeCell ref="E64:I64"/>
    <mergeCell ref="E65:I65"/>
    <mergeCell ref="E66:I66"/>
    <mergeCell ref="E79:I79"/>
    <mergeCell ref="E80:I80"/>
    <mergeCell ref="E81:I81"/>
    <mergeCell ref="E82:I82"/>
    <mergeCell ref="B85:C87"/>
    <mergeCell ref="E85:I85"/>
    <mergeCell ref="E87:I87"/>
    <mergeCell ref="E84:I84"/>
    <mergeCell ref="B84:C84"/>
    <mergeCell ref="B54:C83"/>
    <mergeCell ref="E54:I54"/>
    <mergeCell ref="E55:I55"/>
    <mergeCell ref="E56:I56"/>
    <mergeCell ref="E57:I57"/>
    <mergeCell ref="E58:I58"/>
    <mergeCell ref="E59:I59"/>
    <mergeCell ref="E60:I60"/>
    <mergeCell ref="E67:I67"/>
    <mergeCell ref="E68:I68"/>
    <mergeCell ref="E69:I69"/>
    <mergeCell ref="E70:I70"/>
    <mergeCell ref="E71:I71"/>
    <mergeCell ref="E72:I72"/>
    <mergeCell ref="E62:I62"/>
    <mergeCell ref="E63:I63"/>
    <mergeCell ref="E34:I34"/>
    <mergeCell ref="E35:I35"/>
    <mergeCell ref="B34:C53"/>
    <mergeCell ref="E36:I36"/>
    <mergeCell ref="E37:I37"/>
    <mergeCell ref="E38:I38"/>
    <mergeCell ref="E45:I45"/>
    <mergeCell ref="E46:I46"/>
    <mergeCell ref="E47:I47"/>
    <mergeCell ref="E48:I48"/>
    <mergeCell ref="E49:I49"/>
    <mergeCell ref="E50:I50"/>
    <mergeCell ref="E39:I39"/>
    <mergeCell ref="E40:I40"/>
    <mergeCell ref="E41:I41"/>
    <mergeCell ref="E42:I42"/>
    <mergeCell ref="M20:N20"/>
    <mergeCell ref="B21:C33"/>
    <mergeCell ref="E21:I21"/>
    <mergeCell ref="E22:I22"/>
    <mergeCell ref="E23:I23"/>
    <mergeCell ref="E24:I24"/>
    <mergeCell ref="E25:I25"/>
    <mergeCell ref="E29:I29"/>
    <mergeCell ref="E30:I30"/>
    <mergeCell ref="E31:I31"/>
    <mergeCell ref="J20:K20"/>
    <mergeCell ref="E32:I32"/>
    <mergeCell ref="E33:I33"/>
    <mergeCell ref="E52:I52"/>
    <mergeCell ref="E53:I53"/>
    <mergeCell ref="B11:C11"/>
    <mergeCell ref="B12:C12"/>
    <mergeCell ref="B13:C13"/>
    <mergeCell ref="B14:C14"/>
    <mergeCell ref="B15:C15"/>
    <mergeCell ref="B16:C16"/>
    <mergeCell ref="E26:I26"/>
    <mergeCell ref="E27:I27"/>
    <mergeCell ref="E28:I28"/>
    <mergeCell ref="B20:C20"/>
    <mergeCell ref="D20:I20"/>
    <mergeCell ref="E43:I43"/>
    <mergeCell ref="E44:I44"/>
    <mergeCell ref="E51:I51"/>
    <mergeCell ref="B9:C10"/>
    <mergeCell ref="I9:J9"/>
    <mergeCell ref="S9:T9"/>
    <mergeCell ref="U9:V9"/>
    <mergeCell ref="I10:J10"/>
    <mergeCell ref="S10:T10"/>
    <mergeCell ref="U10:V10"/>
    <mergeCell ref="B4:C4"/>
    <mergeCell ref="D4:E4"/>
    <mergeCell ref="F4:G4"/>
    <mergeCell ref="H4:J4"/>
    <mergeCell ref="B5:C5"/>
    <mergeCell ref="D5:E5"/>
    <mergeCell ref="F5:G5"/>
    <mergeCell ref="H5:J5"/>
  </mergeCells>
  <phoneticPr fontId="7" type="noConversion"/>
  <conditionalFormatting sqref="D21:D87">
    <cfRule type="cellIs" dxfId="5" priority="24" stopIfTrue="1" operator="equal">
      <formula>"N/A"</formula>
    </cfRule>
    <cfRule type="cellIs" dxfId="4" priority="25" stopIfTrue="1" operator="equal">
      <formula>"N"</formula>
    </cfRule>
  </conditionalFormatting>
  <conditionalFormatting sqref="W21:W87">
    <cfRule type="cellIs" dxfId="3" priority="22" operator="equal">
      <formula>"위험 수용"</formula>
    </cfRule>
    <cfRule type="cellIs" dxfId="2" priority="23" operator="equal">
      <formula>"통제 적용"</formula>
    </cfRule>
  </conditionalFormatting>
  <conditionalFormatting sqref="M21:M87">
    <cfRule type="cellIs" dxfId="1" priority="1" stopIfTrue="1" operator="equal">
      <formula>"N/A"</formula>
    </cfRule>
    <cfRule type="cellIs" dxfId="0" priority="2" stopIfTrue="1" operator="equal">
      <formula>"N"</formula>
    </cfRule>
  </conditionalFormatting>
  <dataValidations count="3">
    <dataValidation type="list" allowBlank="1" showInputMessage="1" showErrorMessage="1" sqref="AG21:AG33 AG54:AG87 AD21:AF87" xr:uid="{7DB0176D-0998-4292-9FB1-9EA93DE5DA7E}">
      <formula1>"-,HOT FIX,단기,중기,장기"</formula1>
    </dataValidation>
    <dataValidation type="list" showInputMessage="1" showErrorMessage="1" sqref="Z21:AB87" xr:uid="{A08D4990-AA8F-43A3-8110-D9F5B14D308A}">
      <formula1>"-,1,2,3,4,5"</formula1>
    </dataValidation>
    <dataValidation type="list" allowBlank="1" showInputMessage="1" showErrorMessage="1" sqref="M21:M87" xr:uid="{F9F4E68D-4CB3-4F5C-9731-896C01546E7D}">
      <formula1>"Y,N,N/A"</formula1>
    </dataValidation>
  </dataValidations>
  <printOptions horizontalCentered="1"/>
  <pageMargins left="0.39370078740157483" right="0.39370078740157483" top="0.59055118110236215" bottom="0.59055118110236215" header="0.19685039370078741" footer="0.19685039370078741"/>
  <pageSetup paperSize="9" scale="11" orientation="landscape" horizontalDpi="300" verticalDpi="300" r:id="rId1"/>
  <legacyDrawingHF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rgb="FFFFC000"/>
  </sheetPr>
  <dimension ref="B1:E98"/>
  <sheetViews>
    <sheetView view="pageBreakPreview" zoomScale="60" zoomScaleNormal="55" workbookViewId="0">
      <pane ySplit="1" topLeftCell="A2" activePane="bottomLeft" state="frozen"/>
      <selection pane="bottomLeft"/>
    </sheetView>
  </sheetViews>
  <sheetFormatPr defaultRowHeight="13.5"/>
  <cols>
    <col min="2" max="2" width="63.44140625" customWidth="1"/>
    <col min="3" max="3" width="6.44140625" customWidth="1"/>
    <col min="4" max="4" width="46" style="65" customWidth="1"/>
    <col min="5" max="5" width="52.21875" style="65" customWidth="1"/>
  </cols>
  <sheetData>
    <row r="1" spans="4:5">
      <c r="D1"/>
      <c r="E1"/>
    </row>
    <row r="2" spans="4:5">
      <c r="D2"/>
      <c r="E2"/>
    </row>
    <row r="3" spans="4:5">
      <c r="D3"/>
      <c r="E3"/>
    </row>
    <row r="4" spans="4:5">
      <c r="D4"/>
      <c r="E4"/>
    </row>
    <row r="5" spans="4:5">
      <c r="D5"/>
      <c r="E5"/>
    </row>
    <row r="6" spans="4:5">
      <c r="D6"/>
      <c r="E6"/>
    </row>
    <row r="7" spans="4:5">
      <c r="D7"/>
      <c r="E7"/>
    </row>
    <row r="8" spans="4:5">
      <c r="D8"/>
      <c r="E8"/>
    </row>
    <row r="9" spans="4:5">
      <c r="D9"/>
      <c r="E9"/>
    </row>
    <row r="10" spans="4:5">
      <c r="D10"/>
      <c r="E10"/>
    </row>
    <row r="11" spans="4:5">
      <c r="D11"/>
      <c r="E11"/>
    </row>
    <row r="12" spans="4:5">
      <c r="D12"/>
      <c r="E12"/>
    </row>
    <row r="13" spans="4:5">
      <c r="D13"/>
      <c r="E13"/>
    </row>
    <row r="14" spans="4:5">
      <c r="D14"/>
      <c r="E14"/>
    </row>
    <row r="15" spans="4:5">
      <c r="D15"/>
      <c r="E15"/>
    </row>
    <row r="16" spans="4:5">
      <c r="D16"/>
      <c r="E16"/>
    </row>
    <row r="17" spans="2:5">
      <c r="D17"/>
      <c r="E17"/>
    </row>
    <row r="18" spans="2:5" ht="33.75">
      <c r="B18" s="91" t="s">
        <v>242</v>
      </c>
      <c r="D18"/>
      <c r="E18"/>
    </row>
    <row r="19" spans="2:5">
      <c r="D19"/>
      <c r="E19"/>
    </row>
    <row r="20" spans="2:5">
      <c r="D20"/>
      <c r="E20"/>
    </row>
    <row r="21" spans="2:5">
      <c r="D21"/>
      <c r="E21"/>
    </row>
    <row r="22" spans="2:5">
      <c r="D22"/>
      <c r="E22"/>
    </row>
    <row r="23" spans="2:5">
      <c r="D23"/>
      <c r="E23"/>
    </row>
    <row r="24" spans="2:5">
      <c r="D24"/>
      <c r="E24"/>
    </row>
    <row r="25" spans="2:5">
      <c r="D25"/>
      <c r="E25"/>
    </row>
    <row r="26" spans="2:5">
      <c r="D26"/>
      <c r="E26"/>
    </row>
    <row r="27" spans="2:5">
      <c r="D27"/>
      <c r="E27"/>
    </row>
    <row r="28" spans="2:5">
      <c r="D28"/>
      <c r="E28"/>
    </row>
    <row r="29" spans="2:5">
      <c r="D29"/>
      <c r="E29"/>
    </row>
    <row r="30" spans="2:5">
      <c r="D30"/>
      <c r="E30"/>
    </row>
    <row r="31" spans="2:5">
      <c r="D31"/>
      <c r="E31"/>
    </row>
    <row r="32" spans="2:5">
      <c r="D32"/>
      <c r="E32"/>
    </row>
    <row r="33" spans="4:5">
      <c r="D33"/>
      <c r="E33"/>
    </row>
    <row r="34" spans="4:5">
      <c r="D34"/>
      <c r="E34"/>
    </row>
    <row r="35" spans="4:5">
      <c r="D35"/>
      <c r="E35"/>
    </row>
    <row r="36" spans="4:5">
      <c r="D36"/>
      <c r="E36"/>
    </row>
    <row r="37" spans="4:5">
      <c r="D37"/>
      <c r="E37"/>
    </row>
    <row r="38" spans="4:5">
      <c r="D38"/>
      <c r="E38"/>
    </row>
    <row r="39" spans="4:5">
      <c r="D39"/>
      <c r="E39"/>
    </row>
    <row r="40" spans="4:5">
      <c r="D40"/>
      <c r="E40"/>
    </row>
    <row r="41" spans="4:5">
      <c r="D41"/>
      <c r="E41"/>
    </row>
    <row r="42" spans="4:5">
      <c r="D42"/>
      <c r="E42"/>
    </row>
    <row r="43" spans="4:5">
      <c r="D43"/>
      <c r="E43"/>
    </row>
    <row r="44" spans="4:5">
      <c r="D44"/>
      <c r="E44"/>
    </row>
    <row r="45" spans="4:5">
      <c r="D45"/>
      <c r="E45"/>
    </row>
    <row r="46" spans="4:5">
      <c r="D46"/>
      <c r="E46"/>
    </row>
    <row r="47" spans="4:5">
      <c r="D47"/>
      <c r="E47"/>
    </row>
    <row r="48" spans="4:5">
      <c r="D48"/>
      <c r="E48"/>
    </row>
    <row r="49" spans="4:5">
      <c r="D49"/>
      <c r="E49"/>
    </row>
    <row r="50" spans="4:5">
      <c r="D50"/>
      <c r="E50"/>
    </row>
    <row r="51" spans="4:5">
      <c r="D51"/>
      <c r="E51"/>
    </row>
    <row r="52" spans="4:5">
      <c r="D52"/>
      <c r="E52"/>
    </row>
    <row r="53" spans="4:5">
      <c r="D53"/>
      <c r="E53"/>
    </row>
    <row r="54" spans="4:5">
      <c r="D54"/>
      <c r="E54"/>
    </row>
    <row r="55" spans="4:5">
      <c r="D55"/>
      <c r="E55"/>
    </row>
    <row r="56" spans="4:5">
      <c r="D56"/>
      <c r="E56"/>
    </row>
    <row r="57" spans="4:5">
      <c r="D57"/>
      <c r="E57"/>
    </row>
    <row r="58" spans="4:5">
      <c r="D58"/>
      <c r="E58"/>
    </row>
    <row r="59" spans="4:5">
      <c r="D59"/>
      <c r="E59"/>
    </row>
    <row r="60" spans="4:5">
      <c r="D60"/>
      <c r="E60"/>
    </row>
    <row r="61" spans="4:5">
      <c r="D61"/>
      <c r="E61"/>
    </row>
    <row r="62" spans="4:5">
      <c r="D62"/>
      <c r="E62"/>
    </row>
    <row r="63" spans="4:5">
      <c r="D63"/>
      <c r="E63"/>
    </row>
    <row r="64" spans="4:5">
      <c r="D64"/>
      <c r="E64"/>
    </row>
    <row r="65" spans="4:5">
      <c r="D65"/>
      <c r="E65"/>
    </row>
    <row r="66" spans="4:5">
      <c r="D66"/>
      <c r="E66"/>
    </row>
    <row r="67" spans="4:5">
      <c r="D67"/>
      <c r="E67"/>
    </row>
    <row r="68" spans="4:5">
      <c r="D68"/>
      <c r="E68"/>
    </row>
    <row r="69" spans="4:5">
      <c r="D69"/>
      <c r="E69"/>
    </row>
    <row r="70" spans="4:5">
      <c r="D70"/>
      <c r="E70"/>
    </row>
    <row r="71" spans="4:5">
      <c r="D71"/>
      <c r="E71"/>
    </row>
    <row r="72" spans="4:5">
      <c r="D72"/>
      <c r="E72"/>
    </row>
    <row r="73" spans="4:5">
      <c r="D73"/>
      <c r="E73"/>
    </row>
    <row r="74" spans="4:5">
      <c r="D74"/>
      <c r="E74"/>
    </row>
    <row r="75" spans="4:5">
      <c r="D75"/>
      <c r="E75"/>
    </row>
    <row r="76" spans="4:5">
      <c r="D76"/>
      <c r="E76"/>
    </row>
    <row r="77" spans="4:5">
      <c r="D77"/>
      <c r="E77"/>
    </row>
    <row r="78" spans="4:5">
      <c r="D78"/>
      <c r="E78"/>
    </row>
    <row r="79" spans="4:5">
      <c r="D79"/>
      <c r="E79"/>
    </row>
    <row r="80" spans="4:5">
      <c r="D80"/>
      <c r="E80"/>
    </row>
    <row r="81" spans="4:5">
      <c r="D81"/>
      <c r="E81"/>
    </row>
    <row r="82" spans="4:5">
      <c r="D82"/>
      <c r="E82"/>
    </row>
    <row r="83" spans="4:5">
      <c r="D83"/>
      <c r="E83"/>
    </row>
    <row r="84" spans="4:5">
      <c r="D84"/>
      <c r="E84"/>
    </row>
    <row r="85" spans="4:5">
      <c r="D85"/>
      <c r="E85"/>
    </row>
    <row r="86" spans="4:5">
      <c r="D86"/>
      <c r="E86"/>
    </row>
    <row r="87" spans="4:5">
      <c r="D87"/>
      <c r="E87"/>
    </row>
    <row r="88" spans="4:5">
      <c r="D88"/>
      <c r="E88"/>
    </row>
    <row r="89" spans="4:5">
      <c r="D89"/>
      <c r="E89"/>
    </row>
    <row r="90" spans="4:5">
      <c r="D90"/>
      <c r="E90"/>
    </row>
    <row r="91" spans="4:5">
      <c r="D91"/>
      <c r="E91"/>
    </row>
    <row r="92" spans="4:5">
      <c r="D92"/>
      <c r="E92"/>
    </row>
    <row r="93" spans="4:5">
      <c r="D93"/>
      <c r="E93"/>
    </row>
    <row r="94" spans="4:5">
      <c r="D94"/>
      <c r="E94"/>
    </row>
    <row r="95" spans="4:5">
      <c r="D95"/>
      <c r="E95"/>
    </row>
    <row r="96" spans="4:5">
      <c r="D96"/>
      <c r="E96"/>
    </row>
    <row r="97" spans="4:5">
      <c r="D97"/>
      <c r="E97"/>
    </row>
    <row r="98" spans="4:5">
      <c r="D98"/>
      <c r="E98"/>
    </row>
  </sheetData>
  <phoneticPr fontId="7" type="noConversion"/>
  <pageMargins left="0.7" right="0.7" top="0.75" bottom="0.75" header="0.3" footer="0.3"/>
  <pageSetup paperSize="9" scale="33" orientation="portrait" r:id="rId1"/>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ain">
                <anchor moveWithCells="1" sizeWithCells="1">
                  <from>
                    <xdr:col>1</xdr:col>
                    <xdr:colOff>95250</xdr:colOff>
                    <xdr:row>3</xdr:row>
                    <xdr:rowOff>38100</xdr:rowOff>
                  </from>
                  <to>
                    <xdr:col>1</xdr:col>
                    <xdr:colOff>4781550</xdr:colOff>
                    <xdr:row>16</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FFCC00"/>
  </sheetPr>
  <dimension ref="A1:B68"/>
  <sheetViews>
    <sheetView workbookViewId="0">
      <selection activeCell="C6" sqref="C6"/>
    </sheetView>
  </sheetViews>
  <sheetFormatPr defaultColWidth="9" defaultRowHeight="13.5"/>
  <cols>
    <col min="1" max="1" width="68.6640625" style="87" customWidth="1"/>
    <col min="2" max="2" width="66.44140625" style="87" customWidth="1"/>
    <col min="3" max="16384" width="9" style="87"/>
  </cols>
  <sheetData>
    <row r="1" spans="1:2" s="232" customFormat="1">
      <c r="A1" s="230" t="s">
        <v>228</v>
      </c>
      <c r="B1" s="231" t="s">
        <v>213</v>
      </c>
    </row>
    <row r="2" spans="1:2" s="232" customFormat="1" ht="27">
      <c r="A2" s="233" t="s">
        <v>524</v>
      </c>
      <c r="B2" s="234" t="s">
        <v>438</v>
      </c>
    </row>
    <row r="3" spans="1:2" s="232" customFormat="1" ht="27">
      <c r="A3" s="233" t="s">
        <v>525</v>
      </c>
      <c r="B3" s="234" t="s">
        <v>439</v>
      </c>
    </row>
    <row r="4" spans="1:2" s="232" customFormat="1">
      <c r="A4" s="233" t="s">
        <v>568</v>
      </c>
      <c r="B4" s="234" t="s">
        <v>440</v>
      </c>
    </row>
    <row r="5" spans="1:2" s="232" customFormat="1" ht="27">
      <c r="A5" s="233" t="s">
        <v>441</v>
      </c>
      <c r="B5" s="234" t="s">
        <v>442</v>
      </c>
    </row>
    <row r="6" spans="1:2" s="232" customFormat="1" ht="54">
      <c r="A6" s="233" t="s">
        <v>570</v>
      </c>
      <c r="B6" s="234" t="s">
        <v>443</v>
      </c>
    </row>
    <row r="7" spans="1:2" s="232" customFormat="1" ht="27">
      <c r="A7" s="233" t="s">
        <v>444</v>
      </c>
      <c r="B7" s="234" t="s">
        <v>445</v>
      </c>
    </row>
    <row r="8" spans="1:2" s="232" customFormat="1" ht="27">
      <c r="A8" s="233" t="s">
        <v>446</v>
      </c>
      <c r="B8" s="234" t="s">
        <v>447</v>
      </c>
    </row>
    <row r="9" spans="1:2" s="232" customFormat="1" ht="27">
      <c r="A9" s="233" t="s">
        <v>526</v>
      </c>
      <c r="B9" s="234" t="s">
        <v>448</v>
      </c>
    </row>
    <row r="10" spans="1:2" s="232" customFormat="1" ht="27">
      <c r="A10" s="233" t="s">
        <v>527</v>
      </c>
      <c r="B10" s="234" t="s">
        <v>449</v>
      </c>
    </row>
    <row r="11" spans="1:2" s="232" customFormat="1" ht="27">
      <c r="A11" s="233" t="s">
        <v>528</v>
      </c>
      <c r="B11" s="234" t="s">
        <v>450</v>
      </c>
    </row>
    <row r="12" spans="1:2" s="232" customFormat="1" ht="27">
      <c r="A12" s="233" t="s">
        <v>451</v>
      </c>
      <c r="B12" s="234" t="s">
        <v>452</v>
      </c>
    </row>
    <row r="13" spans="1:2" s="232" customFormat="1">
      <c r="A13" s="233" t="s">
        <v>529</v>
      </c>
      <c r="B13" s="234" t="s">
        <v>453</v>
      </c>
    </row>
    <row r="14" spans="1:2" s="232" customFormat="1">
      <c r="A14" s="233" t="s">
        <v>530</v>
      </c>
      <c r="B14" s="234" t="s">
        <v>454</v>
      </c>
    </row>
    <row r="15" spans="1:2" s="232" customFormat="1" ht="40.5">
      <c r="A15" s="233" t="s">
        <v>531</v>
      </c>
      <c r="B15" s="234" t="s">
        <v>455</v>
      </c>
    </row>
    <row r="16" spans="1:2" s="232" customFormat="1" ht="27">
      <c r="A16" s="233" t="s">
        <v>456</v>
      </c>
      <c r="B16" s="234" t="s">
        <v>457</v>
      </c>
    </row>
    <row r="17" spans="1:2" s="232" customFormat="1" ht="27">
      <c r="A17" s="233" t="s">
        <v>458</v>
      </c>
      <c r="B17" s="234" t="s">
        <v>459</v>
      </c>
    </row>
    <row r="18" spans="1:2" s="232" customFormat="1">
      <c r="A18" s="233" t="s">
        <v>532</v>
      </c>
      <c r="B18" s="234" t="s">
        <v>460</v>
      </c>
    </row>
    <row r="19" spans="1:2" s="232" customFormat="1">
      <c r="A19" s="233" t="s">
        <v>461</v>
      </c>
      <c r="B19" s="234" t="s">
        <v>462</v>
      </c>
    </row>
    <row r="20" spans="1:2" s="232" customFormat="1">
      <c r="A20" s="235" t="s">
        <v>569</v>
      </c>
      <c r="B20" s="234" t="s">
        <v>463</v>
      </c>
    </row>
    <row r="21" spans="1:2" s="232" customFormat="1" ht="27">
      <c r="A21" s="233" t="s">
        <v>533</v>
      </c>
      <c r="B21" s="234" t="s">
        <v>464</v>
      </c>
    </row>
    <row r="22" spans="1:2" s="232" customFormat="1" ht="27">
      <c r="A22" s="233" t="s">
        <v>465</v>
      </c>
      <c r="B22" s="234" t="s">
        <v>466</v>
      </c>
    </row>
    <row r="23" spans="1:2" s="232" customFormat="1" ht="27">
      <c r="A23" s="233" t="s">
        <v>534</v>
      </c>
      <c r="B23" s="234" t="s">
        <v>467</v>
      </c>
    </row>
    <row r="24" spans="1:2" s="232" customFormat="1" ht="40.5">
      <c r="A24" s="233" t="s">
        <v>535</v>
      </c>
      <c r="B24" s="234" t="s">
        <v>468</v>
      </c>
    </row>
    <row r="25" spans="1:2" s="232" customFormat="1">
      <c r="A25" s="233" t="s">
        <v>536</v>
      </c>
      <c r="B25" s="234" t="s">
        <v>469</v>
      </c>
    </row>
    <row r="26" spans="1:2" s="232" customFormat="1">
      <c r="A26" s="233" t="s">
        <v>537</v>
      </c>
      <c r="B26" s="234" t="s">
        <v>470</v>
      </c>
    </row>
    <row r="27" spans="1:2" s="232" customFormat="1" ht="27">
      <c r="A27" s="233" t="s">
        <v>471</v>
      </c>
      <c r="B27" s="234" t="s">
        <v>472</v>
      </c>
    </row>
    <row r="28" spans="1:2" s="232" customFormat="1" ht="40.5">
      <c r="A28" s="233" t="s">
        <v>538</v>
      </c>
      <c r="B28" s="234" t="s">
        <v>473</v>
      </c>
    </row>
    <row r="29" spans="1:2" s="232" customFormat="1" ht="27">
      <c r="A29" s="233" t="s">
        <v>539</v>
      </c>
      <c r="B29" s="234" t="s">
        <v>474</v>
      </c>
    </row>
    <row r="30" spans="1:2" s="232" customFormat="1" ht="27">
      <c r="A30" s="233" t="s">
        <v>540</v>
      </c>
      <c r="B30" s="234" t="s">
        <v>475</v>
      </c>
    </row>
    <row r="31" spans="1:2" s="232" customFormat="1" ht="27">
      <c r="A31" s="233" t="s">
        <v>476</v>
      </c>
      <c r="B31" s="234" t="s">
        <v>477</v>
      </c>
    </row>
    <row r="32" spans="1:2" s="232" customFormat="1" ht="54">
      <c r="A32" s="233" t="s">
        <v>478</v>
      </c>
      <c r="B32" s="234" t="s">
        <v>479</v>
      </c>
    </row>
    <row r="33" spans="1:2" s="232" customFormat="1">
      <c r="A33" s="233" t="s">
        <v>541</v>
      </c>
      <c r="B33" s="234" t="s">
        <v>480</v>
      </c>
    </row>
    <row r="34" spans="1:2" s="232" customFormat="1">
      <c r="A34" s="233" t="s">
        <v>542</v>
      </c>
      <c r="B34" s="234" t="s">
        <v>481</v>
      </c>
    </row>
    <row r="35" spans="1:2" s="232" customFormat="1" ht="27">
      <c r="A35" s="233" t="s">
        <v>543</v>
      </c>
      <c r="B35" s="234" t="s">
        <v>482</v>
      </c>
    </row>
    <row r="36" spans="1:2" s="232" customFormat="1">
      <c r="A36" s="233" t="s">
        <v>544</v>
      </c>
      <c r="B36" s="234" t="s">
        <v>483</v>
      </c>
    </row>
    <row r="37" spans="1:2" s="232" customFormat="1" ht="27">
      <c r="A37" s="233" t="s">
        <v>484</v>
      </c>
      <c r="B37" s="234" t="s">
        <v>485</v>
      </c>
    </row>
    <row r="38" spans="1:2" s="232" customFormat="1">
      <c r="A38" s="233" t="s">
        <v>545</v>
      </c>
      <c r="B38" s="234" t="s">
        <v>486</v>
      </c>
    </row>
    <row r="39" spans="1:2" s="232" customFormat="1">
      <c r="A39" s="233" t="s">
        <v>546</v>
      </c>
      <c r="B39" s="234" t="s">
        <v>487</v>
      </c>
    </row>
    <row r="40" spans="1:2" s="232" customFormat="1" ht="27">
      <c r="A40" s="233" t="s">
        <v>488</v>
      </c>
      <c r="B40" s="234" t="s">
        <v>489</v>
      </c>
    </row>
    <row r="41" spans="1:2" s="232" customFormat="1" ht="27">
      <c r="A41" s="233" t="s">
        <v>547</v>
      </c>
      <c r="B41" s="234" t="s">
        <v>490</v>
      </c>
    </row>
    <row r="42" spans="1:2" s="232" customFormat="1" ht="27">
      <c r="A42" s="233" t="s">
        <v>491</v>
      </c>
      <c r="B42" s="234" t="s">
        <v>492</v>
      </c>
    </row>
    <row r="43" spans="1:2" s="232" customFormat="1">
      <c r="A43" s="233" t="s">
        <v>493</v>
      </c>
      <c r="B43" s="234" t="s">
        <v>494</v>
      </c>
    </row>
    <row r="44" spans="1:2" s="232" customFormat="1">
      <c r="A44" s="233" t="s">
        <v>548</v>
      </c>
      <c r="B44" s="234" t="s">
        <v>495</v>
      </c>
    </row>
    <row r="45" spans="1:2" s="232" customFormat="1">
      <c r="A45" s="233" t="s">
        <v>496</v>
      </c>
      <c r="B45" s="234" t="s">
        <v>497</v>
      </c>
    </row>
    <row r="46" spans="1:2" s="232" customFormat="1" ht="27">
      <c r="A46" s="233" t="s">
        <v>549</v>
      </c>
      <c r="B46" s="234" t="s">
        <v>498</v>
      </c>
    </row>
    <row r="47" spans="1:2" s="232" customFormat="1" ht="27">
      <c r="A47" s="233" t="s">
        <v>499</v>
      </c>
      <c r="B47" s="234" t="s">
        <v>500</v>
      </c>
    </row>
    <row r="48" spans="1:2" s="232" customFormat="1" ht="27">
      <c r="A48" s="233" t="s">
        <v>550</v>
      </c>
      <c r="B48" s="234" t="s">
        <v>501</v>
      </c>
    </row>
    <row r="49" spans="1:2" s="232" customFormat="1" ht="27">
      <c r="A49" s="233" t="s">
        <v>502</v>
      </c>
      <c r="B49" s="234" t="s">
        <v>503</v>
      </c>
    </row>
    <row r="50" spans="1:2" s="232" customFormat="1" ht="67.5">
      <c r="A50" s="233" t="s">
        <v>551</v>
      </c>
      <c r="B50" s="234" t="s">
        <v>504</v>
      </c>
    </row>
    <row r="51" spans="1:2" s="232" customFormat="1" ht="27">
      <c r="A51" s="233" t="s">
        <v>552</v>
      </c>
      <c r="B51" s="234" t="s">
        <v>505</v>
      </c>
    </row>
    <row r="52" spans="1:2" s="232" customFormat="1" ht="27">
      <c r="A52" s="233" t="s">
        <v>553</v>
      </c>
      <c r="B52" s="234" t="s">
        <v>506</v>
      </c>
    </row>
    <row r="53" spans="1:2" s="232" customFormat="1">
      <c r="A53" s="233" t="s">
        <v>554</v>
      </c>
      <c r="B53" s="234" t="s">
        <v>507</v>
      </c>
    </row>
    <row r="54" spans="1:2" s="232" customFormat="1" ht="54">
      <c r="A54" s="233" t="s">
        <v>555</v>
      </c>
      <c r="B54" s="234" t="s">
        <v>508</v>
      </c>
    </row>
    <row r="55" spans="1:2" s="232" customFormat="1">
      <c r="A55" s="233" t="s">
        <v>554</v>
      </c>
      <c r="B55" s="234" t="s">
        <v>509</v>
      </c>
    </row>
    <row r="56" spans="1:2" s="232" customFormat="1" ht="27">
      <c r="A56" s="233" t="s">
        <v>556</v>
      </c>
      <c r="B56" s="234" t="s">
        <v>510</v>
      </c>
    </row>
    <row r="57" spans="1:2" s="232" customFormat="1" ht="27">
      <c r="A57" s="233" t="s">
        <v>557</v>
      </c>
      <c r="B57" s="234" t="s">
        <v>511</v>
      </c>
    </row>
    <row r="58" spans="1:2" s="232" customFormat="1" ht="27">
      <c r="A58" s="233" t="s">
        <v>558</v>
      </c>
      <c r="B58" s="234" t="s">
        <v>512</v>
      </c>
    </row>
    <row r="59" spans="1:2" s="232" customFormat="1">
      <c r="A59" s="233" t="s">
        <v>559</v>
      </c>
      <c r="B59" s="234" t="s">
        <v>513</v>
      </c>
    </row>
    <row r="60" spans="1:2" s="232" customFormat="1" ht="27">
      <c r="A60" s="233" t="s">
        <v>560</v>
      </c>
      <c r="B60" s="234" t="s">
        <v>514</v>
      </c>
    </row>
    <row r="61" spans="1:2" s="232" customFormat="1" ht="40.5">
      <c r="A61" s="233" t="s">
        <v>561</v>
      </c>
      <c r="B61" s="234" t="s">
        <v>515</v>
      </c>
    </row>
    <row r="62" spans="1:2" s="232" customFormat="1" ht="27">
      <c r="A62" s="233" t="s">
        <v>562</v>
      </c>
      <c r="B62" s="234" t="s">
        <v>516</v>
      </c>
    </row>
    <row r="63" spans="1:2" s="232" customFormat="1" ht="27">
      <c r="A63" s="233" t="s">
        <v>563</v>
      </c>
      <c r="B63" s="234" t="s">
        <v>517</v>
      </c>
    </row>
    <row r="64" spans="1:2" s="232" customFormat="1" ht="27">
      <c r="A64" s="233" t="s">
        <v>564</v>
      </c>
      <c r="B64" s="234" t="s">
        <v>518</v>
      </c>
    </row>
    <row r="65" spans="1:2" s="232" customFormat="1" ht="67.5">
      <c r="A65" s="233" t="s">
        <v>565</v>
      </c>
      <c r="B65" s="234" t="s">
        <v>519</v>
      </c>
    </row>
    <row r="66" spans="1:2" s="232" customFormat="1">
      <c r="A66" s="233" t="s">
        <v>520</v>
      </c>
      <c r="B66" s="234" t="s">
        <v>521</v>
      </c>
    </row>
    <row r="67" spans="1:2" s="232" customFormat="1">
      <c r="A67" s="233" t="s">
        <v>566</v>
      </c>
      <c r="B67" s="234" t="s">
        <v>522</v>
      </c>
    </row>
    <row r="68" spans="1:2" s="232" customFormat="1">
      <c r="A68" s="233" t="s">
        <v>567</v>
      </c>
      <c r="B68" s="234" t="s">
        <v>523</v>
      </c>
    </row>
  </sheetData>
  <phoneticPr fontId="7"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11</vt:i4>
      </vt:variant>
      <vt:variant>
        <vt:lpstr>이름 지정된 범위</vt:lpstr>
      </vt:variant>
      <vt:variant>
        <vt:i4>9</vt:i4>
      </vt:variant>
    </vt:vector>
  </HeadingPairs>
  <TitlesOfParts>
    <vt:vector size="20" baseType="lpstr">
      <vt:lpstr>표지</vt:lpstr>
      <vt:lpstr>위험관리계획기준</vt:lpstr>
      <vt:lpstr>위험분석및평가기준</vt:lpstr>
      <vt:lpstr>개정이력</vt:lpstr>
      <vt:lpstr>요약 통계</vt:lpstr>
      <vt:lpstr>점검대상</vt:lpstr>
      <vt:lpstr>보안수준 통계</vt:lpstr>
      <vt:lpstr>Origin(숨김처리)</vt:lpstr>
      <vt:lpstr>sample</vt:lpstr>
      <vt:lpstr>매크로</vt:lpstr>
      <vt:lpstr>잠재위험 및 대응책 DB</vt:lpstr>
      <vt:lpstr>'Origin(숨김처리)'!Print_Area</vt:lpstr>
      <vt:lpstr>sample!Print_Area</vt:lpstr>
      <vt:lpstr>개정이력!Print_Area</vt:lpstr>
      <vt:lpstr>매크로!Print_Area</vt:lpstr>
      <vt:lpstr>'보안수준 통계'!Print_Area</vt:lpstr>
      <vt:lpstr>'요약 통계'!Print_Area</vt:lpstr>
      <vt:lpstr>위험관리계획기준!Print_Area</vt:lpstr>
      <vt:lpstr>위험분석및평가기준!Print_Area</vt:lpstr>
      <vt:lpstr>점검대상!Print_Area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김현목</dc:creator>
  <cp:lastModifiedBy>주식회사 시큐와우</cp:lastModifiedBy>
  <cp:lastPrinted>2016-02-04T03:55:20Z</cp:lastPrinted>
  <dcterms:created xsi:type="dcterms:W3CDTF">2007-09-13T01:14:16Z</dcterms:created>
  <dcterms:modified xsi:type="dcterms:W3CDTF">2026-06-10T05:18:21Z</dcterms:modified>
</cp:coreProperties>
</file>