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3630" yWindow="3435" windowWidth="21600" windowHeight="11295" tabRatio="864" firstSheet="0" activeTab="6" autoFilterDateGrouping="1"/>
  </bookViews>
  <sheets>
    <sheet name="표지" sheetId="1" state="visible" r:id="rId1"/>
    <sheet name="개정이력" sheetId="2" state="visible" r:id="rId2"/>
    <sheet name="개요" sheetId="3" state="visible" r:id="rId3"/>
    <sheet name="점검대상" sheetId="4" state="visible" r:id="rId4"/>
    <sheet name="요약 통계" sheetId="5" state="visible" r:id="rId5"/>
    <sheet name="보안수준 통계" sheetId="6" state="visible" r:id="rId6"/>
    <sheet name="sample" sheetId="7" state="visible" r:id="rId7"/>
    <sheet name="기준 DB" sheetId="8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aa">#REF!</definedName>
    <definedName name="CASE">[1]코드!$K$35:$K$41</definedName>
    <definedName name="d">#REF!</definedName>
    <definedName name="DBMS">[1]코드!$G$35:$G$49</definedName>
    <definedName name="dd">#REF!</definedName>
    <definedName name="ddd">#REF!</definedName>
    <definedName name="dddd">#REF!</definedName>
    <definedName name="ddddd">#REF!</definedName>
    <definedName name="ddddddd">#REF!</definedName>
    <definedName name="dddfghsfthfsdh">#REF!</definedName>
    <definedName name="dddsadwed">#REF!</definedName>
    <definedName name="dfsdfsaf">#REF!</definedName>
    <definedName name="ds">#REF!</definedName>
    <definedName name="dsf">#REF!</definedName>
    <definedName name="dsfa">#REF!</definedName>
    <definedName name="dsfsf">#REF!</definedName>
    <definedName name="dssd">#REF!</definedName>
    <definedName name="d너뭔데">#REF!</definedName>
    <definedName name="ee">#REF!</definedName>
    <definedName name="EndUser">[1]코드!$D$35:$D$39</definedName>
    <definedName name="Evaluation">#REF!</definedName>
    <definedName name="fsafasdf">#REF!</definedName>
    <definedName name="HA상태">[2]코드표!$C$15:$C$16</definedName>
    <definedName name="HW">[1]코드!$I$35:$I$59</definedName>
    <definedName name="iii">#REF!</definedName>
    <definedName name="Language">[1]코드!$J$35:$J$61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 hidden="1">" "</definedName>
    <definedName name="LType">[1]코드!$M$35:$M$37</definedName>
    <definedName name="MW">[1]코드!$H$35:$H$49</definedName>
    <definedName name="NMS관제가능여부">[2]코드표!$C$52:$C$53</definedName>
    <definedName name="no">#REF!</definedName>
    <definedName name="OS">[1]코드!$F$35:$F$42</definedName>
    <definedName name="Platform">[1]코드!$L$35:$L$37</definedName>
    <definedName name="rr">#REF!</definedName>
    <definedName name="rrrr">#REF!</definedName>
    <definedName name="sasa">#REF!</definedName>
    <definedName name="SASDFSDF">#REF!</definedName>
    <definedName name="sddsd">#REF!</definedName>
    <definedName name="SDF">#REF!</definedName>
    <definedName name="sdkjfa">#REF!</definedName>
    <definedName name="sds">#REF!</definedName>
    <definedName name="sdsds">#REF!</definedName>
    <definedName name="sdsdsds">#REF!</definedName>
    <definedName name="sdsfa">#REF!</definedName>
    <definedName name="sf">#REF!</definedName>
    <definedName name="sfa">#REF!</definedName>
    <definedName name="sfasdfa">#REF!</definedName>
    <definedName name="sfddd">#REF!</definedName>
    <definedName name="sosos">#REF!</definedName>
    <definedName name="ss">#REF!</definedName>
    <definedName name="ssjsjks">#REF!</definedName>
    <definedName name="sss">#REF!</definedName>
    <definedName name="SW용도">[2]코드표!$B$88:$B$90</definedName>
    <definedName name="ui">#REF!</definedName>
    <definedName name="yes">#REF!</definedName>
    <definedName name="YN">'[3]점검표(재분류)'!#REF!</definedName>
    <definedName name="yy">#REF!</definedName>
    <definedName name="ㄱㄱ">#REF!</definedName>
    <definedName name="가">#REF!</definedName>
    <definedName name="가자">#REF!</definedName>
    <definedName name="개발형태">[1]코드!$C$2:$C$7</definedName>
    <definedName name="계약방식">[1]코드!$A$2:$A$10</definedName>
    <definedName name="계약형태">[1]코드!$H$2:$H$4</definedName>
    <definedName name="광전송장치제조사">[4]공통코드!$Y$2:$Y$4</definedName>
    <definedName name="국산여부">[2]코드표!$C$2:$C$3</definedName>
    <definedName name="금칙어">#REF!</definedName>
    <definedName name="기밀성">#REF!</definedName>
    <definedName name="기준반영">#REF!</definedName>
    <definedName name="기타장비타입">[2]코드표!$C$141:$C$143</definedName>
    <definedName name="기ㅣ">#REF!</definedName>
    <definedName name="ㄴㄴ">#REF!</definedName>
    <definedName name="ㄴㄴㄴ">#REF!</definedName>
    <definedName name="ㄴㅇ">#REF!</definedName>
    <definedName name="ㄴㅇㄹㄴ">#REF!</definedName>
    <definedName name="나">#REF!</definedName>
    <definedName name="낙찰구분">[1]코드!$B$2:$B$5</definedName>
    <definedName name="네트워크장비구분">[2]코드표!$C$47:$C$51</definedName>
    <definedName name="ㄷㄷㄱ">#REF!</definedName>
    <definedName name="ㄷㄷㄷ">#REF!</definedName>
    <definedName name="다">#REF!</definedName>
    <definedName name="단">#REF!</definedName>
    <definedName name="답변자">'[3]점검표(재분류)'!#REF!</definedName>
    <definedName name="더">#REF!</definedName>
    <definedName name="도덕">#REF!</definedName>
    <definedName name="도덕성">#REF!</definedName>
    <definedName name="도입형태">[2]코드표!$C$41:$C$44</definedName>
    <definedName name="동의여부">#REF!</definedName>
    <definedName name="등급">'[3]점검표(재분류)'!#REF!</definedName>
    <definedName name="라">#REF!</definedName>
    <definedName name="라우터프로토콜">[4]공통코드!$Y$15:$Y$16</definedName>
    <definedName name="라이선스유형">[2]코드표!$C$137:$C$140</definedName>
    <definedName name="레이드타입">[2]코드표!$C$71:$C$75</definedName>
    <definedName name="ㅁㄹㄴㅇㅇㅇㅇㅇㅇㅇㅇㅇㅇㅇ">#REF!</definedName>
    <definedName name="ㅁㅁㅁㅁ">#REF!</definedName>
    <definedName name="무결성">#REF!</definedName>
    <definedName name="무상유지보수">[4]공통코드!$AC$15:$AC$16</definedName>
    <definedName name="바">#REF!</definedName>
    <definedName name="방법론">[1]코드!$E$35:$E$51</definedName>
    <definedName name="백업매체종류">[2]코드표!$C$76:$C$82</definedName>
    <definedName name="백업장비구분">[2]코드표!$C$83:$C$84</definedName>
    <definedName name="보안장비구분">[2]코드표!$C$60:$C$64</definedName>
    <definedName name="사업부">[1]코드!$J$2:$J$7</definedName>
    <definedName name="사용용도">[2]코드표!$C$4:$C$6</definedName>
    <definedName name="서버구분">[2]코드표!$C$29:$C$31</definedName>
    <definedName name="서버용도">[2]코드표!$C$19:$C$28</definedName>
    <definedName name="서버크기">[2]코드표!$C$34:$C$36</definedName>
    <definedName name="서버타입">[2]코드표!$C$17:$C$18</definedName>
    <definedName name="서비스영역">[1]코드!$K$2:$K$13</definedName>
    <definedName name="선택">[5]분류!$B$27:$B$28</definedName>
    <definedName name="설명">#REF!</definedName>
    <definedName name="설명2">#REF!</definedName>
    <definedName name="소프트웨어소분류">[2]코드표!$C$97:$C$136</definedName>
    <definedName name="소프트웨어중분류">[2]코드표!$C$91:$C$96</definedName>
    <definedName name="손익">#REF!</definedName>
    <definedName name="손익현황">#REF!</definedName>
    <definedName name="스토리지구분">[2]코드표!$C$69:$C$70</definedName>
    <definedName name="ㅇ">'[3]점검표(재분류)'!#REF!</definedName>
    <definedName name="ㅇㄴㄹ">#REF!</definedName>
    <definedName name="ㅇㄴㅁㄹ">#REF!</definedName>
    <definedName name="ㅇㄴㅇ">#REF!</definedName>
    <definedName name="ㅇㅇ">#REF!</definedName>
    <definedName name="ㅇㅇㅇ">#REF!</definedName>
    <definedName name="ㅇㅇㅇㅇㅇ">#REF!</definedName>
    <definedName name="안">#REF!</definedName>
    <definedName name="안녕">#REF!</definedName>
    <definedName name="안녕하세요">#REF!</definedName>
    <definedName name="업종">[1]코드!$D$2:$D$9</definedName>
    <definedName name="업종상세">[1]코드!$E$2:$E$32</definedName>
    <definedName name="영문">#REF!</definedName>
    <definedName name="영문명">#REF!</definedName>
    <definedName name="외장디스크여부">[2]코드표!$C$32:$C$33</definedName>
    <definedName name="원격접속가능여부">[2]코드표!$C$54:$C$55</definedName>
    <definedName name="원천">#REF!</definedName>
    <definedName name="위험조치_적용시기">'[6]위험조치계획 기준'!$B$17:$B$20</definedName>
    <definedName name="유지보수계약구분">[2]코드표!$C$85:$C$87</definedName>
    <definedName name="유지보수구분">[2]코드표!$C$45:$C$46</definedName>
    <definedName name="이력관리팀">" "</definedName>
    <definedName name="이중화여부">[2]코드표!$C$13:$C$14</definedName>
    <definedName name="인락">#REF!</definedName>
    <definedName name="인터페이스타입">[2]코드표!$C$65:$C$68</definedName>
    <definedName name="자산상태">[2]코드표!$C$7:$C$9</definedName>
    <definedName name="작업">#REF!</definedName>
    <definedName name="장착아이오">[2]코드표!$C$37:$C$40</definedName>
    <definedName name="적용사이트">[1]코드!$C$35:$C$38</definedName>
    <definedName name="적정성">#REF!</definedName>
    <definedName name="전략프로젝트">[1]코드!$G$2:$G$3</definedName>
    <definedName name="전원타입">[2]코드표!$C$56:$C$57</definedName>
    <definedName name="조치계획기준점수">'[6]위험조치계획 기준'!$B$7:$B$11</definedName>
    <definedName name="찾기">#REF!</definedName>
    <definedName name="쵀닌">#REF!</definedName>
    <definedName name="쵀성춘">#REF!</definedName>
    <definedName name="침입관리보안등급">[4]공통코드!$AI$2:$AI$6</definedName>
    <definedName name="콘솔타입">[2]코드표!$C$58:$C$59</definedName>
    <definedName name="ㅌㅌㅌ">#REF!</definedName>
    <definedName name="태세">#REF!</definedName>
    <definedName name="팀">[7]코드!$B$2:$B$5</definedName>
    <definedName name="파티션서버여부">[2]코드표!$C$10:$C$12</definedName>
    <definedName name="프로덕트유형">[1]코드!$B$35:$B$39</definedName>
    <definedName name="프로덕트타입">[1]코드!$A$35:$A$49</definedName>
    <definedName name="프로젝트단계">[1]코드!$F$2:$F$7</definedName>
    <definedName name="ㅏㅇ">#REF!</definedName>
    <definedName name="_xlnm.Print_Area" localSheetId="0">'표지'!$A$1:$Q$24</definedName>
    <definedName name="_xlnm.Print_Area" localSheetId="1">'개정이력'!$A$1:$E$8</definedName>
    <definedName name="_xlnm.Print_Area" localSheetId="2">'개요'!$A$1:$S$30</definedName>
    <definedName name="_xlnm.Print_Area" localSheetId="3">'점검대상'!$A$1:$K$8</definedName>
    <definedName name="_xlnm.Print_Area" localSheetId="4">'요약 통계'!$A$1:$N$73</definedName>
    <definedName name="_xlnm.Print_Area" localSheetId="5">'보안수준 통계'!$A$1:$L$38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name="_xlnm.Print_Area" localSheetId="6">'sample'!$A$1:$R$94</definedName>
    <definedName name="_xlnm.Print_Area" localSheetId="7">'기준 DB'!$A$1:$F$68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8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b val="1"/>
      <sz val="12"/>
      <scheme val="major"/>
    </font>
    <font>
      <name val="맑은 고딕"/>
      <charset val="129"/>
      <family val="3"/>
      <sz val="11"/>
      <scheme val="maj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color theme="0"/>
      <sz val="10"/>
      <scheme val="maj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indexed="10"/>
      <sz val="10"/>
    </font>
    <font>
      <name val="맑은 고딕"/>
      <charset val="129"/>
      <family val="3"/>
      <sz val="10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u val="single"/>
    </font>
    <font>
      <name val="맑은 고딕"/>
      <charset val="129"/>
      <family val="3"/>
      <b val="1"/>
      <color indexed="60"/>
      <sz val="12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i val="1"/>
      <sz val="12"/>
      <u val="single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b val="1"/>
      <i val="1"/>
      <color theme="1"/>
      <sz val="12"/>
      <u val="single"/>
    </font>
    <font>
      <name val="맑은 고딕"/>
      <charset val="129"/>
      <family val="3"/>
      <b val="1"/>
      <i val="1"/>
      <color theme="1"/>
      <sz val="12"/>
      <u val="single"/>
      <scheme val="minor"/>
    </font>
    <font>
      <name val="돋움"/>
      <charset val="129"/>
      <family val="3"/>
      <color theme="10"/>
      <sz val="11"/>
      <u val="single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color rgb="FFFF0000"/>
      <sz val="10"/>
      <scheme val="major"/>
    </font>
    <font>
      <name val="맑은 고딕"/>
      <charset val="129"/>
      <family val="3"/>
      <b val="1"/>
      <color theme="3" tint="0.3999450666829432"/>
      <sz val="10"/>
      <scheme val="major"/>
    </font>
    <font>
      <name val="맑은 고딕"/>
      <charset val="129"/>
      <family val="3"/>
      <b val="1"/>
      <color theme="1"/>
      <sz val="12"/>
      <scheme val="major"/>
    </font>
    <font>
      <name val="맑은 고딕"/>
      <charset val="129"/>
      <family val="3"/>
      <b val="1"/>
      <color indexed="56"/>
      <sz val="12"/>
    </font>
    <font>
      <name val="맑은 고딕"/>
      <charset val="129"/>
      <family val="3"/>
      <b val="1"/>
      <color indexed="8"/>
      <sz val="12"/>
      <u val="single"/>
    </font>
    <font>
      <name val="맑은 고딕"/>
      <charset val="129"/>
      <family val="3"/>
      <color theme="1"/>
      <sz val="12"/>
      <scheme val="major"/>
    </font>
    <font>
      <name val="맑은 고딕"/>
      <charset val="129"/>
      <family val="3"/>
      <b val="1"/>
      <color rgb="FF000000"/>
      <sz val="10"/>
      <scheme val="major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3"/>
      <b val="1"/>
      <color indexed="9"/>
      <sz val="10"/>
      <u val="single"/>
    </font>
    <font>
      <name val="맑은 고딕"/>
      <charset val="129"/>
      <family val="3"/>
      <b val="1"/>
      <color theme="1"/>
      <sz val="12"/>
      <u val="single"/>
      <scheme val="major"/>
    </font>
    <font>
      <name val="맑은 고딕"/>
      <charset val="129"/>
      <family val="3"/>
      <sz val="8"/>
    </font>
    <font>
      <name val="맑은 고딕"/>
      <charset val="129"/>
      <family val="3"/>
      <b val="1"/>
      <color theme="1"/>
      <sz val="10"/>
      <u val="single"/>
      <scheme val="major"/>
    </font>
    <font>
      <name val="돋움"/>
      <charset val="129"/>
      <family val="3"/>
      <b val="1"/>
      <color theme="10"/>
      <sz val="10"/>
      <u val="single"/>
    </font>
    <font>
      <name val="돋움"/>
      <charset val="129"/>
      <family val="3"/>
      <color theme="10"/>
      <sz val="10"/>
      <u val="single"/>
    </font>
    <font>
      <name val="맑은 고딕"/>
      <charset val="129"/>
      <family val="3"/>
      <b val="1"/>
      <i val="1"/>
      <color theme="1"/>
      <sz val="10"/>
      <u val="single"/>
      <scheme val="minor"/>
    </font>
    <font>
      <name val="맑은 고딕"/>
      <charset val="129"/>
      <family val="3"/>
      <b val="1"/>
      <color theme="1"/>
      <sz val="12"/>
    </font>
    <font>
      <name val="맑은 고딕"/>
      <charset val="129"/>
      <family val="3"/>
      <b val="1"/>
      <color indexed="8"/>
      <sz val="12"/>
    </font>
    <font>
      <name val="맑은 고딕"/>
      <charset val="129"/>
      <family val="3"/>
      <b val="1"/>
      <color theme="1"/>
      <sz val="12"/>
      <u val="single"/>
    </font>
    <font>
      <name val="맑은 고딕"/>
      <charset val="129"/>
      <family val="3"/>
      <b val="1"/>
      <color theme="0"/>
      <sz val="12"/>
      <scheme val="minor"/>
    </font>
    <font>
      <name val="맑은 고딕"/>
      <charset val="129"/>
      <family val="3"/>
      <b val="1"/>
      <color indexed="9"/>
      <sz val="12"/>
      <u val="single"/>
    </font>
    <font>
      <name val="돋움"/>
      <charset val="129"/>
      <family val="3"/>
      <sz val="10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indexed="9"/>
      <sz val="20"/>
    </font>
    <font>
      <name val="맑은 고딕"/>
      <charset val="129"/>
      <family val="3"/>
      <b val="1"/>
      <color indexed="9"/>
      <sz val="20"/>
      <scheme val="major"/>
    </font>
    <font>
      <name val="맑은 고딕"/>
      <charset val="129"/>
      <family val="3"/>
      <b val="1"/>
      <color theme="1"/>
      <sz val="15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b val="1"/>
      <color indexed="60"/>
      <sz val="12"/>
      <u val="single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24"/>
      <scheme val="minor"/>
    </font>
    <font>
      <name val="맑은 고딕"/>
      <family val="3"/>
      <color indexed="8"/>
      <sz val="11"/>
    </font>
    <font>
      <name val="맑은 고딕"/>
      <charset val="129"/>
      <family val="3"/>
      <color theme="1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0"/>
      <sz val="10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color rgb="FF0563C1"/>
      <sz val="11"/>
      <u val="single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rgb="FF000000"/>
      <sz val="11"/>
    </font>
    <font>
      <name val="맑은 고딕"/>
      <b val="1"/>
      <sz val="10"/>
    </font>
  </fonts>
  <fills count="4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</fills>
  <borders count="7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77">
    <xf numFmtId="0" fontId="48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24" fillId="0" borderId="0" applyAlignment="1" applyProtection="1">
      <alignment vertical="top"/>
      <protection locked="0" hidden="0"/>
    </xf>
    <xf numFmtId="0" fontId="3" fillId="0" borderId="0" applyAlignment="1">
      <alignment vertical="center"/>
    </xf>
    <xf numFmtId="0" fontId="3" fillId="0" borderId="0"/>
    <xf numFmtId="0" fontId="2" fillId="0" borderId="0"/>
    <xf numFmtId="0" fontId="2" fillId="0" borderId="0" applyAlignment="1">
      <alignment vertical="center"/>
    </xf>
    <xf numFmtId="0" fontId="47" fillId="0" borderId="0" applyAlignment="1">
      <alignment vertical="center"/>
    </xf>
    <xf numFmtId="0" fontId="48" fillId="0" borderId="0" applyAlignment="1">
      <alignment vertical="center"/>
    </xf>
    <xf numFmtId="0" fontId="2" fillId="0" borderId="0" applyAlignment="1">
      <alignment vertical="center"/>
    </xf>
    <xf numFmtId="0" fontId="2" fillId="17" borderId="0" applyAlignment="1">
      <alignment vertical="center"/>
    </xf>
    <xf numFmtId="0" fontId="2" fillId="17" borderId="0" applyAlignment="1">
      <alignment vertical="center"/>
    </xf>
    <xf numFmtId="0" fontId="2" fillId="17" borderId="0" applyAlignment="1">
      <alignment vertical="center"/>
    </xf>
    <xf numFmtId="0" fontId="2" fillId="21" borderId="0" applyAlignment="1">
      <alignment vertical="center"/>
    </xf>
    <xf numFmtId="0" fontId="2" fillId="21" borderId="0" applyAlignment="1">
      <alignment vertical="center"/>
    </xf>
    <xf numFmtId="0" fontId="2" fillId="21" borderId="0" applyAlignment="1">
      <alignment vertical="center"/>
    </xf>
    <xf numFmtId="0" fontId="2" fillId="25" borderId="0" applyAlignment="1">
      <alignment vertical="center"/>
    </xf>
    <xf numFmtId="0" fontId="2" fillId="25" borderId="0" applyAlignment="1">
      <alignment vertical="center"/>
    </xf>
    <xf numFmtId="0" fontId="2" fillId="25" borderId="0" applyAlignment="1">
      <alignment vertical="center"/>
    </xf>
    <xf numFmtId="0" fontId="2" fillId="29" borderId="0" applyAlignment="1">
      <alignment vertical="center"/>
    </xf>
    <xf numFmtId="0" fontId="2" fillId="29" borderId="0" applyAlignment="1">
      <alignment vertical="center"/>
    </xf>
    <xf numFmtId="0" fontId="2" fillId="29" borderId="0" applyAlignment="1">
      <alignment vertical="center"/>
    </xf>
    <xf numFmtId="0" fontId="2" fillId="33" borderId="0" applyAlignment="1">
      <alignment vertical="center"/>
    </xf>
    <xf numFmtId="0" fontId="2" fillId="33" borderId="0" applyAlignment="1">
      <alignment vertical="center"/>
    </xf>
    <xf numFmtId="0" fontId="2" fillId="33" borderId="0" applyAlignment="1">
      <alignment vertical="center"/>
    </xf>
    <xf numFmtId="0" fontId="2" fillId="37" borderId="0" applyAlignment="1">
      <alignment vertical="center"/>
    </xf>
    <xf numFmtId="0" fontId="2" fillId="37" borderId="0" applyAlignment="1">
      <alignment vertical="center"/>
    </xf>
    <xf numFmtId="0" fontId="2" fillId="37" borderId="0" applyAlignment="1">
      <alignment vertical="center"/>
    </xf>
    <xf numFmtId="0" fontId="2" fillId="18" borderId="0" applyAlignment="1">
      <alignment vertical="center"/>
    </xf>
    <xf numFmtId="0" fontId="2" fillId="18" borderId="0" applyAlignment="1">
      <alignment vertical="center"/>
    </xf>
    <xf numFmtId="0" fontId="2" fillId="18" borderId="0" applyAlignment="1">
      <alignment vertical="center"/>
    </xf>
    <xf numFmtId="0" fontId="2" fillId="22" borderId="0" applyAlignment="1">
      <alignment vertical="center"/>
    </xf>
    <xf numFmtId="0" fontId="2" fillId="22" borderId="0" applyAlignment="1">
      <alignment vertical="center"/>
    </xf>
    <xf numFmtId="0" fontId="2" fillId="22" borderId="0" applyAlignment="1">
      <alignment vertical="center"/>
    </xf>
    <xf numFmtId="0" fontId="2" fillId="26" borderId="0" applyAlignment="1">
      <alignment vertical="center"/>
    </xf>
    <xf numFmtId="0" fontId="2" fillId="26" borderId="0" applyAlignment="1">
      <alignment vertical="center"/>
    </xf>
    <xf numFmtId="0" fontId="2" fillId="26" borderId="0" applyAlignment="1">
      <alignment vertical="center"/>
    </xf>
    <xf numFmtId="0" fontId="2" fillId="30" borderId="0" applyAlignment="1">
      <alignment vertical="center"/>
    </xf>
    <xf numFmtId="0" fontId="2" fillId="30" borderId="0" applyAlignment="1">
      <alignment vertical="center"/>
    </xf>
    <xf numFmtId="0" fontId="2" fillId="30" borderId="0" applyAlignment="1">
      <alignment vertical="center"/>
    </xf>
    <xf numFmtId="0" fontId="2" fillId="34" borderId="0" applyAlignment="1">
      <alignment vertical="center"/>
    </xf>
    <xf numFmtId="0" fontId="2" fillId="34" borderId="0" applyAlignment="1">
      <alignment vertical="center"/>
    </xf>
    <xf numFmtId="0" fontId="2" fillId="34" borderId="0" applyAlignment="1">
      <alignment vertical="center"/>
    </xf>
    <xf numFmtId="0" fontId="2" fillId="38" borderId="0" applyAlignment="1">
      <alignment vertical="center"/>
    </xf>
    <xf numFmtId="0" fontId="2" fillId="38" borderId="0" applyAlignment="1">
      <alignment vertical="center"/>
    </xf>
    <xf numFmtId="0" fontId="2" fillId="38" borderId="0" applyAlignment="1">
      <alignment vertical="center"/>
    </xf>
    <xf numFmtId="0" fontId="54" fillId="19" borderId="0" applyAlignment="1">
      <alignment vertical="center"/>
    </xf>
    <xf numFmtId="0" fontId="54" fillId="19" borderId="0" applyAlignment="1">
      <alignment vertical="center"/>
    </xf>
    <xf numFmtId="0" fontId="54" fillId="19" borderId="0" applyAlignment="1">
      <alignment vertical="center"/>
    </xf>
    <xf numFmtId="0" fontId="54" fillId="23" borderId="0" applyAlignment="1">
      <alignment vertical="center"/>
    </xf>
    <xf numFmtId="0" fontId="54" fillId="23" borderId="0" applyAlignment="1">
      <alignment vertical="center"/>
    </xf>
    <xf numFmtId="0" fontId="54" fillId="23" borderId="0" applyAlignment="1">
      <alignment vertical="center"/>
    </xf>
    <xf numFmtId="0" fontId="54" fillId="27" borderId="0" applyAlignment="1">
      <alignment vertical="center"/>
    </xf>
    <xf numFmtId="0" fontId="54" fillId="27" borderId="0" applyAlignment="1">
      <alignment vertical="center"/>
    </xf>
    <xf numFmtId="0" fontId="54" fillId="27" borderId="0" applyAlignment="1">
      <alignment vertical="center"/>
    </xf>
    <xf numFmtId="0" fontId="54" fillId="31" borderId="0" applyAlignment="1">
      <alignment vertical="center"/>
    </xf>
    <xf numFmtId="0" fontId="54" fillId="31" borderId="0" applyAlignment="1">
      <alignment vertical="center"/>
    </xf>
    <xf numFmtId="0" fontId="54" fillId="31" borderId="0" applyAlignment="1">
      <alignment vertical="center"/>
    </xf>
    <xf numFmtId="0" fontId="54" fillId="35" borderId="0" applyAlignment="1">
      <alignment vertical="center"/>
    </xf>
    <xf numFmtId="0" fontId="54" fillId="35" borderId="0" applyAlignment="1">
      <alignment vertical="center"/>
    </xf>
    <xf numFmtId="0" fontId="54" fillId="35" borderId="0" applyAlignment="1">
      <alignment vertical="center"/>
    </xf>
    <xf numFmtId="0" fontId="54" fillId="39" borderId="0" applyAlignment="1">
      <alignment vertical="center"/>
    </xf>
    <xf numFmtId="0" fontId="54" fillId="39" borderId="0" applyAlignment="1">
      <alignment vertical="center"/>
    </xf>
    <xf numFmtId="0" fontId="54" fillId="39" borderId="0" applyAlignment="1">
      <alignment vertical="center"/>
    </xf>
    <xf numFmtId="0" fontId="54" fillId="16" borderId="0" applyAlignment="1">
      <alignment vertical="center"/>
    </xf>
    <xf numFmtId="0" fontId="54" fillId="16" borderId="0" applyAlignment="1">
      <alignment vertical="center"/>
    </xf>
    <xf numFmtId="0" fontId="54" fillId="16" borderId="0" applyAlignment="1">
      <alignment vertical="center"/>
    </xf>
    <xf numFmtId="0" fontId="54" fillId="20" borderId="0" applyAlignment="1">
      <alignment vertical="center"/>
    </xf>
    <xf numFmtId="0" fontId="54" fillId="20" borderId="0" applyAlignment="1">
      <alignment vertical="center"/>
    </xf>
    <xf numFmtId="0" fontId="54" fillId="20" borderId="0" applyAlignment="1">
      <alignment vertical="center"/>
    </xf>
    <xf numFmtId="0" fontId="54" fillId="24" borderId="0" applyAlignment="1">
      <alignment vertical="center"/>
    </xf>
    <xf numFmtId="0" fontId="54" fillId="24" borderId="0" applyAlignment="1">
      <alignment vertical="center"/>
    </xf>
    <xf numFmtId="0" fontId="54" fillId="24" borderId="0" applyAlignment="1">
      <alignment vertical="center"/>
    </xf>
    <xf numFmtId="0" fontId="54" fillId="28" borderId="0" applyAlignment="1">
      <alignment vertical="center"/>
    </xf>
    <xf numFmtId="0" fontId="54" fillId="28" borderId="0" applyAlignment="1">
      <alignment vertical="center"/>
    </xf>
    <xf numFmtId="0" fontId="54" fillId="28" borderId="0" applyAlignment="1">
      <alignment vertical="center"/>
    </xf>
    <xf numFmtId="0" fontId="54" fillId="32" borderId="0" applyAlignment="1">
      <alignment vertical="center"/>
    </xf>
    <xf numFmtId="0" fontId="54" fillId="32" borderId="0" applyAlignment="1">
      <alignment vertical="center"/>
    </xf>
    <xf numFmtId="0" fontId="54" fillId="32" borderId="0" applyAlignment="1">
      <alignment vertical="center"/>
    </xf>
    <xf numFmtId="0" fontId="54" fillId="36" borderId="0" applyAlignment="1">
      <alignment vertical="center"/>
    </xf>
    <xf numFmtId="0" fontId="54" fillId="36" borderId="0" applyAlignment="1">
      <alignment vertical="center"/>
    </xf>
    <xf numFmtId="0" fontId="54" fillId="36" borderId="0" applyAlignment="1">
      <alignment vertical="center"/>
    </xf>
    <xf numFmtId="0" fontId="55" fillId="0" borderId="0" applyAlignment="1">
      <alignment vertical="center"/>
    </xf>
    <xf numFmtId="0" fontId="55" fillId="0" borderId="0" applyAlignment="1">
      <alignment vertical="center"/>
    </xf>
    <xf numFmtId="0" fontId="55" fillId="0" borderId="0" applyAlignment="1">
      <alignment vertical="center"/>
    </xf>
    <xf numFmtId="0" fontId="56" fillId="13" borderId="47" applyAlignment="1">
      <alignment vertical="center"/>
    </xf>
    <xf numFmtId="0" fontId="56" fillId="13" borderId="47" applyAlignment="1">
      <alignment vertical="center"/>
    </xf>
    <xf numFmtId="0" fontId="56" fillId="13" borderId="47" applyAlignment="1">
      <alignment vertical="center"/>
    </xf>
    <xf numFmtId="0" fontId="16" fillId="10" borderId="0" applyAlignment="1">
      <alignment vertical="center"/>
    </xf>
    <xf numFmtId="0" fontId="57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57" fillId="10" borderId="0" applyAlignment="1">
      <alignment vertical="center"/>
    </xf>
    <xf numFmtId="0" fontId="57" fillId="10" borderId="0" applyAlignment="1">
      <alignment vertical="center"/>
    </xf>
    <xf numFmtId="0" fontId="2" fillId="15" borderId="51" applyAlignment="1">
      <alignment vertical="center"/>
    </xf>
    <xf numFmtId="0" fontId="2" fillId="15" borderId="51" applyAlignment="1">
      <alignment vertical="center"/>
    </xf>
    <xf numFmtId="0" fontId="2" fillId="15" borderId="51" applyAlignment="1">
      <alignment vertical="center"/>
    </xf>
    <xf numFmtId="0" fontId="4" fillId="11" borderId="0" applyAlignment="1">
      <alignment vertical="center"/>
    </xf>
    <xf numFmtId="0" fontId="4" fillId="11" borderId="0" applyAlignment="1">
      <alignment vertical="center"/>
    </xf>
    <xf numFmtId="0" fontId="58" fillId="11" borderId="0" applyAlignment="1">
      <alignment vertical="center"/>
    </xf>
    <xf numFmtId="0" fontId="58" fillId="11" borderId="0" applyAlignment="1">
      <alignment vertical="center"/>
    </xf>
    <xf numFmtId="0" fontId="58" fillId="11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60" fillId="14" borderId="50" applyAlignment="1">
      <alignment vertical="center"/>
    </xf>
    <xf numFmtId="0" fontId="60" fillId="14" borderId="50" applyAlignment="1">
      <alignment vertical="center"/>
    </xf>
    <xf numFmtId="0" fontId="60" fillId="14" borderId="50" applyAlignment="1">
      <alignment vertical="center"/>
    </xf>
    <xf numFmtId="0" fontId="61" fillId="0" borderId="49" applyAlignment="1">
      <alignment vertical="center"/>
    </xf>
    <xf numFmtId="0" fontId="61" fillId="0" borderId="49" applyAlignment="1">
      <alignment vertical="center"/>
    </xf>
    <xf numFmtId="0" fontId="61" fillId="0" borderId="49" applyAlignment="1">
      <alignment vertical="center"/>
    </xf>
    <xf numFmtId="0" fontId="62" fillId="0" borderId="52" applyAlignment="1">
      <alignment vertical="center"/>
    </xf>
    <xf numFmtId="0" fontId="62" fillId="0" borderId="52" applyAlignment="1">
      <alignment vertical="center"/>
    </xf>
    <xf numFmtId="0" fontId="62" fillId="0" borderId="52" applyAlignment="1">
      <alignment vertical="center"/>
    </xf>
    <xf numFmtId="0" fontId="63" fillId="12" borderId="47" applyAlignment="1">
      <alignment vertical="center"/>
    </xf>
    <xf numFmtId="0" fontId="63" fillId="12" borderId="47" applyAlignment="1">
      <alignment vertical="center"/>
    </xf>
    <xf numFmtId="0" fontId="63" fillId="12" borderId="47" applyAlignment="1">
      <alignment vertical="center"/>
    </xf>
    <xf numFmtId="0" fontId="64" fillId="0" borderId="44" applyAlignment="1">
      <alignment vertical="center"/>
    </xf>
    <xf numFmtId="0" fontId="64" fillId="0" borderId="44" applyAlignment="1">
      <alignment vertical="center"/>
    </xf>
    <xf numFmtId="0" fontId="64" fillId="0" borderId="44" applyAlignment="1">
      <alignment vertical="center"/>
    </xf>
    <xf numFmtId="0" fontId="65" fillId="0" borderId="45" applyAlignment="1">
      <alignment vertical="center"/>
    </xf>
    <xf numFmtId="0" fontId="65" fillId="0" borderId="45" applyAlignment="1">
      <alignment vertical="center"/>
    </xf>
    <xf numFmtId="0" fontId="65" fillId="0" borderId="45" applyAlignment="1">
      <alignment vertical="center"/>
    </xf>
    <xf numFmtId="0" fontId="66" fillId="0" borderId="46" applyAlignment="1">
      <alignment vertical="center"/>
    </xf>
    <xf numFmtId="0" fontId="66" fillId="0" borderId="46" applyAlignment="1">
      <alignment vertical="center"/>
    </xf>
    <xf numFmtId="0" fontId="66" fillId="0" borderId="46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8" fillId="9" borderId="0" applyAlignment="1">
      <alignment vertical="center"/>
    </xf>
    <xf numFmtId="0" fontId="68" fillId="9" borderId="0" applyAlignment="1">
      <alignment vertical="center"/>
    </xf>
    <xf numFmtId="0" fontId="68" fillId="9" borderId="0" applyAlignment="1">
      <alignment vertical="center"/>
    </xf>
    <xf numFmtId="0" fontId="69" fillId="13" borderId="48" applyAlignment="1">
      <alignment vertical="center"/>
    </xf>
    <xf numFmtId="0" fontId="69" fillId="13" borderId="48" applyAlignment="1">
      <alignment vertical="center"/>
    </xf>
    <xf numFmtId="0" fontId="69" fillId="13" borderId="48" applyAlignment="1">
      <alignment vertical="center"/>
    </xf>
    <xf numFmtId="0" fontId="3" fillId="0" borderId="0" applyAlignment="1">
      <alignment vertical="center"/>
    </xf>
    <xf numFmtId="0" fontId="2" fillId="0" borderId="0" applyAlignment="1">
      <alignment vertical="center"/>
    </xf>
    <xf numFmtId="0" fontId="53" fillId="0" borderId="0"/>
    <xf numFmtId="0" fontId="5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70" fillId="0" borderId="0" applyAlignment="1">
      <alignment vertical="center"/>
    </xf>
    <xf numFmtId="0" fontId="48" fillId="0" borderId="0" applyAlignment="1">
      <alignment vertical="center"/>
    </xf>
    <xf numFmtId="0" fontId="2" fillId="0" borderId="0"/>
    <xf numFmtId="0" fontId="48" fillId="0" borderId="0" applyAlignment="1">
      <alignment vertical="center"/>
    </xf>
    <xf numFmtId="0" fontId="24" fillId="0" borderId="0" applyAlignment="1">
      <alignment vertical="center"/>
    </xf>
    <xf numFmtId="0" fontId="72" fillId="0" borderId="0" applyAlignment="1">
      <alignment vertical="center"/>
    </xf>
    <xf numFmtId="0" fontId="3" fillId="0" borderId="0" applyAlignment="1">
      <alignment vertical="center"/>
    </xf>
    <xf numFmtId="0" fontId="78" fillId="0" borderId="0" applyAlignment="1">
      <alignment vertical="center"/>
    </xf>
    <xf numFmtId="0" fontId="89" fillId="0" borderId="0" applyAlignment="1">
      <alignment vertical="center"/>
    </xf>
    <xf numFmtId="0" fontId="89" fillId="0" borderId="0" applyAlignment="1">
      <alignment vertical="center"/>
    </xf>
    <xf numFmtId="0" fontId="86" fillId="0" borderId="0" applyAlignment="1">
      <alignment vertical="center"/>
    </xf>
    <xf numFmtId="0" fontId="86" fillId="0" borderId="0"/>
    <xf numFmtId="0" fontId="87" fillId="0" borderId="0" applyAlignment="1" applyProtection="1">
      <alignment vertical="top"/>
      <protection locked="0" hidden="0"/>
    </xf>
    <xf numFmtId="0" fontId="86" fillId="0" borderId="0"/>
    <xf numFmtId="0" fontId="89" fillId="0" borderId="0"/>
    <xf numFmtId="0" fontId="89" fillId="0" borderId="0" applyAlignment="1">
      <alignment vertical="center"/>
    </xf>
    <xf numFmtId="0" fontId="89" fillId="0" borderId="0" applyAlignment="1">
      <alignment vertical="center"/>
    </xf>
    <xf numFmtId="49" fontId="88" fillId="0" borderId="9" applyAlignment="1">
      <alignment horizontal="center" vertical="center"/>
    </xf>
    <xf numFmtId="0" fontId="48" fillId="0" borderId="0" applyAlignment="1">
      <alignment vertical="center"/>
    </xf>
    <xf numFmtId="0" fontId="48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89" fillId="0" borderId="0" applyAlignment="1">
      <alignment vertical="center"/>
    </xf>
    <xf numFmtId="0" fontId="89" fillId="0" borderId="0" applyAlignment="1">
      <alignment vertical="center"/>
    </xf>
    <xf numFmtId="0" fontId="89" fillId="0" borderId="0"/>
    <xf numFmtId="0" fontId="89" fillId="0" borderId="0" applyAlignment="1">
      <alignment vertical="center"/>
    </xf>
    <xf numFmtId="0" fontId="89" fillId="0" borderId="0" applyAlignment="1">
      <alignment vertical="center"/>
    </xf>
  </cellStyleXfs>
  <cellXfs count="361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1">
      <alignment vertical="center"/>
    </xf>
    <xf numFmtId="0" fontId="3" fillId="0" borderId="0" applyAlignment="1" pivotButton="0" quotePrefix="0" xfId="2">
      <alignment vertical="center"/>
    </xf>
    <xf numFmtId="0" fontId="6" fillId="2" borderId="0" applyAlignment="1" pivotButton="0" quotePrefix="0" xfId="1">
      <alignment vertical="center"/>
    </xf>
    <xf numFmtId="0" fontId="7" fillId="2" borderId="0" applyAlignment="1" pivotButton="0" quotePrefix="0" xfId="2">
      <alignment vertical="center"/>
    </xf>
    <xf numFmtId="0" fontId="7" fillId="2" borderId="0" applyAlignment="1" pivotButton="0" quotePrefix="0" xfId="4">
      <alignment vertical="center"/>
    </xf>
    <xf numFmtId="0" fontId="7" fillId="2" borderId="10" applyAlignment="1" pivotButton="0" quotePrefix="0" xfId="4">
      <alignment horizontal="left" vertical="center"/>
    </xf>
    <xf numFmtId="0" fontId="13" fillId="2" borderId="0" applyAlignment="1" pivotButton="0" quotePrefix="0" xfId="4">
      <alignment vertical="center"/>
    </xf>
    <xf numFmtId="0" fontId="20" fillId="2" borderId="0" applyAlignment="1" pivotButton="0" quotePrefix="0" xfId="1">
      <alignment horizontal="left" vertical="center"/>
    </xf>
    <xf numFmtId="0" fontId="3" fillId="2" borderId="0" applyAlignment="1" pivotButton="0" quotePrefix="0" xfId="2">
      <alignment vertical="center"/>
    </xf>
    <xf numFmtId="0" fontId="21" fillId="3" borderId="14" applyAlignment="1" pivotButton="0" quotePrefix="0" xfId="1">
      <alignment horizontal="center" vertical="center"/>
    </xf>
    <xf numFmtId="0" fontId="9" fillId="2" borderId="0" applyAlignment="1" pivotButton="0" quotePrefix="0" xfId="2">
      <alignment vertical="center"/>
    </xf>
    <xf numFmtId="0" fontId="6" fillId="2" borderId="15" applyAlignment="1" pivotButton="0" quotePrefix="0" xfId="1">
      <alignment horizontal="center" vertical="center" wrapText="1"/>
    </xf>
    <xf numFmtId="14" fontId="7" fillId="2" borderId="9" applyAlignment="1" pivotButton="0" quotePrefix="0" xfId="2">
      <alignment horizontal="center" vertical="center"/>
    </xf>
    <xf numFmtId="0" fontId="7" fillId="2" borderId="9" applyAlignment="1" pivotButton="0" quotePrefix="0" xfId="2">
      <alignment horizontal="center" vertical="center" wrapText="1"/>
    </xf>
    <xf numFmtId="0" fontId="7" fillId="2" borderId="16" applyAlignment="1" pivotButton="0" quotePrefix="0" xfId="2">
      <alignment horizontal="center" vertical="center"/>
    </xf>
    <xf numFmtId="0" fontId="22" fillId="2" borderId="0" applyAlignment="1" pivotButton="0" quotePrefix="0" xfId="1">
      <alignment vertical="center"/>
    </xf>
    <xf numFmtId="0" fontId="23" fillId="2" borderId="0" applyAlignment="1" pivotButton="0" quotePrefix="0" xfId="1">
      <alignment vertical="center"/>
    </xf>
    <xf numFmtId="0" fontId="25" fillId="2" borderId="9" applyAlignment="1" pivotButton="0" quotePrefix="0" xfId="1">
      <alignment horizontal="center" vertical="center" wrapText="1"/>
    </xf>
    <xf numFmtId="0" fontId="33" fillId="2" borderId="9" applyAlignment="1" pivotButton="0" quotePrefix="0" xfId="3">
      <alignment horizontal="center" vertical="center" wrapText="1"/>
    </xf>
    <xf numFmtId="9" fontId="32" fillId="6" borderId="16" applyAlignment="1" pivotButton="0" quotePrefix="0" xfId="3">
      <alignment horizontal="center" vertical="center" wrapText="1"/>
    </xf>
    <xf numFmtId="9" fontId="32" fillId="6" borderId="34" applyAlignment="1" pivotButton="0" quotePrefix="0" xfId="3">
      <alignment horizontal="center" vertical="center" wrapText="1"/>
    </xf>
    <xf numFmtId="0" fontId="34" fillId="2" borderId="1" applyAlignment="1" pivotButton="0" quotePrefix="0" xfId="1">
      <alignment vertical="center"/>
    </xf>
    <xf numFmtId="0" fontId="6" fillId="2" borderId="1" applyAlignment="1" pivotButton="0" quotePrefix="0" xfId="1">
      <alignment vertical="center"/>
    </xf>
    <xf numFmtId="0" fontId="11" fillId="3" borderId="16" applyAlignment="1" pivotButton="0" quotePrefix="0" xfId="3">
      <alignment horizontal="center" vertical="center" wrapText="1"/>
    </xf>
    <xf numFmtId="0" fontId="34" fillId="5" borderId="9" applyAlignment="1" pivotButton="0" quotePrefix="0" xfId="1">
      <alignment horizontal="center" vertical="center"/>
    </xf>
    <xf numFmtId="9" fontId="32" fillId="6" borderId="27" applyAlignment="1" pivotButton="0" quotePrefix="0" xfId="3">
      <alignment horizontal="center" vertical="center" wrapText="1"/>
    </xf>
    <xf numFmtId="0" fontId="17" fillId="2" borderId="0" applyAlignment="1" pivotButton="0" quotePrefix="0" xfId="1">
      <alignment horizontal="left" vertical="center"/>
    </xf>
    <xf numFmtId="0" fontId="21" fillId="3" borderId="9" applyAlignment="1" pivotButton="0" quotePrefix="0" xfId="1">
      <alignment horizontal="center" vertical="center"/>
    </xf>
    <xf numFmtId="0" fontId="6" fillId="2" borderId="0" applyAlignment="1" pivotButton="0" quotePrefix="0" xfId="1">
      <alignment horizontal="center" vertical="center"/>
    </xf>
    <xf numFmtId="0" fontId="10" fillId="6" borderId="31" applyAlignment="1" pivotButton="0" quotePrefix="0" xfId="3">
      <alignment horizontal="center" vertical="center" wrapText="1"/>
    </xf>
    <xf numFmtId="0" fontId="11" fillId="3" borderId="9" applyAlignment="1" pivotButton="0" quotePrefix="0" xfId="3">
      <alignment horizontal="center" vertical="center" wrapText="1"/>
    </xf>
    <xf numFmtId="9" fontId="32" fillId="6" borderId="26" applyAlignment="1" pivotButton="0" quotePrefix="0" xfId="3">
      <alignment horizontal="center" vertical="center" wrapText="1"/>
    </xf>
    <xf numFmtId="0" fontId="7" fillId="2" borderId="9" applyAlignment="1" pivotButton="0" quotePrefix="0" xfId="2">
      <alignment horizontal="center" vertical="center"/>
    </xf>
    <xf numFmtId="0" fontId="16" fillId="2" borderId="9" applyAlignment="1" pivotButton="0" quotePrefix="0" xfId="8">
      <alignment horizontal="center" vertical="center"/>
    </xf>
    <xf numFmtId="9" fontId="16" fillId="2" borderId="9" applyAlignment="1" pivotButton="0" quotePrefix="0" xfId="8">
      <alignment horizontal="center" vertical="center"/>
    </xf>
    <xf numFmtId="9" fontId="13" fillId="6" borderId="42" applyAlignment="1" pivotButton="0" quotePrefix="0" xfId="8">
      <alignment horizontal="center" vertical="center"/>
    </xf>
    <xf numFmtId="0" fontId="21" fillId="3" borderId="12" applyAlignment="1" pivotButton="0" quotePrefix="0" xfId="1">
      <alignment horizontal="center" vertical="center"/>
    </xf>
    <xf numFmtId="0" fontId="21" fillId="3" borderId="13" applyAlignment="1" pivotButton="0" quotePrefix="0" xfId="1">
      <alignment horizontal="center" vertical="center"/>
    </xf>
    <xf numFmtId="0" fontId="13" fillId="6" borderId="42" applyAlignment="1" pivotButton="0" quotePrefix="0" xfId="8">
      <alignment horizontal="center" vertical="center"/>
    </xf>
    <xf numFmtId="0" fontId="21" fillId="3" borderId="9" applyAlignment="1" pivotButton="0" quotePrefix="0" xfId="2">
      <alignment horizontal="center" vertical="center"/>
    </xf>
    <xf numFmtId="0" fontId="16" fillId="2" borderId="9" applyAlignment="1" pivotButton="0" quotePrefix="0" xfId="7">
      <alignment horizontal="center" vertical="center"/>
    </xf>
    <xf numFmtId="0" fontId="6" fillId="2" borderId="0" applyAlignment="1" pivotButton="0" quotePrefix="0" xfId="2">
      <alignment vertical="center"/>
    </xf>
    <xf numFmtId="0" fontId="39" fillId="2" borderId="0" applyAlignment="1" pivotButton="0" quotePrefix="0" xfId="5">
      <alignment horizontal="center" vertical="center"/>
    </xf>
    <xf numFmtId="0" fontId="40" fillId="2" borderId="0" applyAlignment="1" pivotButton="0" quotePrefix="0" xfId="5">
      <alignment vertical="center"/>
    </xf>
    <xf numFmtId="0" fontId="38" fillId="2" borderId="0" applyAlignment="1" pivotButton="0" quotePrefix="0" xfId="2">
      <alignment horizontal="left" vertical="center"/>
    </xf>
    <xf numFmtId="0" fontId="34" fillId="2" borderId="0" applyAlignment="1" pivotButton="0" quotePrefix="0" xfId="2">
      <alignment horizontal="left" vertical="center"/>
    </xf>
    <xf numFmtId="0" fontId="41" fillId="2" borderId="0" applyAlignment="1" pivotButton="0" quotePrefix="0" xfId="2">
      <alignment vertical="center"/>
    </xf>
    <xf numFmtId="0" fontId="21" fillId="2" borderId="0" applyAlignment="1" pivotButton="0" quotePrefix="0" xfId="1">
      <alignment vertical="center"/>
    </xf>
    <xf numFmtId="0" fontId="7" fillId="2" borderId="0" applyAlignment="1" pivotButton="0" quotePrefix="0" xfId="2">
      <alignment horizontal="right" vertical="center"/>
    </xf>
    <xf numFmtId="0" fontId="42" fillId="2" borderId="0" applyAlignment="1" pivotButton="0" quotePrefix="0" xfId="2">
      <alignment horizontal="left" vertical="center"/>
    </xf>
    <xf numFmtId="0" fontId="44" fillId="2" borderId="0" applyAlignment="1" pivotButton="0" quotePrefix="0" xfId="2">
      <alignment vertical="center"/>
    </xf>
    <xf numFmtId="0" fontId="42" fillId="2" borderId="0" applyAlignment="1" pivotButton="0" quotePrefix="0" xfId="2">
      <alignment vertical="center"/>
    </xf>
    <xf numFmtId="0" fontId="21" fillId="3" borderId="31" applyAlignment="1" applyProtection="1" pivotButton="0" quotePrefix="0" xfId="3">
      <alignment horizontal="center" vertical="center" wrapText="1"/>
      <protection locked="0" hidden="0"/>
    </xf>
    <xf numFmtId="0" fontId="24" fillId="0" borderId="9" applyAlignment="1" pivotButton="0" quotePrefix="0" xfId="5">
      <alignment horizontal="center" vertical="center"/>
    </xf>
    <xf numFmtId="0" fontId="7" fillId="2" borderId="0" applyAlignment="1" pivotButton="0" quotePrefix="0" xfId="2">
      <alignment horizontal="center" vertical="center"/>
    </xf>
    <xf numFmtId="0" fontId="16" fillId="2" borderId="9" applyAlignment="1" pivotButton="0" quotePrefix="0" xfId="1">
      <alignment horizontal="center" vertical="center"/>
    </xf>
    <xf numFmtId="0" fontId="49" fillId="7" borderId="9" applyAlignment="1" pivotButton="0" quotePrefix="0" xfId="1">
      <alignment horizontal="center" vertical="center"/>
    </xf>
    <xf numFmtId="0" fontId="50" fillId="7" borderId="9" applyAlignment="1" pivotButton="0" quotePrefix="0" xfId="1">
      <alignment horizontal="center" vertical="center"/>
    </xf>
    <xf numFmtId="0" fontId="7" fillId="0" borderId="0" applyAlignment="1" pivotButton="0" quotePrefix="0" xfId="2">
      <alignment vertical="center"/>
    </xf>
    <xf numFmtId="0" fontId="51" fillId="7" borderId="9" applyAlignment="1" applyProtection="1" pivotButton="0" quotePrefix="0" xfId="3">
      <alignment horizontal="center" vertical="center" wrapText="1"/>
      <protection locked="0" hidden="0"/>
    </xf>
    <xf numFmtId="0" fontId="52" fillId="8" borderId="9" applyAlignment="1" pivotButton="0" quotePrefix="0" xfId="0">
      <alignment vertical="center"/>
    </xf>
    <xf numFmtId="0" fontId="52" fillId="8" borderId="9" applyAlignment="1" pivotButton="0" quotePrefix="0" xfId="0">
      <alignment vertical="center" wrapText="1"/>
    </xf>
    <xf numFmtId="0" fontId="21" fillId="3" borderId="21" applyAlignment="1" applyProtection="1" pivotButton="0" quotePrefix="0" xfId="3">
      <alignment horizontal="center" vertical="center" wrapText="1"/>
      <protection locked="0" hidden="0"/>
    </xf>
    <xf numFmtId="0" fontId="21" fillId="3" borderId="26" applyAlignment="1" applyProtection="1" pivotButton="0" quotePrefix="0" xfId="3">
      <alignment horizontal="center" vertical="center" wrapText="1"/>
      <protection locked="0" hidden="0"/>
    </xf>
    <xf numFmtId="0" fontId="7" fillId="2" borderId="0" applyAlignment="1" pivotButton="0" quotePrefix="0" xfId="2">
      <alignment vertical="center" wrapText="1"/>
    </xf>
    <xf numFmtId="0" fontId="48" fillId="2" borderId="0" applyAlignment="1" pivotButton="0" quotePrefix="0" xfId="11">
      <alignment vertical="center"/>
    </xf>
    <xf numFmtId="0" fontId="48" fillId="0" borderId="0" applyAlignment="1" pivotButton="0" quotePrefix="0" xfId="11">
      <alignment vertical="center"/>
    </xf>
    <xf numFmtId="0" fontId="75" fillId="2" borderId="58" applyAlignment="1" pivotButton="0" quotePrefix="0" xfId="11">
      <alignment horizontal="center" vertical="center"/>
    </xf>
    <xf numFmtId="0" fontId="76" fillId="2" borderId="0" applyAlignment="1" pivotButton="0" quotePrefix="0" xfId="11">
      <alignment horizontal="center" vertical="center"/>
    </xf>
    <xf numFmtId="0" fontId="6" fillId="2" borderId="0" applyAlignment="1" pivotButton="0" quotePrefix="0" xfId="1">
      <alignment horizontal="center" vertical="center" wrapText="1"/>
    </xf>
    <xf numFmtId="14" fontId="7" fillId="2" borderId="0" applyAlignment="1" pivotButton="0" quotePrefix="0" xfId="2">
      <alignment horizontal="center" vertical="center"/>
    </xf>
    <xf numFmtId="0" fontId="7" fillId="2" borderId="0" applyAlignment="1" pivotButton="0" quotePrefix="0" xfId="2">
      <alignment horizontal="center" vertical="center" wrapText="1"/>
    </xf>
    <xf numFmtId="0" fontId="6" fillId="2" borderId="9" applyAlignment="1" pivotButton="0" quotePrefix="0" xfId="1">
      <alignment horizontal="center" vertical="center" wrapText="1"/>
    </xf>
    <xf numFmtId="0" fontId="7" fillId="0" borderId="6" applyAlignment="1" pivotButton="0" quotePrefix="0" xfId="156">
      <alignment horizontal="center" vertical="center"/>
    </xf>
    <xf numFmtId="0" fontId="52" fillId="8" borderId="24" applyAlignment="1" pivotButton="0" quotePrefix="0" xfId="0">
      <alignment vertical="center"/>
    </xf>
    <xf numFmtId="0" fontId="7" fillId="2" borderId="6" applyAlignment="1" pivotButton="0" quotePrefix="0" xfId="156">
      <alignment horizontal="center" vertical="center"/>
    </xf>
    <xf numFmtId="0" fontId="10" fillId="6" borderId="53" applyAlignment="1" pivotButton="0" quotePrefix="0" xfId="3">
      <alignment horizontal="center" vertical="center" wrapText="1"/>
    </xf>
    <xf numFmtId="9" fontId="32" fillId="6" borderId="55" applyAlignment="1" pivotButton="0" quotePrefix="0" xfId="3">
      <alignment horizontal="center" vertical="center" wrapText="1"/>
    </xf>
    <xf numFmtId="0" fontId="10" fillId="6" borderId="9" applyAlignment="1" pivotButton="0" quotePrefix="0" xfId="2">
      <alignment horizontal="center" vertical="center"/>
    </xf>
    <xf numFmtId="0" fontId="26" fillId="6" borderId="9" applyAlignment="1" pivotButton="0" quotePrefix="0" xfId="2">
      <alignment horizontal="center" vertical="center"/>
    </xf>
    <xf numFmtId="0" fontId="27" fillId="6" borderId="9" applyAlignment="1" pivotButton="0" quotePrefix="0" xfId="2">
      <alignment horizontal="center" vertical="center"/>
    </xf>
    <xf numFmtId="0" fontId="10" fillId="6" borderId="13" applyAlignment="1" pivotButton="0" quotePrefix="0" xfId="2">
      <alignment horizontal="center" vertical="center"/>
    </xf>
    <xf numFmtId="0" fontId="10" fillId="6" borderId="18" applyAlignment="1" pivotButton="0" quotePrefix="0" xfId="2">
      <alignment horizontal="center" vertical="center"/>
    </xf>
    <xf numFmtId="0" fontId="32" fillId="4" borderId="15" applyAlignment="1" pivotButton="0" quotePrefix="0" xfId="3">
      <alignment horizontal="center" vertical="center" wrapText="1"/>
    </xf>
    <xf numFmtId="0" fontId="52" fillId="2" borderId="9" applyAlignment="1" pivotButton="0" quotePrefix="0" xfId="2">
      <alignment horizontal="justify" vertical="center" wrapText="1"/>
    </xf>
    <xf numFmtId="0" fontId="15" fillId="2" borderId="9" applyAlignment="1" pivotButton="0" quotePrefix="0" xfId="2">
      <alignment vertical="center"/>
    </xf>
    <xf numFmtId="0" fontId="15" fillId="0" borderId="9" applyAlignment="1" pivotButton="0" quotePrefix="0" xfId="2">
      <alignment vertical="center"/>
    </xf>
    <xf numFmtId="0" fontId="52" fillId="0" borderId="54" applyAlignment="1" pivotButton="0" quotePrefix="0" xfId="2">
      <alignment vertical="center"/>
    </xf>
    <xf numFmtId="0" fontId="52" fillId="0" borderId="9" applyAlignment="1" pivotButton="0" quotePrefix="0" xfId="2">
      <alignment vertical="center"/>
    </xf>
    <xf numFmtId="0" fontId="52" fillId="2" borderId="54" applyAlignment="1" pivotButton="0" quotePrefix="0" xfId="2">
      <alignment horizontal="justify" vertical="center" wrapText="1"/>
    </xf>
    <xf numFmtId="0" fontId="52" fillId="0" borderId="18" applyAlignment="1" pivotButton="0" quotePrefix="0" xfId="2">
      <alignment vertical="center"/>
    </xf>
    <xf numFmtId="0" fontId="3" fillId="0" borderId="0" applyAlignment="1" pivotButton="0" quotePrefix="0" xfId="2">
      <alignment horizontal="center" vertical="center"/>
    </xf>
    <xf numFmtId="0" fontId="52" fillId="2" borderId="9" applyAlignment="1" pivotButton="0" quotePrefix="0" xfId="2">
      <alignment horizontal="center" vertical="center" wrapText="1"/>
    </xf>
    <xf numFmtId="0" fontId="52" fillId="8" borderId="9" applyAlignment="1" pivotButton="0" quotePrefix="0" xfId="2">
      <alignment vertical="top" wrapText="1"/>
    </xf>
    <xf numFmtId="0" fontId="52" fillId="0" borderId="9" applyAlignment="1" pivotButton="0" quotePrefix="0" xfId="2">
      <alignment vertical="top" wrapText="1"/>
    </xf>
    <xf numFmtId="0" fontId="3" fillId="0" borderId="0" applyAlignment="1" pivotButton="0" quotePrefix="0" xfId="2">
      <alignment vertical="top"/>
    </xf>
    <xf numFmtId="0" fontId="7" fillId="0" borderId="0" applyAlignment="1" pivotButton="0" quotePrefix="0" xfId="2">
      <alignment vertical="top"/>
    </xf>
    <xf numFmtId="0" fontId="52" fillId="2" borderId="18" applyAlignment="1" pivotButton="0" quotePrefix="0" xfId="2">
      <alignment horizontal="center" vertical="center" wrapText="1"/>
    </xf>
    <xf numFmtId="0" fontId="52" fillId="8" borderId="18" applyAlignment="1" pivotButton="0" quotePrefix="0" xfId="2">
      <alignment vertical="top" wrapText="1"/>
    </xf>
    <xf numFmtId="0" fontId="79" fillId="40" borderId="9" applyAlignment="1" pivotButton="0" quotePrefix="0" xfId="0">
      <alignment horizontal="center" vertical="center"/>
    </xf>
    <xf numFmtId="0" fontId="80" fillId="2" borderId="13" applyAlignment="1" pivotButton="0" quotePrefix="0" xfId="2">
      <alignment horizontal="center" vertical="center"/>
    </xf>
    <xf numFmtId="0" fontId="15" fillId="2" borderId="13" applyAlignment="1" pivotButton="0" quotePrefix="0" xfId="2">
      <alignment horizontal="center" vertical="center"/>
    </xf>
    <xf numFmtId="0" fontId="15" fillId="2" borderId="9" applyAlignment="1" applyProtection="1" pivotButton="0" quotePrefix="0" xfId="7">
      <alignment horizontal="center" vertical="center" wrapText="1"/>
      <protection locked="0" hidden="0"/>
    </xf>
    <xf numFmtId="0" fontId="15" fillId="0" borderId="16" applyAlignment="1" pivotButton="0" quotePrefix="0" xfId="2">
      <alignment vertical="top" wrapText="1"/>
    </xf>
    <xf numFmtId="0" fontId="80" fillId="2" borderId="9" applyAlignment="1" pivotButton="0" quotePrefix="0" xfId="2">
      <alignment horizontal="center" vertical="center"/>
    </xf>
    <xf numFmtId="0" fontId="79" fillId="40" borderId="18" applyAlignment="1" pivotButton="0" quotePrefix="0" xfId="0">
      <alignment horizontal="center" vertical="center"/>
    </xf>
    <xf numFmtId="0" fontId="15" fillId="2" borderId="18" applyAlignment="1" applyProtection="1" pivotButton="0" quotePrefix="0" xfId="7">
      <alignment horizontal="center" vertical="center" wrapText="1"/>
      <protection locked="0" hidden="0"/>
    </xf>
    <xf numFmtId="0" fontId="15" fillId="0" borderId="19" applyAlignment="1" pivotButton="0" quotePrefix="0" xfId="2">
      <alignment vertical="top" wrapText="1"/>
    </xf>
    <xf numFmtId="0" fontId="79" fillId="40" borderId="54" applyAlignment="1" pivotButton="0" quotePrefix="0" xfId="0">
      <alignment horizontal="center" vertical="center"/>
    </xf>
    <xf numFmtId="0" fontId="15" fillId="2" borderId="54" applyAlignment="1" applyProtection="1" pivotButton="0" quotePrefix="0" xfId="7">
      <alignment horizontal="center" vertical="center" wrapText="1"/>
      <protection locked="0" hidden="0"/>
    </xf>
    <xf numFmtId="0" fontId="15" fillId="0" borderId="27" applyAlignment="1" pivotButton="0" quotePrefix="0" xfId="2">
      <alignment vertical="top" wrapText="1"/>
    </xf>
    <xf numFmtId="0" fontId="80" fillId="2" borderId="18" applyAlignment="1" pivotButton="0" quotePrefix="0" xfId="2">
      <alignment horizontal="center" vertical="center"/>
    </xf>
    <xf numFmtId="0" fontId="80" fillId="2" borderId="54" applyAlignment="1" pivotButton="0" quotePrefix="0" xfId="2">
      <alignment horizontal="center" vertical="center"/>
    </xf>
    <xf numFmtId="0" fontId="79" fillId="40" borderId="53" applyAlignment="1" pivotButton="0" quotePrefix="0" xfId="0">
      <alignment horizontal="center" vertical="center"/>
    </xf>
    <xf numFmtId="0" fontId="80" fillId="2" borderId="53" applyAlignment="1" pivotButton="0" quotePrefix="0" xfId="7">
      <alignment horizontal="center" vertical="center"/>
    </xf>
    <xf numFmtId="0" fontId="15" fillId="0" borderId="34" applyAlignment="1" pivotButton="0" quotePrefix="0" xfId="2">
      <alignment vertical="top" wrapText="1"/>
    </xf>
    <xf numFmtId="0" fontId="80" fillId="2" borderId="54" applyAlignment="1" pivotButton="0" quotePrefix="0" xfId="7">
      <alignment horizontal="center" vertical="center"/>
    </xf>
    <xf numFmtId="0" fontId="15" fillId="0" borderId="54" applyAlignment="1" pivotButton="0" quotePrefix="0" xfId="2">
      <alignment vertical="top" wrapText="1"/>
    </xf>
    <xf numFmtId="0" fontId="80" fillId="2" borderId="9" applyAlignment="1" pivotButton="0" quotePrefix="0" xfId="7">
      <alignment horizontal="center" vertical="center"/>
    </xf>
    <xf numFmtId="0" fontId="15" fillId="0" borderId="9" applyAlignment="1" pivotButton="0" quotePrefix="0" xfId="2">
      <alignment vertical="top" wrapText="1"/>
    </xf>
    <xf numFmtId="0" fontId="15" fillId="0" borderId="55" applyAlignment="1" pivotButton="0" quotePrefix="0" xfId="2">
      <alignment vertical="top" wrapText="1"/>
    </xf>
    <xf numFmtId="0" fontId="52" fillId="2" borderId="0" applyAlignment="1" pivotButton="0" quotePrefix="0" xfId="2">
      <alignment vertical="center"/>
    </xf>
    <xf numFmtId="0" fontId="81" fillId="2" borderId="0" applyAlignment="1" pivotButton="0" quotePrefix="0" xfId="1">
      <alignment vertical="center"/>
    </xf>
    <xf numFmtId="0" fontId="82" fillId="3" borderId="22" applyAlignment="1" pivotButton="0" quotePrefix="0" xfId="1">
      <alignment horizontal="center" vertical="center"/>
    </xf>
    <xf numFmtId="0" fontId="82" fillId="3" borderId="23" applyAlignment="1" pivotButton="0" quotePrefix="0" xfId="1">
      <alignment horizontal="center" vertical="center"/>
    </xf>
    <xf numFmtId="0" fontId="82" fillId="3" borderId="2" applyAlignment="1" pivotButton="0" quotePrefix="0" xfId="1">
      <alignment horizontal="center" vertical="center"/>
    </xf>
    <xf numFmtId="0" fontId="15" fillId="0" borderId="13" applyAlignment="1" pivotButton="0" quotePrefix="0" xfId="2">
      <alignment vertical="center"/>
    </xf>
    <xf numFmtId="0" fontId="15" fillId="2" borderId="9" applyAlignment="1" pivotButton="0" quotePrefix="0" xfId="2">
      <alignment horizontal="center" vertical="center"/>
    </xf>
    <xf numFmtId="0" fontId="15" fillId="2" borderId="9" applyAlignment="1" pivotButton="0" quotePrefix="0" xfId="6">
      <alignment horizontal="center" vertical="center" wrapText="1"/>
    </xf>
    <xf numFmtId="0" fontId="15" fillId="0" borderId="24" applyAlignment="1" pivotButton="0" quotePrefix="0" xfId="2">
      <alignment vertical="center"/>
    </xf>
    <xf numFmtId="0" fontId="79" fillId="40" borderId="13" applyAlignment="1" pivotButton="0" quotePrefix="0" xfId="0">
      <alignment horizontal="center" vertical="center"/>
    </xf>
    <xf numFmtId="0" fontId="15" fillId="2" borderId="20" applyAlignment="1" pivotButton="0" quotePrefix="0" xfId="2">
      <alignment horizontal="center" vertical="center"/>
    </xf>
    <xf numFmtId="0" fontId="15" fillId="2" borderId="4" applyAlignment="1" pivotButton="0" quotePrefix="0" xfId="2">
      <alignment horizontal="center" vertical="center"/>
    </xf>
    <xf numFmtId="0" fontId="15" fillId="0" borderId="18" applyAlignment="1" pivotButton="0" quotePrefix="0" xfId="2">
      <alignment vertical="center"/>
    </xf>
    <xf numFmtId="0" fontId="15" fillId="2" borderId="18" applyAlignment="1" pivotButton="0" quotePrefix="0" xfId="2">
      <alignment horizontal="center" vertical="center"/>
    </xf>
    <xf numFmtId="0" fontId="15" fillId="2" borderId="59" applyAlignment="1" pivotButton="0" quotePrefix="0" xfId="2">
      <alignment horizontal="center" vertical="center"/>
    </xf>
    <xf numFmtId="0" fontId="79" fillId="40" borderId="8" applyAlignment="1" pivotButton="0" quotePrefix="0" xfId="0">
      <alignment horizontal="center" vertical="center"/>
    </xf>
    <xf numFmtId="0" fontId="15" fillId="0" borderId="54" applyAlignment="1" pivotButton="0" quotePrefix="0" xfId="2">
      <alignment vertical="center"/>
    </xf>
    <xf numFmtId="0" fontId="15" fillId="2" borderId="54" applyAlignment="1" pivotButton="0" quotePrefix="0" xfId="2">
      <alignment horizontal="center" vertical="center"/>
    </xf>
    <xf numFmtId="0" fontId="79" fillId="40" borderId="6" applyAlignment="1" pivotButton="0" quotePrefix="0" xfId="0">
      <alignment horizontal="center" vertical="center"/>
    </xf>
    <xf numFmtId="0" fontId="79" fillId="40" borderId="39" applyAlignment="1" pivotButton="0" quotePrefix="0" xfId="0">
      <alignment horizontal="center" vertical="center"/>
    </xf>
    <xf numFmtId="0" fontId="15" fillId="4" borderId="33" applyAlignment="1" pivotButton="0" quotePrefix="0" xfId="2">
      <alignment horizontal="center" vertical="center"/>
    </xf>
    <xf numFmtId="0" fontId="79" fillId="40" borderId="31" applyAlignment="1" pivotButton="0" quotePrefix="0" xfId="0">
      <alignment horizontal="center" vertical="center"/>
    </xf>
    <xf numFmtId="0" fontId="15" fillId="0" borderId="53" applyAlignment="1" pivotButton="0" quotePrefix="0" xfId="2">
      <alignment vertical="center"/>
    </xf>
    <xf numFmtId="0" fontId="15" fillId="2" borderId="31" applyAlignment="1" pivotButton="0" quotePrefix="0" xfId="2">
      <alignment horizontal="center" vertical="center"/>
    </xf>
    <xf numFmtId="0" fontId="15" fillId="2" borderId="32" applyAlignment="1" pivotButton="0" quotePrefix="0" xfId="2">
      <alignment horizontal="center" vertical="center"/>
    </xf>
    <xf numFmtId="0" fontId="15" fillId="2" borderId="7" applyAlignment="1" pivotButton="0" quotePrefix="0" xfId="2">
      <alignment horizontal="center" vertical="center"/>
    </xf>
    <xf numFmtId="0" fontId="15" fillId="2" borderId="53" applyAlignment="1" pivotButton="0" quotePrefix="0" xfId="2">
      <alignment horizontal="center" vertical="center"/>
    </xf>
    <xf numFmtId="0" fontId="15" fillId="2" borderId="54" applyAlignment="1" pivotButton="0" quotePrefix="0" xfId="6">
      <alignment horizontal="center" vertical="center" wrapText="1"/>
    </xf>
    <xf numFmtId="0" fontId="15" fillId="2" borderId="18" applyAlignment="1" pivotButton="0" quotePrefix="0" xfId="6">
      <alignment horizontal="center" vertical="center" wrapText="1"/>
    </xf>
    <xf numFmtId="0" fontId="15" fillId="2" borderId="53" applyAlignment="1" pivotButton="0" quotePrefix="0" xfId="6">
      <alignment horizontal="center" vertical="center" wrapText="1"/>
    </xf>
    <xf numFmtId="0" fontId="15" fillId="2" borderId="54" applyAlignment="1" pivotButton="0" quotePrefix="0" xfId="7">
      <alignment horizontal="center" vertical="center" wrapText="1"/>
    </xf>
    <xf numFmtId="0" fontId="15" fillId="2" borderId="9" applyAlignment="1" pivotButton="0" quotePrefix="0" xfId="7">
      <alignment horizontal="center" vertical="center" wrapText="1"/>
    </xf>
    <xf numFmtId="0" fontId="15" fillId="2" borderId="18" applyAlignment="1" pivotButton="0" quotePrefix="0" xfId="7">
      <alignment horizontal="center" vertical="center" wrapText="1"/>
    </xf>
    <xf numFmtId="0" fontId="15" fillId="2" borderId="24" applyAlignment="1" pivotButton="0" quotePrefix="0" xfId="2">
      <alignment horizontal="center" vertical="center"/>
    </xf>
    <xf numFmtId="0" fontId="15" fillId="2" borderId="24" applyAlignment="1" pivotButton="0" quotePrefix="0" xfId="7">
      <alignment horizontal="center" vertical="center" wrapText="1"/>
    </xf>
    <xf numFmtId="0" fontId="15" fillId="2" borderId="31" applyAlignment="1" pivotButton="0" quotePrefix="0" xfId="7">
      <alignment horizontal="center" vertical="center" wrapText="1"/>
    </xf>
    <xf numFmtId="0" fontId="15" fillId="2" borderId="31" applyAlignment="1" applyProtection="1" pivotButton="0" quotePrefix="0" xfId="7">
      <alignment horizontal="center" vertical="center" wrapText="1"/>
      <protection locked="0" hidden="0"/>
    </xf>
    <xf numFmtId="0" fontId="88" fillId="0" borderId="54" applyAlignment="1" pivotButton="0" quotePrefix="0" xfId="159">
      <alignment vertical="top" wrapText="1"/>
    </xf>
    <xf numFmtId="0" fontId="11" fillId="3" borderId="41" applyAlignment="1" pivotButton="0" quotePrefix="0" xfId="3">
      <alignment horizontal="center" vertical="top" wrapText="1"/>
    </xf>
    <xf numFmtId="0" fontId="11" fillId="3" borderId="9" applyAlignment="1" pivotButton="0" quotePrefix="0" xfId="3">
      <alignment horizontal="center" vertical="top" wrapText="1"/>
    </xf>
    <xf numFmtId="0" fontId="11" fillId="3" borderId="23" applyAlignment="1" pivotButton="0" quotePrefix="0" xfId="3">
      <alignment horizontal="center" vertical="top" wrapText="1"/>
    </xf>
    <xf numFmtId="0" fontId="88" fillId="41" borderId="18" applyAlignment="1" pivotButton="0" quotePrefix="0" xfId="159">
      <alignment horizontal="center" vertical="center" shrinkToFit="1"/>
    </xf>
    <xf numFmtId="0" fontId="88" fillId="41" borderId="31" applyAlignment="1" pivotButton="0" quotePrefix="0" xfId="159">
      <alignment horizontal="center" vertical="center" shrinkToFit="1"/>
    </xf>
    <xf numFmtId="0" fontId="88" fillId="41" borderId="9" applyAlignment="1" pivotButton="0" quotePrefix="0" xfId="159">
      <alignment horizontal="center" vertical="center" shrinkToFit="1"/>
    </xf>
    <xf numFmtId="0" fontId="88" fillId="41" borderId="54" applyAlignment="1" pivotButton="0" quotePrefix="0" xfId="159">
      <alignment horizontal="center" vertical="center" shrinkToFit="1"/>
    </xf>
    <xf numFmtId="0" fontId="77" fillId="2" borderId="0" applyAlignment="1" pivotButton="0" quotePrefix="0" xfId="11">
      <alignment horizontal="center" vertical="center" wrapText="1"/>
    </xf>
    <xf numFmtId="0" fontId="76" fillId="2" borderId="0" applyAlignment="1" pivotButton="0" quotePrefix="0" xfId="11">
      <alignment horizontal="center" vertical="center"/>
    </xf>
    <xf numFmtId="0" fontId="73" fillId="2" borderId="9" applyAlignment="1" pivotButton="0" quotePrefix="0" xfId="11">
      <alignment horizontal="center" vertical="center"/>
    </xf>
    <xf numFmtId="0" fontId="74" fillId="2" borderId="9" applyAlignment="1" pivotButton="0" quotePrefix="0" xfId="11">
      <alignment horizontal="center" vertical="center"/>
    </xf>
    <xf numFmtId="0" fontId="74" fillId="2" borderId="4" applyAlignment="1" pivotButton="0" quotePrefix="0" xfId="11">
      <alignment horizontal="center" vertical="center"/>
    </xf>
    <xf numFmtId="0" fontId="74" fillId="2" borderId="6" applyAlignment="1" pivotButton="0" quotePrefix="0" xfId="11">
      <alignment horizontal="center" vertical="center"/>
    </xf>
    <xf numFmtId="0" fontId="74" fillId="2" borderId="2" applyAlignment="1" pivotButton="0" quotePrefix="0" xfId="11">
      <alignment horizontal="center" vertical="center" wrapText="1"/>
    </xf>
    <xf numFmtId="0" fontId="74" fillId="2" borderId="43" applyAlignment="1" pivotButton="0" quotePrefix="0" xfId="11">
      <alignment horizontal="center" vertical="center" wrapText="1"/>
    </xf>
    <xf numFmtId="0" fontId="74" fillId="2" borderId="3" applyAlignment="1" pivotButton="0" quotePrefix="0" xfId="11">
      <alignment horizontal="center" vertical="center" wrapText="1"/>
    </xf>
    <xf numFmtId="0" fontId="74" fillId="2" borderId="7" applyAlignment="1" pivotButton="0" quotePrefix="0" xfId="11">
      <alignment horizontal="center" vertical="center" wrapText="1"/>
    </xf>
    <xf numFmtId="0" fontId="74" fillId="2" borderId="11" applyAlignment="1" pivotButton="0" quotePrefix="0" xfId="11">
      <alignment horizontal="center" vertical="center" wrapText="1"/>
    </xf>
    <xf numFmtId="0" fontId="74" fillId="2" borderId="8" applyAlignment="1" pivotButton="0" quotePrefix="0" xfId="11">
      <alignment horizontal="center" vertical="center" wrapText="1"/>
    </xf>
    <xf numFmtId="0" fontId="76" fillId="2" borderId="0" applyAlignment="1" pivotButton="0" quotePrefix="0" xfId="11">
      <alignment horizontal="left" vertical="center"/>
    </xf>
    <xf numFmtId="0" fontId="11" fillId="3" borderId="2" applyAlignment="1" pivotButton="0" quotePrefix="0" xfId="3">
      <alignment horizontal="center" vertical="center" wrapText="1"/>
    </xf>
    <xf numFmtId="0" fontId="11" fillId="3" borderId="3" applyAlignment="1" pivotButton="0" quotePrefix="0" xfId="3">
      <alignment horizontal="center" vertical="center" wrapText="1"/>
    </xf>
    <xf numFmtId="0" fontId="11" fillId="3" borderId="7" applyAlignment="1" pivotButton="0" quotePrefix="0" xfId="3">
      <alignment horizontal="center" vertical="center" wrapText="1"/>
    </xf>
    <xf numFmtId="0" fontId="11" fillId="3" borderId="8" applyAlignment="1" pivotButton="0" quotePrefix="0" xfId="3">
      <alignment horizontal="center" vertical="center" wrapText="1"/>
    </xf>
    <xf numFmtId="0" fontId="11" fillId="3" borderId="9" applyAlignment="1" pivotButton="0" quotePrefix="0" xfId="3">
      <alignment horizontal="center" vertical="center" wrapText="1"/>
    </xf>
    <xf numFmtId="0" fontId="8" fillId="2" borderId="0" applyAlignment="1" pivotButton="0" quotePrefix="0" xfId="2">
      <alignment horizontal="left" vertical="center"/>
    </xf>
    <xf numFmtId="0" fontId="7" fillId="2" borderId="0" applyAlignment="1" pivotButton="0" quotePrefix="0" xfId="2">
      <alignment horizontal="left" vertical="center" wrapText="1"/>
    </xf>
    <xf numFmtId="0" fontId="10" fillId="2" borderId="0" applyAlignment="1" pivotButton="0" quotePrefix="0" xfId="2">
      <alignment horizontal="left" vertical="center"/>
    </xf>
    <xf numFmtId="0" fontId="7" fillId="2" borderId="0" applyAlignment="1" pivotButton="0" quotePrefix="0" xfId="4">
      <alignment horizontal="left" vertical="center"/>
    </xf>
    <xf numFmtId="0" fontId="7" fillId="2" borderId="4" applyAlignment="1" pivotButton="0" quotePrefix="0" xfId="4">
      <alignment horizontal="center" vertical="center" wrapText="1"/>
    </xf>
    <xf numFmtId="0" fontId="7" fillId="2" borderId="6" applyAlignment="1" pivotButton="0" quotePrefix="0" xfId="4">
      <alignment horizontal="center" vertical="center" wrapText="1"/>
    </xf>
    <xf numFmtId="0" fontId="7" fillId="2" borderId="9" applyAlignment="1" pivotButton="0" quotePrefix="0" xfId="4">
      <alignment horizontal="center" vertical="center"/>
    </xf>
    <xf numFmtId="0" fontId="10" fillId="2" borderId="0" applyAlignment="1" pivotButton="0" quotePrefix="0" xfId="4">
      <alignment horizontal="left" vertical="center"/>
    </xf>
    <xf numFmtId="0" fontId="16" fillId="2" borderId="0" applyAlignment="1" pivotButton="0" quotePrefix="0" xfId="4">
      <alignment horizontal="left" vertical="center"/>
    </xf>
    <xf numFmtId="0" fontId="12" fillId="0" borderId="0" applyAlignment="1" pivotButton="0" quotePrefix="0" xfId="4">
      <alignment horizontal="left" vertical="center"/>
    </xf>
    <xf numFmtId="0" fontId="13" fillId="2" borderId="0" applyAlignment="1" pivotButton="0" quotePrefix="0" xfId="4">
      <alignment horizontal="left" vertical="center"/>
    </xf>
    <xf numFmtId="0" fontId="16" fillId="2" borderId="0" applyAlignment="1" pivotButton="0" quotePrefix="0" xfId="4">
      <alignment horizontal="left" vertical="center" wrapText="1"/>
    </xf>
    <xf numFmtId="0" fontId="17" fillId="2" borderId="0" applyAlignment="1" pivotButton="0" quotePrefix="0" xfId="1">
      <alignment horizontal="left" vertical="center"/>
    </xf>
    <xf numFmtId="0" fontId="21" fillId="3" borderId="9" applyAlignment="1" pivotButton="0" quotePrefix="0" xfId="1">
      <alignment horizontal="center" vertical="center"/>
    </xf>
    <xf numFmtId="0" fontId="10" fillId="6" borderId="15" applyAlignment="1" pivotButton="0" quotePrefix="0" xfId="2">
      <alignment horizontal="center" vertical="center"/>
    </xf>
    <xf numFmtId="0" fontId="10" fillId="6" borderId="17" applyAlignment="1" pivotButton="0" quotePrefix="0" xfId="2">
      <alignment horizontal="center" vertical="center"/>
    </xf>
    <xf numFmtId="0" fontId="10" fillId="6" borderId="12" applyAlignment="1" pivotButton="0" quotePrefix="0" xfId="2">
      <alignment horizontal="center" vertical="center"/>
    </xf>
    <xf numFmtId="0" fontId="10" fillId="6" borderId="13" applyAlignment="1" pivotButton="0" quotePrefix="0" xfId="2">
      <alignment horizontal="center" vertical="center"/>
    </xf>
    <xf numFmtId="0" fontId="26" fillId="6" borderId="15" applyAlignment="1" pivotButton="0" quotePrefix="0" xfId="2">
      <alignment horizontal="center" vertical="center"/>
    </xf>
    <xf numFmtId="0" fontId="26" fillId="6" borderId="9" applyAlignment="1" pivotButton="0" quotePrefix="0" xfId="2">
      <alignment horizontal="center" vertical="center"/>
    </xf>
    <xf numFmtId="0" fontId="27" fillId="6" borderId="15" applyAlignment="1" pivotButton="0" quotePrefix="0" xfId="2">
      <alignment horizontal="center" vertical="center"/>
    </xf>
    <xf numFmtId="0" fontId="27" fillId="6" borderId="9" applyAlignment="1" pivotButton="0" quotePrefix="0" xfId="2">
      <alignment horizontal="center" vertical="center"/>
    </xf>
    <xf numFmtId="0" fontId="10" fillId="6" borderId="18" applyAlignment="1" pivotButton="0" quotePrefix="0" xfId="2">
      <alignment horizontal="center" vertical="center"/>
    </xf>
    <xf numFmtId="0" fontId="15" fillId="6" borderId="28" applyAlignment="1" pivotButton="0" quotePrefix="0" xfId="2">
      <alignment horizontal="center" vertical="center"/>
    </xf>
    <xf numFmtId="0" fontId="15" fillId="6" borderId="29" applyAlignment="1" pivotButton="0" quotePrefix="0" xfId="2">
      <alignment horizontal="center" vertical="center"/>
    </xf>
    <xf numFmtId="0" fontId="15" fillId="6" borderId="60" applyAlignment="1" pivotButton="0" quotePrefix="0" xfId="2">
      <alignment horizontal="center" vertical="center"/>
    </xf>
    <xf numFmtId="0" fontId="15" fillId="6" borderId="61" applyAlignment="1" pivotButton="0" quotePrefix="0" xfId="2">
      <alignment horizontal="center" vertical="center"/>
    </xf>
    <xf numFmtId="0" fontId="15" fillId="4" borderId="12" applyAlignment="1" pivotButton="0" quotePrefix="0" xfId="2">
      <alignment horizontal="center" vertical="center" wrapText="1"/>
    </xf>
    <xf numFmtId="0" fontId="15" fillId="4" borderId="15" applyAlignment="1" pivotButton="0" quotePrefix="0" xfId="2">
      <alignment horizontal="center" vertical="center" wrapText="1"/>
    </xf>
    <xf numFmtId="0" fontId="15" fillId="4" borderId="17" applyAlignment="1" pivotButton="0" quotePrefix="0" xfId="2">
      <alignment horizontal="center" vertical="center" wrapText="1"/>
    </xf>
    <xf numFmtId="0" fontId="15" fillId="4" borderId="54" applyAlignment="1" pivotButton="0" quotePrefix="0" xfId="2">
      <alignment horizontal="center" vertical="center" wrapText="1"/>
    </xf>
    <xf numFmtId="0" fontId="15" fillId="4" borderId="9" applyAlignment="1" pivotButton="0" quotePrefix="0" xfId="2">
      <alignment horizontal="center" vertical="center" wrapText="1"/>
    </xf>
    <xf numFmtId="0" fontId="15" fillId="4" borderId="18" applyAlignment="1" pivotButton="0" quotePrefix="0" xfId="2">
      <alignment horizontal="center" vertical="center" wrapText="1"/>
    </xf>
    <xf numFmtId="0" fontId="15" fillId="4" borderId="56" applyAlignment="1" pivotButton="0" quotePrefix="0" xfId="2">
      <alignment horizontal="center" vertical="center"/>
    </xf>
    <xf numFmtId="0" fontId="15" fillId="4" borderId="40" applyAlignment="1" pivotButton="0" quotePrefix="0" xfId="2">
      <alignment horizontal="center" vertical="center"/>
    </xf>
    <xf numFmtId="0" fontId="15" fillId="4" borderId="17" applyAlignment="1" pivotButton="0" quotePrefix="0" xfId="2">
      <alignment horizontal="center" vertical="center"/>
    </xf>
    <xf numFmtId="0" fontId="15" fillId="4" borderId="25" applyAlignment="1" pivotButton="0" quotePrefix="0" xfId="2">
      <alignment horizontal="center" vertical="center" wrapText="1"/>
    </xf>
    <xf numFmtId="0" fontId="15" fillId="4" borderId="40" applyAlignment="1" pivotButton="0" quotePrefix="0" xfId="2">
      <alignment horizontal="center" vertical="center" wrapText="1"/>
    </xf>
    <xf numFmtId="0" fontId="15" fillId="4" borderId="57" applyAlignment="1" pivotButton="0" quotePrefix="0" xfId="2">
      <alignment horizontal="center" vertical="center" wrapText="1"/>
    </xf>
    <xf numFmtId="0" fontId="82" fillId="3" borderId="12" applyAlignment="1" pivotButton="0" quotePrefix="0" xfId="1">
      <alignment horizontal="center" vertical="center"/>
    </xf>
    <xf numFmtId="0" fontId="82" fillId="3" borderId="13" applyAlignment="1" pivotButton="0" quotePrefix="0" xfId="1">
      <alignment horizontal="center" vertical="center"/>
    </xf>
    <xf numFmtId="0" fontId="82" fillId="3" borderId="23" applyAlignment="1" pivotButton="0" quotePrefix="0" xfId="1">
      <alignment horizontal="center" vertical="center"/>
    </xf>
    <xf numFmtId="0" fontId="82" fillId="3" borderId="20" applyAlignment="1" pivotButton="0" quotePrefix="0" xfId="1">
      <alignment horizontal="center" vertical="center"/>
    </xf>
    <xf numFmtId="0" fontId="83" fillId="3" borderId="13" applyAlignment="1" pivotButton="0" quotePrefix="0" xfId="5">
      <alignment horizontal="center" vertical="center" wrapText="1"/>
    </xf>
    <xf numFmtId="0" fontId="82" fillId="3" borderId="23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11" fillId="3" borderId="12" applyAlignment="1" pivotButton="0" quotePrefix="0" xfId="3">
      <alignment horizontal="center" vertical="center" wrapText="1"/>
    </xf>
    <xf numFmtId="0" fontId="11" fillId="3" borderId="13" applyAlignment="1" pivotButton="0" quotePrefix="0" xfId="3">
      <alignment horizontal="center" vertical="center" wrapText="1"/>
    </xf>
    <xf numFmtId="0" fontId="11" fillId="3" borderId="15" applyAlignment="1" pivotButton="0" quotePrefix="0" xfId="3">
      <alignment horizontal="center" vertical="center" wrapText="1"/>
    </xf>
    <xf numFmtId="0" fontId="11" fillId="3" borderId="20" applyAlignment="1" pivotButton="0" quotePrefix="0" xfId="3">
      <alignment horizontal="center" vertical="center" wrapText="1"/>
    </xf>
    <xf numFmtId="0" fontId="11" fillId="3" borderId="35" applyAlignment="1" pivotButton="0" quotePrefix="0" xfId="3">
      <alignment horizontal="center" vertical="center" wrapText="1"/>
    </xf>
    <xf numFmtId="0" fontId="11" fillId="3" borderId="36" applyAlignment="1" pivotButton="0" quotePrefix="0" xfId="3">
      <alignment horizontal="center" vertical="center" wrapText="1"/>
    </xf>
    <xf numFmtId="0" fontId="11" fillId="3" borderId="37" applyAlignment="1" pivotButton="0" quotePrefix="0" xfId="3">
      <alignment horizontal="center" vertical="center" wrapText="1"/>
    </xf>
    <xf numFmtId="0" fontId="10" fillId="6" borderId="38" applyAlignment="1" pivotButton="0" quotePrefix="0" xfId="3">
      <alignment horizontal="center" vertical="center" wrapText="1"/>
    </xf>
    <xf numFmtId="0" fontId="10" fillId="6" borderId="39" applyAlignment="1" pivotButton="0" quotePrefix="0" xfId="3">
      <alignment horizontal="center" vertical="center" wrapText="1"/>
    </xf>
    <xf numFmtId="0" fontId="11" fillId="3" borderId="0" applyAlignment="1" pivotButton="0" quotePrefix="0" xfId="1">
      <alignment horizontal="left" vertical="center"/>
    </xf>
    <xf numFmtId="0" fontId="36" fillId="2" borderId="0" applyAlignment="1" pivotButton="0" quotePrefix="0" xfId="1">
      <alignment horizontal="left" vertical="center"/>
    </xf>
    <xf numFmtId="0" fontId="10" fillId="6" borderId="33" applyAlignment="1" pivotButton="0" quotePrefix="0" xfId="3">
      <alignment horizontal="center" vertical="center" wrapText="1"/>
    </xf>
    <xf numFmtId="0" fontId="10" fillId="6" borderId="31" applyAlignment="1" pivotButton="0" quotePrefix="0" xfId="3">
      <alignment horizontal="center" vertical="center" wrapText="1"/>
    </xf>
    <xf numFmtId="0" fontId="28" fillId="2" borderId="0" applyAlignment="1" pivotButton="0" quotePrefix="0" xfId="1">
      <alignment horizontal="left" vertical="center"/>
    </xf>
    <xf numFmtId="0" fontId="31" fillId="2" borderId="0" applyAlignment="1" pivotButton="0" quotePrefix="0" xfId="1">
      <alignment horizontal="left" vertical="center"/>
    </xf>
    <xf numFmtId="0" fontId="11" fillId="3" borderId="25" applyAlignment="1" pivotButton="0" quotePrefix="0" xfId="3">
      <alignment horizontal="center" vertical="center" wrapText="1"/>
    </xf>
    <xf numFmtId="0" fontId="11" fillId="3" borderId="21" applyAlignment="1" pivotButton="0" quotePrefix="0" xfId="3">
      <alignment horizontal="center" vertical="center" wrapText="1"/>
    </xf>
    <xf numFmtId="0" fontId="11" fillId="3" borderId="40" applyAlignment="1" pivotButton="0" quotePrefix="0" xfId="3">
      <alignment horizontal="center" vertical="center" wrapText="1"/>
    </xf>
    <xf numFmtId="0" fontId="11" fillId="3" borderId="24" applyAlignment="1" pivotButton="0" quotePrefix="0" xfId="3">
      <alignment horizontal="center" vertical="center" wrapText="1"/>
    </xf>
    <xf numFmtId="0" fontId="32" fillId="4" borderId="15" applyAlignment="1" pivotButton="0" quotePrefix="0" xfId="3">
      <alignment horizontal="center" vertical="center" wrapText="1"/>
    </xf>
    <xf numFmtId="0" fontId="32" fillId="4" borderId="9" applyAlignment="1" pivotButton="0" quotePrefix="0" xfId="3">
      <alignment horizontal="center" vertical="center" wrapText="1"/>
    </xf>
    <xf numFmtId="0" fontId="16" fillId="2" borderId="9" applyAlignment="1" pivotButton="0" quotePrefix="0" xfId="8">
      <alignment horizontal="center" vertical="center"/>
    </xf>
    <xf numFmtId="0" fontId="21" fillId="3" borderId="9" applyAlignment="1" pivotButton="0" quotePrefix="0" xfId="2">
      <alignment horizontal="center" vertical="center"/>
    </xf>
    <xf numFmtId="0" fontId="21" fillId="3" borderId="4" applyAlignment="1" pivotButton="0" quotePrefix="0" xfId="2">
      <alignment horizontal="center" vertical="center"/>
    </xf>
    <xf numFmtId="0" fontId="21" fillId="3" borderId="5" applyAlignment="1" pivotButton="0" quotePrefix="0" xfId="2">
      <alignment horizontal="center" vertical="center"/>
    </xf>
    <xf numFmtId="0" fontId="21" fillId="3" borderId="6" applyAlignment="1" pivotButton="0" quotePrefix="0" xfId="2">
      <alignment horizontal="center" vertical="center"/>
    </xf>
    <xf numFmtId="0" fontId="16" fillId="2" borderId="9" applyAlignment="1" pivotButton="0" quotePrefix="0" xfId="7">
      <alignment horizontal="center" vertical="center"/>
    </xf>
    <xf numFmtId="0" fontId="45" fillId="3" borderId="4" applyAlignment="1" pivotButton="0" quotePrefix="0" xfId="2">
      <alignment horizontal="left" vertical="center"/>
    </xf>
    <xf numFmtId="0" fontId="45" fillId="3" borderId="6" applyAlignment="1" pivotButton="0" quotePrefix="0" xfId="2">
      <alignment horizontal="left" vertical="center"/>
    </xf>
    <xf numFmtId="0" fontId="7" fillId="2" borderId="9" applyAlignment="1" pivotButton="0" quotePrefix="0" xfId="2">
      <alignment horizontal="center" vertical="center"/>
    </xf>
    <xf numFmtId="0" fontId="15" fillId="2" borderId="59" applyAlignment="1" pivotButton="0" quotePrefix="0" xfId="2">
      <alignment horizontal="left" vertical="center"/>
    </xf>
    <xf numFmtId="0" fontId="15" fillId="2" borderId="62" applyAlignment="1" pivotButton="0" quotePrefix="0" xfId="2">
      <alignment horizontal="left" vertical="center"/>
    </xf>
    <xf numFmtId="0" fontId="15" fillId="2" borderId="39" applyAlignment="1" pivotButton="0" quotePrefix="0" xfId="2">
      <alignment horizontal="left" vertical="center"/>
    </xf>
    <xf numFmtId="0" fontId="15" fillId="2" borderId="4" applyAlignment="1" pivotButton="0" quotePrefix="0" xfId="7">
      <alignment horizontal="left" vertical="center" wrapText="1"/>
    </xf>
    <xf numFmtId="0" fontId="15" fillId="2" borderId="5" applyAlignment="1" pivotButton="0" quotePrefix="0" xfId="7">
      <alignment horizontal="left" vertical="center" wrapText="1"/>
    </xf>
    <xf numFmtId="0" fontId="15" fillId="2" borderId="6" applyAlignment="1" pivotButton="0" quotePrefix="0" xfId="7">
      <alignment horizontal="left" vertical="center" wrapText="1"/>
    </xf>
    <xf numFmtId="0" fontId="15" fillId="2" borderId="4" applyAlignment="1" pivotButton="0" quotePrefix="0" xfId="2">
      <alignment horizontal="left" vertical="center"/>
    </xf>
    <xf numFmtId="0" fontId="15" fillId="2" borderId="5" applyAlignment="1" pivotButton="0" quotePrefix="0" xfId="2">
      <alignment horizontal="left" vertical="center"/>
    </xf>
    <xf numFmtId="0" fontId="15" fillId="2" borderId="6" applyAlignment="1" pivotButton="0" quotePrefix="0" xfId="2">
      <alignment horizontal="left" vertical="center"/>
    </xf>
    <xf numFmtId="0" fontId="13" fillId="6" borderId="42" applyAlignment="1" pivotButton="0" quotePrefix="0" xfId="8">
      <alignment horizontal="center" vertical="center"/>
    </xf>
    <xf numFmtId="0" fontId="21" fillId="3" borderId="28" applyAlignment="1" applyProtection="1" pivotButton="0" quotePrefix="0" xfId="3">
      <alignment horizontal="center" vertical="center" wrapText="1"/>
      <protection locked="0" hidden="0"/>
    </xf>
    <xf numFmtId="0" fontId="21" fillId="3" borderId="30" applyAlignment="1" applyProtection="1" pivotButton="0" quotePrefix="0" xfId="3">
      <alignment horizontal="center" vertical="center" wrapText="1"/>
      <protection locked="0" hidden="0"/>
    </xf>
    <xf numFmtId="0" fontId="21" fillId="3" borderId="32" applyAlignment="1" applyProtection="1" pivotButton="0" quotePrefix="0" xfId="3">
      <alignment horizontal="center" vertical="center" wrapText="1"/>
      <protection locked="0" hidden="0"/>
    </xf>
    <xf numFmtId="0" fontId="21" fillId="3" borderId="29" applyAlignment="1" applyProtection="1" pivotButton="0" quotePrefix="0" xfId="3">
      <alignment horizontal="center" vertical="center" wrapText="1"/>
      <protection locked="0" hidden="0"/>
    </xf>
    <xf numFmtId="0" fontId="7" fillId="4" borderId="12" applyAlignment="1" pivotButton="0" quotePrefix="0" xfId="2">
      <alignment horizontal="center" vertical="center" wrapText="1"/>
    </xf>
    <xf numFmtId="0" fontId="7" fillId="4" borderId="13" applyAlignment="1" pivotButton="0" quotePrefix="0" xfId="2">
      <alignment horizontal="center" vertical="center" wrapText="1"/>
    </xf>
    <xf numFmtId="0" fontId="7" fillId="4" borderId="15" applyAlignment="1" pivotButton="0" quotePrefix="0" xfId="2">
      <alignment horizontal="center" vertical="center" wrapText="1"/>
    </xf>
    <xf numFmtId="0" fontId="7" fillId="4" borderId="9" applyAlignment="1" pivotButton="0" quotePrefix="0" xfId="2">
      <alignment horizontal="center" vertical="center" wrapText="1"/>
    </xf>
    <xf numFmtId="0" fontId="15" fillId="2" borderId="20" applyAlignment="1" pivotButton="0" quotePrefix="0" xfId="7">
      <alignment horizontal="left" vertical="center" wrapText="1"/>
    </xf>
    <xf numFmtId="0" fontId="15" fillId="2" borderId="35" applyAlignment="1" pivotButton="0" quotePrefix="0" xfId="7">
      <alignment horizontal="left" vertical="center" wrapText="1"/>
    </xf>
    <xf numFmtId="0" fontId="15" fillId="2" borderId="36" applyAlignment="1" pivotButton="0" quotePrefix="0" xfId="7">
      <alignment horizontal="left" vertical="center" wrapText="1"/>
    </xf>
    <xf numFmtId="0" fontId="15" fillId="0" borderId="4" applyAlignment="1" pivotButton="0" quotePrefix="0" xfId="2">
      <alignment horizontal="left" vertical="center"/>
    </xf>
    <xf numFmtId="0" fontId="15" fillId="0" borderId="5" applyAlignment="1" pivotButton="0" quotePrefix="0" xfId="2">
      <alignment horizontal="left" vertical="center"/>
    </xf>
    <xf numFmtId="0" fontId="15" fillId="0" borderId="6" applyAlignment="1" pivotButton="0" quotePrefix="0" xfId="2">
      <alignment horizontal="left" vertical="center"/>
    </xf>
    <xf numFmtId="0" fontId="7" fillId="4" borderId="22" applyAlignment="1" pivotButton="0" quotePrefix="0" xfId="2">
      <alignment horizontal="center" vertical="center" wrapText="1"/>
    </xf>
    <xf numFmtId="0" fontId="7" fillId="4" borderId="23" applyAlignment="1" pivotButton="0" quotePrefix="0" xfId="2">
      <alignment horizontal="center" vertical="center" wrapText="1"/>
    </xf>
    <xf numFmtId="0" fontId="7" fillId="4" borderId="17" applyAlignment="1" pivotButton="0" quotePrefix="0" xfId="2">
      <alignment horizontal="center" vertical="center" wrapText="1"/>
    </xf>
    <xf numFmtId="0" fontId="7" fillId="4" borderId="18" applyAlignment="1" pivotButton="0" quotePrefix="0" xfId="2">
      <alignment horizontal="center" vertical="center" wrapText="1"/>
    </xf>
    <xf numFmtId="0" fontId="15" fillId="2" borderId="20" applyAlignment="1" pivotButton="0" quotePrefix="0" xfId="2">
      <alignment horizontal="left" vertical="center"/>
    </xf>
    <xf numFmtId="0" fontId="15" fillId="2" borderId="35" applyAlignment="1" pivotButton="0" quotePrefix="0" xfId="2">
      <alignment horizontal="left" vertical="center"/>
    </xf>
    <xf numFmtId="0" fontId="15" fillId="2" borderId="36" applyAlignment="1" pivotButton="0" quotePrefix="0" xfId="2">
      <alignment horizontal="left" vertical="center"/>
    </xf>
    <xf numFmtId="0" fontId="7" fillId="4" borderId="12" applyAlignment="1" pivotButton="0" quotePrefix="0" xfId="2">
      <alignment horizontal="center" vertical="center"/>
    </xf>
    <xf numFmtId="0" fontId="7" fillId="4" borderId="13" applyAlignment="1" pivotButton="0" quotePrefix="0" xfId="2">
      <alignment horizontal="center" vertical="center"/>
    </xf>
    <xf numFmtId="0" fontId="7" fillId="4" borderId="40" applyAlignment="1" pivotButton="0" quotePrefix="0" xfId="2">
      <alignment horizontal="center" vertical="center"/>
    </xf>
    <xf numFmtId="0" fontId="7" fillId="4" borderId="24" applyAlignment="1" pivotButton="0" quotePrefix="0" xfId="2">
      <alignment horizontal="center" vertical="center"/>
    </xf>
    <xf numFmtId="0" fontId="7" fillId="4" borderId="17" applyAlignment="1" pivotButton="0" quotePrefix="0" xfId="2">
      <alignment horizontal="center" vertical="center"/>
    </xf>
    <xf numFmtId="0" fontId="7" fillId="4" borderId="18" applyAlignment="1" pivotButton="0" quotePrefix="0" xfId="2">
      <alignment horizontal="center" vertical="center"/>
    </xf>
    <xf numFmtId="0" fontId="15" fillId="0" borderId="20" applyAlignment="1" pivotButton="0" quotePrefix="0" xfId="2">
      <alignment horizontal="left" vertical="center"/>
    </xf>
    <xf numFmtId="0" fontId="15" fillId="0" borderId="35" applyAlignment="1" pivotButton="0" quotePrefix="0" xfId="2">
      <alignment horizontal="left" vertical="center"/>
    </xf>
    <xf numFmtId="0" fontId="15" fillId="0" borderId="36" applyAlignment="1" pivotButton="0" quotePrefix="0" xfId="2">
      <alignment horizontal="left" vertical="center"/>
    </xf>
    <xf numFmtId="0" fontId="15" fillId="0" borderId="59" applyAlignment="1" pivotButton="0" quotePrefix="0" xfId="2">
      <alignment horizontal="left" vertical="center"/>
    </xf>
    <xf numFmtId="0" fontId="15" fillId="0" borderId="62" applyAlignment="1" pivotButton="0" quotePrefix="0" xfId="2">
      <alignment horizontal="left" vertical="center"/>
    </xf>
    <xf numFmtId="0" fontId="15" fillId="0" borderId="39" applyAlignment="1" pivotButton="0" quotePrefix="0" xfId="2">
      <alignment horizontal="left" vertical="center"/>
    </xf>
    <xf numFmtId="0" fontId="7" fillId="4" borderId="33" applyAlignment="1" pivotButton="0" quotePrefix="0" xfId="2">
      <alignment horizontal="center" vertical="center"/>
    </xf>
    <xf numFmtId="0" fontId="7" fillId="4" borderId="31" applyAlignment="1" pivotButton="0" quotePrefix="0" xfId="2">
      <alignment horizontal="center" vertical="center"/>
    </xf>
    <xf numFmtId="0" fontId="15" fillId="0" borderId="31" applyAlignment="1" pivotButton="0" quotePrefix="0" xfId="7">
      <alignment horizontal="left" vertical="center" wrapText="1"/>
    </xf>
    <xf numFmtId="0" fontId="7" fillId="4" borderId="15" applyAlignment="1" pivotButton="0" quotePrefix="0" xfId="2">
      <alignment horizontal="center" vertical="center"/>
    </xf>
    <xf numFmtId="0" fontId="7" fillId="4" borderId="9" applyAlignment="1" pivotButton="0" quotePrefix="0" xfId="2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74" fillId="2" borderId="9" applyAlignment="1" pivotButton="0" quotePrefix="0" xfId="11">
      <alignment horizontal="center" vertical="center" wrapText="1"/>
    </xf>
    <xf numFmtId="0" fontId="0" fillId="0" borderId="63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5" pivotButton="0" quotePrefix="0" xfId="0"/>
    <xf numFmtId="0" fontId="7" fillId="2" borderId="9" applyAlignment="1" pivotButton="0" quotePrefix="0" xfId="4">
      <alignment horizontal="center" vertical="center" wrapText="1"/>
    </xf>
    <xf numFmtId="0" fontId="0" fillId="0" borderId="54" pivotButton="0" quotePrefix="0" xfId="0"/>
    <xf numFmtId="0" fontId="0" fillId="0" borderId="35" pivotButton="0" quotePrefix="0" xfId="0"/>
    <xf numFmtId="0" fontId="0" fillId="0" borderId="36" pivotButton="0" quotePrefix="0" xfId="0"/>
    <xf numFmtId="0" fontId="15" fillId="4" borderId="33" applyAlignment="1" pivotButton="0" quotePrefix="0" xfId="2">
      <alignment horizontal="center" vertical="center" wrapText="1"/>
    </xf>
    <xf numFmtId="0" fontId="0" fillId="0" borderId="40" pivotButton="0" quotePrefix="0" xfId="0"/>
    <xf numFmtId="0" fontId="0" fillId="0" borderId="57" pivotButton="0" quotePrefix="0" xfId="0"/>
    <xf numFmtId="0" fontId="0" fillId="0" borderId="56" pivotButton="0" quotePrefix="0" xfId="0"/>
    <xf numFmtId="0" fontId="0" fillId="0" borderId="24" pivotButton="0" quotePrefix="0" xfId="0"/>
    <xf numFmtId="0" fontId="15" fillId="6" borderId="33" applyAlignment="1" pivotButton="0" quotePrefix="0" xfId="2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62" pivotButton="0" quotePrefix="0" xfId="0"/>
    <xf numFmtId="0" fontId="0" fillId="0" borderId="39" pivotButton="0" quotePrefix="0" xfId="0"/>
    <xf numFmtId="0" fontId="0" fillId="0" borderId="65" pivotButton="0" quotePrefix="0" xfId="0"/>
    <xf numFmtId="0" fontId="11" fillId="3" borderId="14" applyAlignment="1" pivotButton="0" quotePrefix="0" xfId="3">
      <alignment horizontal="center" vertical="center" wrapText="1"/>
    </xf>
    <xf numFmtId="0" fontId="0" fillId="0" borderId="37" pivotButton="0" quotePrefix="0" xfId="0"/>
    <xf numFmtId="0" fontId="0" fillId="0" borderId="66" pivotButton="0" quotePrefix="0" xfId="0"/>
    <xf numFmtId="0" fontId="0" fillId="0" borderId="10" pivotButton="0" quotePrefix="0" xfId="0"/>
    <xf numFmtId="0" fontId="0" fillId="0" borderId="68" pivotButton="0" quotePrefix="0" xfId="0"/>
    <xf numFmtId="0" fontId="10" fillId="6" borderId="17" applyAlignment="1" pivotButton="0" quotePrefix="0" xfId="3">
      <alignment horizontal="center" vertical="center" wrapText="1"/>
    </xf>
    <xf numFmtId="0" fontId="45" fillId="3" borderId="9" applyAlignment="1" pivotButton="0" quotePrefix="0" xfId="2">
      <alignment horizontal="left" vertical="center"/>
    </xf>
    <xf numFmtId="0" fontId="0" fillId="0" borderId="71" pivotButton="0" quotePrefix="0" xfId="0"/>
    <xf numFmtId="0" fontId="0" fillId="0" borderId="72" pivotButton="0" quotePrefix="0" xfId="0"/>
    <xf numFmtId="0" fontId="21" fillId="3" borderId="33" applyAlignment="1" applyProtection="1" pivotButton="0" quotePrefix="0" xfId="3">
      <alignment horizontal="center" vertical="center" wrapText="1"/>
      <protection locked="0" hidden="0"/>
    </xf>
    <xf numFmtId="0" fontId="0" fillId="0" borderId="30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15" fillId="2" borderId="13" applyAlignment="1" pivotButton="0" quotePrefix="0" xfId="7">
      <alignment vertical="center" wrapText="1"/>
    </xf>
    <xf numFmtId="0" fontId="15" fillId="2" borderId="9" applyAlignment="1" pivotButton="0" quotePrefix="0" xfId="7">
      <alignment vertical="center" wrapText="1"/>
    </xf>
    <xf numFmtId="0" fontId="15" fillId="2" borderId="9" applyAlignment="1" pivotButton="0" quotePrefix="0" xfId="2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15" fillId="2" borderId="13" applyAlignment="1" pivotButton="0" quotePrefix="0" xfId="2">
      <alignment vertical="center" wrapText="1"/>
    </xf>
    <xf numFmtId="0" fontId="15" fillId="0" borderId="9" applyAlignment="1" pivotButton="0" quotePrefix="0" xfId="2">
      <alignment vertical="center" wrapText="1"/>
    </xf>
    <xf numFmtId="0" fontId="15" fillId="2" borderId="9" applyAlignment="1" pivotButton="0" quotePrefix="0" xfId="2">
      <alignment horizontal="left" vertical="center"/>
    </xf>
    <xf numFmtId="0" fontId="15" fillId="2" borderId="18" applyAlignment="1" pivotButton="0" quotePrefix="0" xfId="2">
      <alignment horizontal="left" vertical="center"/>
    </xf>
    <xf numFmtId="0" fontId="15" fillId="2" borderId="13" applyAlignment="1" pivotButton="0" quotePrefix="0" xfId="2">
      <alignment horizontal="left" vertical="center"/>
    </xf>
    <xf numFmtId="0" fontId="15" fillId="0" borderId="9" applyAlignment="1" pivotButton="0" quotePrefix="0" xfId="2">
      <alignment horizontal="left" vertical="center"/>
    </xf>
    <xf numFmtId="0" fontId="15" fillId="0" borderId="18" applyAlignment="1" pivotButton="0" quotePrefix="0" xfId="2">
      <alignment horizontal="left" vertical="center"/>
    </xf>
    <xf numFmtId="0" fontId="15" fillId="0" borderId="13" applyAlignment="1" pivotButton="0" quotePrefix="0" xfId="2">
      <alignment horizontal="left" vertical="center"/>
    </xf>
    <xf numFmtId="0" fontId="90" fillId="4" borderId="12" applyAlignment="1" pivotButton="0" quotePrefix="0" xfId="2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52" fillId="2" borderId="9" applyAlignment="1" pivotButton="0" quotePrefix="0" xfId="2">
      <alignment vertical="top" wrapText="1"/>
    </xf>
    <xf numFmtId="0" fontId="15" fillId="2" borderId="9" applyAlignment="1" pivotButton="0" quotePrefix="0" xfId="2">
      <alignment vertical="top" wrapText="1"/>
    </xf>
  </cellXfs>
  <cellStyles count="177">
    <cellStyle name="표준" xfId="0" builtinId="0"/>
    <cellStyle name="표준 13" xfId="1"/>
    <cellStyle name="표준 2" xfId="2"/>
    <cellStyle name="표준 2 10" xfId="3"/>
    <cellStyle name="표준_서버 취약점 진단 요약보고서_기간계업무_계정계서버_1" xfId="4"/>
    <cellStyle name="하이퍼링크" xfId="5" builtinId="8"/>
    <cellStyle name="표준_정보통신부_취약점진단결과_우체국금융_서버_0708_v0.7" xfId="6"/>
    <cellStyle name="표준 40" xfId="7"/>
    <cellStyle name="표준 9" xfId="8"/>
    <cellStyle name="표준 14" xfId="9"/>
    <cellStyle name="표준 3" xfId="10"/>
    <cellStyle name="표준 41 6 2" xfId="11"/>
    <cellStyle name="표준 6" xfId="12"/>
    <cellStyle name="20% - 강조색1 2" xfId="13"/>
    <cellStyle name="20% - 강조색1 3" xfId="14"/>
    <cellStyle name="20% - 강조색1 4" xfId="15"/>
    <cellStyle name="20% - 강조색2 2" xfId="16"/>
    <cellStyle name="20% - 강조색2 3" xfId="17"/>
    <cellStyle name="20% - 강조색2 4" xfId="18"/>
    <cellStyle name="20% - 강조색3 2" xfId="19"/>
    <cellStyle name="20% - 강조색3 3" xfId="20"/>
    <cellStyle name="20% - 강조색3 4" xfId="21"/>
    <cellStyle name="20% - 강조색4 2" xfId="22"/>
    <cellStyle name="20% - 강조색4 3" xfId="23"/>
    <cellStyle name="20% - 강조색4 4" xfId="24"/>
    <cellStyle name="20% - 강조색5 2" xfId="25"/>
    <cellStyle name="20% - 강조색5 3" xfId="26"/>
    <cellStyle name="20% - 강조색5 4" xfId="27"/>
    <cellStyle name="20% - 강조색6 2" xfId="28"/>
    <cellStyle name="20% - 강조색6 3" xfId="29"/>
    <cellStyle name="20% - 강조색6 4" xfId="30"/>
    <cellStyle name="40% - 강조색1 2" xfId="31"/>
    <cellStyle name="40% - 강조색1 3" xfId="32"/>
    <cellStyle name="40% - 강조색1 4" xfId="33"/>
    <cellStyle name="40% - 강조색2 2" xfId="34"/>
    <cellStyle name="40% - 강조색2 3" xfId="35"/>
    <cellStyle name="40% - 강조색2 4" xfId="36"/>
    <cellStyle name="40% - 강조색3 2" xfId="37"/>
    <cellStyle name="40% - 강조색3 3" xfId="38"/>
    <cellStyle name="40% - 강조색3 4" xfId="39"/>
    <cellStyle name="40% - 강조색4 2" xfId="40"/>
    <cellStyle name="40% - 강조색4 3" xfId="41"/>
    <cellStyle name="40% - 강조색4 4" xfId="42"/>
    <cellStyle name="40% - 강조색5 2" xfId="43"/>
    <cellStyle name="40% - 강조색5 3" xfId="44"/>
    <cellStyle name="40% - 강조색5 4" xfId="45"/>
    <cellStyle name="40% - 강조색6 2" xfId="46"/>
    <cellStyle name="40% - 강조색6 3" xfId="47"/>
    <cellStyle name="40% - 강조색6 4" xfId="48"/>
    <cellStyle name="60% - 강조색1 2" xfId="49"/>
    <cellStyle name="60% - 강조색1 3" xfId="50"/>
    <cellStyle name="60% - 강조색1 4" xfId="51"/>
    <cellStyle name="60% - 강조색2 2" xfId="52"/>
    <cellStyle name="60% - 강조색2 3" xfId="53"/>
    <cellStyle name="60% - 강조색2 4" xfId="54"/>
    <cellStyle name="60% - 강조색3 2" xfId="55"/>
    <cellStyle name="60% - 강조색3 3" xfId="56"/>
    <cellStyle name="60% - 강조색3 4" xfId="57"/>
    <cellStyle name="60% - 강조색4 2" xfId="58"/>
    <cellStyle name="60% - 강조색4 3" xfId="59"/>
    <cellStyle name="60% - 강조색4 4" xfId="60"/>
    <cellStyle name="60% - 강조색5 2" xfId="61"/>
    <cellStyle name="60% - 강조색5 3" xfId="62"/>
    <cellStyle name="60% - 강조색5 4" xfId="63"/>
    <cellStyle name="60% - 강조색6 2" xfId="64"/>
    <cellStyle name="60% - 강조색6 3" xfId="65"/>
    <cellStyle name="60% - 강조색6 4" xfId="66"/>
    <cellStyle name="강조색1 2" xfId="67"/>
    <cellStyle name="강조색1 3" xfId="68"/>
    <cellStyle name="강조색1 4" xfId="69"/>
    <cellStyle name="강조색2 2" xfId="70"/>
    <cellStyle name="강조색2 3" xfId="71"/>
    <cellStyle name="강조색2 4" xfId="72"/>
    <cellStyle name="강조색3 2" xfId="73"/>
    <cellStyle name="강조색3 3" xfId="74"/>
    <cellStyle name="강조색3 4" xfId="75"/>
    <cellStyle name="강조색4 2" xfId="76"/>
    <cellStyle name="강조색4 3" xfId="77"/>
    <cellStyle name="강조색4 4" xfId="78"/>
    <cellStyle name="강조색5 2" xfId="79"/>
    <cellStyle name="강조색5 3" xfId="80"/>
    <cellStyle name="강조색5 4" xfId="81"/>
    <cellStyle name="강조색6 2" xfId="82"/>
    <cellStyle name="강조색6 3" xfId="83"/>
    <cellStyle name="강조색6 4" xfId="84"/>
    <cellStyle name="경고문 2" xfId="85"/>
    <cellStyle name="경고문 3" xfId="86"/>
    <cellStyle name="경고문 4" xfId="87"/>
    <cellStyle name="계산 2" xfId="88"/>
    <cellStyle name="계산 3" xfId="89"/>
    <cellStyle name="계산 4" xfId="90"/>
    <cellStyle name="나쁨 2" xfId="91"/>
    <cellStyle name="나쁨 3" xfId="92"/>
    <cellStyle name="나쁨 3 2" xfId="93"/>
    <cellStyle name="나쁨 3 3" xfId="94"/>
    <cellStyle name="나쁨 3 4" xfId="95"/>
    <cellStyle name="나쁨 4" xfId="96"/>
    <cellStyle name="나쁨 5" xfId="97"/>
    <cellStyle name="메모 2" xfId="98"/>
    <cellStyle name="메모 3" xfId="99"/>
    <cellStyle name="메모 4" xfId="100"/>
    <cellStyle name="보통 2" xfId="101"/>
    <cellStyle name="보통 3" xfId="102"/>
    <cellStyle name="보통 4" xfId="103"/>
    <cellStyle name="보통 5" xfId="104"/>
    <cellStyle name="보통 6" xfId="105"/>
    <cellStyle name="설명 텍스트 2" xfId="106"/>
    <cellStyle name="설명 텍스트 3" xfId="107"/>
    <cellStyle name="설명 텍스트 4" xfId="108"/>
    <cellStyle name="셀 확인 2" xfId="109"/>
    <cellStyle name="셀 확인 3" xfId="110"/>
    <cellStyle name="셀 확인 4" xfId="111"/>
    <cellStyle name="연결된 셀 2" xfId="112"/>
    <cellStyle name="연결된 셀 3" xfId="113"/>
    <cellStyle name="연결된 셀 4" xfId="114"/>
    <cellStyle name="요약 2" xfId="115"/>
    <cellStyle name="요약 3" xfId="116"/>
    <cellStyle name="요약 4" xfId="117"/>
    <cellStyle name="입력 2" xfId="118"/>
    <cellStyle name="입력 3" xfId="119"/>
    <cellStyle name="입력 4" xfId="120"/>
    <cellStyle name="제목 1 2" xfId="121"/>
    <cellStyle name="제목 1 3" xfId="122"/>
    <cellStyle name="제목 1 4" xfId="123"/>
    <cellStyle name="제목 2 2" xfId="124"/>
    <cellStyle name="제목 2 3" xfId="125"/>
    <cellStyle name="제목 2 4" xfId="126"/>
    <cellStyle name="제목 3 2" xfId="127"/>
    <cellStyle name="제목 3 3" xfId="128"/>
    <cellStyle name="제목 3 4" xfId="129"/>
    <cellStyle name="제목 4 2" xfId="130"/>
    <cellStyle name="제목 4 3" xfId="131"/>
    <cellStyle name="제목 4 4" xfId="132"/>
    <cellStyle name="제목 5" xfId="133"/>
    <cellStyle name="제목 6" xfId="134"/>
    <cellStyle name="제목 7" xfId="135"/>
    <cellStyle name="좋음 2" xfId="136"/>
    <cellStyle name="좋음 3" xfId="137"/>
    <cellStyle name="좋음 4" xfId="138"/>
    <cellStyle name="출력 2" xfId="139"/>
    <cellStyle name="출력 3" xfId="140"/>
    <cellStyle name="출력 4" xfId="141"/>
    <cellStyle name="표준 10" xfId="142"/>
    <cellStyle name="표준 2 3" xfId="143"/>
    <cellStyle name="표준 3 3" xfId="144"/>
    <cellStyle name="표준 4" xfId="145"/>
    <cellStyle name="표준 5" xfId="146"/>
    <cellStyle name="표준 52" xfId="147"/>
    <cellStyle name="표준 7" xfId="148"/>
    <cellStyle name="하이퍼링크 2" xfId="149"/>
    <cellStyle name="표준 8" xfId="150"/>
    <cellStyle name="표준 2 2" xfId="151"/>
    <cellStyle name="표준 3 2" xfId="152"/>
    <cellStyle name="Hyperlink" xfId="153"/>
    <cellStyle name="하이퍼링크 2 2" xfId="154"/>
    <cellStyle name="표준 100" xfId="155"/>
    <cellStyle name="표준_롯데홈쇼핑_정보자산목록_v0.1" xfId="156"/>
    <cellStyle name="표준 11" xfId="157"/>
    <cellStyle name="표준 13 3" xfId="158"/>
    <cellStyle name="표준 2 4" xfId="159"/>
    <cellStyle name="표준 2 10 3" xfId="160"/>
    <cellStyle name="하이퍼링크 3" xfId="161"/>
    <cellStyle name="표준 40 2" xfId="162"/>
    <cellStyle name="표준 9 2" xfId="163"/>
    <cellStyle name="표준 14 2" xfId="164"/>
    <cellStyle name="표준 41 6 2 4" xfId="165"/>
    <cellStyle name="표내용" xfId="166"/>
    <cellStyle name="표준 41 6 2 2" xfId="167"/>
    <cellStyle name="표준 41 6 2 3" xfId="168"/>
    <cellStyle name="표준 13 2" xfId="169"/>
    <cellStyle name="표준 2 2 2" xfId="170"/>
    <cellStyle name="표준 2 10 2" xfId="171"/>
    <cellStyle name="표준 12" xfId="172"/>
    <cellStyle name="표준 13 4" xfId="173"/>
    <cellStyle name="표준 9 3" xfId="174"/>
    <cellStyle name="표준 14 3" xfId="175"/>
    <cellStyle name="표준 41 6 2 5" xfId="176"/>
  </cellStyles>
  <dxfs count="32">
    <dxf>
      <font>
        <b val="1"/>
        <color theme="0" tint="-0.249946592608417"/>
      </font>
    </dxf>
    <dxf>
      <font>
        <b val="1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rgb="FFFF0000"/>
      </font>
      <fill>
        <patternFill>
          <bgColor theme="5" tint="0.7999816888943144"/>
        </patternFill>
      </fill>
    </dxf>
    <dxf>
      <font>
        <color theme="0" tint="-0.249946592608417"/>
      </font>
    </dxf>
    <dxf>
      <font>
        <b val="1"/>
        <color theme="0" tint="-0.249946592608417"/>
      </font>
    </dxf>
    <dxf>
      <font>
        <b val="1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4"/>
        </patternFill>
      </fill>
    </dxf>
    <dxf>
      <font>
        <b val="1"/>
        <color rgb="FFFF0000"/>
      </font>
      <fill>
        <patternFill>
          <bgColor theme="5" tint="0.7999816888943144"/>
        </patternFill>
      </fill>
    </dxf>
    <dxf>
      <font>
        <color theme="0" tint="-0.24994659260841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3" defaultTableStyle="TableStyleMedium2" defaultPivotStyle="PivotStyleLight16">
    <tableStyle name="MySqlDefault" pivot="0" table="0" count="2">
      <tableStyleElement type="wholeTable" dxfId="31"/>
      <tableStyleElement type="headerRow" dxfId="30"/>
    </tableStyle>
    <tableStyle name="Normal Style 1 - Accent 1" pivot="0" count="7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Light Style 1 - Accent 1" table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externalLink" Target="/xl/externalLinks/externalLink1.xml" Id="rId9" /><Relationship Type="http://schemas.openxmlformats.org/officeDocument/2006/relationships/externalLink" Target="/xl/externalLinks/externalLink2.xml" Id="rId10" /><Relationship Type="http://schemas.openxmlformats.org/officeDocument/2006/relationships/externalLink" Target="/xl/externalLinks/externalLink3.xml" Id="rId11" /><Relationship Type="http://schemas.openxmlformats.org/officeDocument/2006/relationships/externalLink" Target="/xl/externalLinks/externalLink4.xml" Id="rId12" /><Relationship Type="http://schemas.openxmlformats.org/officeDocument/2006/relationships/externalLink" Target="/xl/externalLinks/externalLink5.xml" Id="rId13" /><Relationship Type="http://schemas.openxmlformats.org/officeDocument/2006/relationships/externalLink" Target="/xl/externalLinks/externalLink6.xml" Id="rId14" /><Relationship Type="http://schemas.openxmlformats.org/officeDocument/2006/relationships/externalLink" Target="/xl/externalLinks/externalLink7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2290494461006029"/>
          <y val="0.1543407105029169"/>
          <w val="0.5637779519689305"/>
          <h val="0.7654525245178072"/>
        </manualLayout>
      </layout>
      <radarChart>
        <radarStyle val="marker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'보안수준 통계'!$A$6:$A$10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'보안수준 통계'!$B$6:$B$10</f>
              <numCache>
                <formatCode>General</formatCode>
                <ptCount val="5"/>
              </numCache>
            </numRef>
          </val>
        </ser>
        <ser>
          <idx val="1"/>
          <order val="1"/>
          <spPr>
            <a:ln>
              <a:solidFill>
                <a:srgbClr val="0070C0"/>
              </a:solidFill>
              <a:prstDash val="solid"/>
            </a:ln>
          </spPr>
          <marker>
            <symbol val="circle"/>
            <size val="7"/>
            <spPr>
              <a:solidFill>
                <a:srgbClr val="0070C0"/>
              </a:solidFill>
              <a:ln>
                <a:prstDash val="solid"/>
              </a:ln>
            </spPr>
          </marker>
          <dLbls>
            <dLbl>
              <idx val="0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sz="1100"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sz="1100"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sz="1100"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sz="1100"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sz="1100"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100" b="0"/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'보안수준 통계'!$A$6:$A$10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'보안수준 통계'!$K$6:$K$10</f>
              <numCache>
                <formatCode>0%</formatCode>
                <ptCount val="5"/>
                <pt idx="0">
                  <v>0.9074074074074074</v>
                </pt>
                <pt idx="1">
                  <v>0.946236559139785</v>
                </pt>
                <pt idx="2">
                  <v>0.9629629629629629</v>
                </pt>
                <pt idx="3">
                  <v>1</v>
                </pt>
                <pt idx="4">
                  <v>0.6666666666666666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500506736"/>
        <axId val="500504776"/>
      </radarChart>
      <catAx>
        <axId val="500506736"/>
        <scaling>
          <orientation val="minMax"/>
        </scaling>
        <delete val="0"/>
        <axPos val="b"/>
        <majorGridlines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sz="1050" b="0"/>
            </a:pPr>
            <a:r>
              <a:t>None</a:t>
            </a:r>
            <a:endParaRPr lang="ko-KR"/>
          </a:p>
        </txPr>
        <crossAx val="500504776"/>
        <crosses val="autoZero"/>
        <auto val="0"/>
        <lblAlgn val="ctr"/>
        <lblOffset val="100"/>
        <noMultiLvlLbl val="0"/>
      </catAx>
      <valAx>
        <axId val="500504776"/>
        <scaling>
          <orientation val="minMax"/>
          <max val="1"/>
          <min val="0"/>
        </scaling>
        <delete val="0"/>
        <axPos val="l"/>
        <majorGridlines/>
        <minorGridlines/>
        <numFmt formatCode="0%" sourceLinked="0"/>
        <majorTickMark val="none"/>
        <minorTickMark val="none"/>
        <tickLblPos val="nextTo"/>
        <crossAx val="500506736"/>
        <crosses val="autoZero"/>
        <crossBetween val="between"/>
        <majorUnit val="0.2"/>
        <minorUnit val="0.2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7734741659316877"/>
          <y val="0.09205064949635501"/>
          <w val="0.8758689576758371"/>
          <h val="0.7764806621213313"/>
        </manualLayout>
      </layout>
      <barChart>
        <barDir val="col"/>
        <grouping val="stacked"/>
        <varyColors val="0"/>
        <ser>
          <idx val="0"/>
          <order val="0"/>
          <spPr>
            <a:ln>
              <a:prstDash val="solid"/>
            </a:ln>
          </spPr>
          <invertIfNegative val="0"/>
          <cat>
            <strRef>
              <f>'보안수준 통계'!$A$6:$A$10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'보안수준 통계'!$B$6:$B$10</f>
              <numCache>
                <formatCode>General</formatCode>
                <ptCount val="5"/>
              </numCache>
            </numRef>
          </val>
        </ser>
        <ser>
          <idx val="1"/>
          <order val="1"/>
          <spPr>
            <a:solidFill>
              <a:schemeClr val="bg1">
                <a:lumMod val="75000"/>
              </a:schemeClr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4F81BD"/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rgbClr val="C0504D"/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rgbClr val="9BBB59"/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rgbClr val="8064A2"/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rgbClr val="4BACC6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100" b="1"/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'보안수준 통계'!$A$6:$A$10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'보안수준 통계'!$K$6:$K$10</f>
              <numCache>
                <formatCode>0%</formatCode>
                <ptCount val="5"/>
                <pt idx="0">
                  <v>0.9074074074074074</v>
                </pt>
                <pt idx="1">
                  <v>0.946236559139785</v>
                </pt>
                <pt idx="2">
                  <v>0.9629629629629629</v>
                </pt>
                <pt idx="3">
                  <v>1</v>
                </pt>
                <pt idx="4">
                  <v>0.6666666666666666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5"/>
        <overlap val="100"/>
        <axId val="500508304"/>
        <axId val="500509088"/>
      </barChart>
      <catAx>
        <axId val="50050830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txPr>
          <a:bodyPr/>
          <a:lstStyle/>
          <a:p>
            <a:pPr>
              <a:defRPr b="0"/>
            </a:pPr>
            <a:r>
              <a:t>None</a:t>
            </a:r>
            <a:endParaRPr lang="ko-KR"/>
          </a:p>
        </txPr>
        <crossAx val="500509088"/>
        <crosses val="autoZero"/>
        <auto val="0"/>
        <lblAlgn val="ctr"/>
        <lblOffset val="100"/>
        <noMultiLvlLbl val="0"/>
      </catAx>
      <valAx>
        <axId val="500509088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b="0"/>
            </a:pPr>
            <a:r>
              <a:t>None</a:t>
            </a:r>
            <a:endParaRPr lang="ko-KR"/>
          </a:p>
        </txPr>
        <crossAx val="500508304"/>
        <crosses val="autoZero"/>
        <crossBetween val="between"/>
        <majorUnit val="0.2"/>
        <minorUnit val="0.1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7873826689375216"/>
          <y val="0.09060357574942869"/>
          <w val="0.8933095683241347"/>
          <h val="0.7093428241025599"/>
        </manualLayout>
      </layout>
      <barChart>
        <barDir val="col"/>
        <grouping val="stacked"/>
        <varyColors val="0"/>
        <ser>
          <idx val="0"/>
          <order val="0"/>
          <spPr>
            <a:ln>
              <a:prstDash val="solid"/>
            </a:ln>
          </spPr>
          <invertIfNegative val="0"/>
          <cat>
            <strRef>
              <f>sample!$A$18:$A$22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sample!$B$18:$B$22</f>
              <numCache>
                <formatCode>General</formatCode>
                <ptCount val="5"/>
              </numCache>
            </numRef>
          </val>
        </ser>
        <ser>
          <idx val="1"/>
          <order val="1"/>
          <spPr>
            <a:ln>
              <a:prstDash val="solid"/>
            </a:ln>
          </spPr>
          <invertIfNegative val="0"/>
          <cat>
            <strRef>
              <f>sample!$A$18:$A$22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sample!$C$18:$C$22</f>
              <numCache>
                <formatCode>General</formatCode>
                <ptCount val="5"/>
              </numCache>
            </numRef>
          </val>
        </ser>
        <ser>
          <idx val="2"/>
          <order val="2"/>
          <spPr>
            <a:solidFill>
              <a:schemeClr val="bg1">
                <a:lumMod val="75000"/>
              </a:schemeClr>
            </a:solidFill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b="1"/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sample!$A$18:$A$22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sample!$L$18:$L$22</f>
              <numCache>
                <formatCode>0%</formatCode>
                <ptCount val="5"/>
                <pt idx="0">
                  <v>0.9074074074074074</v>
                </pt>
                <pt idx="1">
                  <v>0.946236559139785</v>
                </pt>
                <pt idx="2">
                  <v>0.9629629629629629</v>
                </pt>
                <pt idx="3">
                  <v>1</v>
                </pt>
                <pt idx="4">
                  <v>0.6666666666666666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500507912"/>
        <axId val="500504384"/>
      </barChart>
      <catAx>
        <axId val="500507912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b="0"/>
            </a:pPr>
            <a:r>
              <a:t>None</a:t>
            </a:r>
            <a:endParaRPr lang="ko-KR"/>
          </a:p>
        </txPr>
        <crossAx val="500504384"/>
        <crosses val="autoZero"/>
        <auto val="1"/>
        <lblAlgn val="ctr"/>
        <lblOffset val="100"/>
        <noMultiLvlLbl val="0"/>
      </catAx>
      <valAx>
        <axId val="500504384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out"/>
        <minorTickMark val="in"/>
        <tickLblPos val="nextTo"/>
        <crossAx val="500507912"/>
        <crosses val="autoZero"/>
        <crossBetween val="between"/>
        <majorUnit val="0.2"/>
        <minorUnit val="0.1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2441582244892533"/>
          <y val="0.2248395960831725"/>
          <w val="0.5533165709989761"/>
          <h val="0.4992364924240749"/>
        </manualLayout>
      </layout>
      <radarChart>
        <radarStyle val="marker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sample!$A$18:$A$22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sample!$B$18:$B$22</f>
              <numCache>
                <formatCode>General</formatCode>
                <ptCount val="5"/>
              </numCache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sample!$A$18:$A$22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sample!$C$18:$C$22</f>
              <numCache>
                <formatCode>General</formatCode>
                <ptCount val="5"/>
              </numCache>
            </numRef>
          </val>
        </ser>
        <ser>
          <idx val="2"/>
          <order val="2"/>
          <spPr>
            <a:ln w="25400">
              <a:solidFill>
                <a:srgbClr val="0070C0"/>
              </a:solidFill>
              <a:prstDash val="solid"/>
            </a:ln>
          </spPr>
          <marker>
            <symbol val="circle"/>
            <size val="5"/>
            <spPr>
              <a:solidFill>
                <a:srgbClr val="0070C0"/>
              </a:solidFill>
              <a:ln>
                <a:prstDash val="solid"/>
              </a:ln>
            </spPr>
          </marker>
          <dLbls>
            <dLbl>
              <idx val="0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b="0"/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sample!$A$18:$A$22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sample!$L$18:$L$22</f>
              <numCache>
                <formatCode>0%</formatCode>
                <ptCount val="5"/>
                <pt idx="0">
                  <v>0.9074074074074074</v>
                </pt>
                <pt idx="1">
                  <v>0.946236559139785</v>
                </pt>
                <pt idx="2">
                  <v>0.9629629629629629</v>
                </pt>
                <pt idx="3">
                  <v>1</v>
                </pt>
                <pt idx="4">
                  <v>0.6666666666666666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500505168"/>
        <axId val="500507128"/>
      </radarChart>
      <catAx>
        <axId val="500505168"/>
        <scaling>
          <orientation val="minMax"/>
        </scaling>
        <delete val="0"/>
        <axPos val="b"/>
        <majorGridlines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sz="900" b="0"/>
            </a:pPr>
            <a:r>
              <a:t>None</a:t>
            </a:r>
            <a:endParaRPr lang="ko-KR"/>
          </a:p>
        </txPr>
        <crossAx val="500507128"/>
        <crosses val="autoZero"/>
        <auto val="0"/>
        <lblAlgn val="ctr"/>
        <lblOffset val="100"/>
        <noMultiLvlLbl val="0"/>
      </catAx>
      <valAx>
        <axId val="500507128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cross"/>
        <minorTickMark val="none"/>
        <tickLblPos val="nextTo"/>
        <txPr>
          <a:bodyPr/>
          <a:lstStyle/>
          <a:p>
            <a:pPr>
              <a:defRPr sz="800"/>
            </a:pPr>
            <a:r>
              <a:t>None</a:t>
            </a:r>
            <a:endParaRPr lang="ko-KR"/>
          </a:p>
        </txPr>
        <crossAx val="500505168"/>
        <crosses val="autoZero"/>
        <crossBetween val="between"/>
        <majorUnit val="0.2"/>
        <minorUnit val="0.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9525</rowOff>
    </from>
    <to>
      <col>4</col>
      <colOff>9525</colOff>
      <row>30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</col>
      <colOff>19050</colOff>
      <row>13</row>
      <rowOff>9525</rowOff>
    </from>
    <to>
      <col>11</col>
      <colOff>0</colOff>
      <row>30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15</col>
      <colOff>2743200</colOff>
      <row>6</row>
      <rowOff>9525</rowOff>
    </from>
    <to>
      <col>16</col>
      <colOff>3810000</colOff>
      <row>22</row>
      <rowOff>209550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15</col>
      <colOff>1</colOff>
      <row>6</row>
      <rowOff>9525</rowOff>
    </from>
    <to>
      <col>15</col>
      <colOff>2743201</colOff>
      <row>23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.104\&#54028;&#51068;&#49436;&#48260;\mySingle\Temp\&#44204;&#51201;Template%20V2.2(&#51228;&#50504;)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44.17.50\pims_isms$\04.%20&#51089;&#50629;\2010\&#51204;&#51088;&#51221;&#48512;&#51221;&#48372;&#48372;&#54840;&#44288;&#47532;&#52404;&#44228;&#44396;&#52629;&#52968;&#49444;&#54021;\3&#52264;&#49688;_&#50668;&#49688;&#49884;&#52397;\99.%20&#44592;&#53440;\&#44256;&#44061;%20&#51228;&#44277;&#51088;&#47308;\My%20Documents\&#44305;&#51452;%20&#51228;2&#53685;&#54633;&#51204;&#49328;&#49468;&#53552;\999.%20&#54532;&#47196;&#51229;&#53944;%20&#44277;&#50976;\mySingle\Temp\&#51221;&#48372;&#49688;&#51665;&#49436;_v2.3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G:\6.%20PIA\SKT@2007\&#44256;&#44061;&#51221;&#48372;&#50689;&#54693;&#54217;&#44032;&#51216;&#44160;&#54364;v3.5_10_&#54596;&#53552;&#47553;v4.3_1217(&#52572;&#51333;)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M:\nexPam\99.&#51089;&#50629;&#51473;\06.&#45936;&#51060;&#53552;&#51060;&#54665;\04.&#45936;&#51060;&#53552;&#51060;&#54665;_&#51077;&#47141;\&#44592;&#44288;&#51204;&#52404;_&#45936;&#51060;&#53552;v3.3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G:\SKT-&#44256;&#44061;&#51221;&#48372;&#50689;&#54693;&#54217;&#44032;\&#51089;&#50629;&#51473;\&#44256;&#44061;&#51221;&#48372;%20&#50689;&#54693;&#54217;&#44032;%20&#51216;&#44160;&#54364;-&#51089;&#50629;&#51473;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d.docs.live.net/pims$/200.%20&#54788;&#54889;%20&#48143;%20&#50948;&#54744;&#48516;&#49437;/220.%20&#50948;&#54744;&#54217;&#44032;/223.%20&#50948;&#54744;&#51312;&#52824;&#44228;&#54925;%20&#49688;&#47549;/SKE&amp;S_'OC&#49324;&#47749;'_PIMS_&#50948;&#54744;&#51312;&#52824;&#44228;&#54925;&#49436;(&#49345;&#49464;)_v0.8a_&#53596;&#54540;&#47551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H:\&#44060;&#48156;&#49468;&#53552;_staff\2007&#45380;_&#51204;&#47029;&#44060;&#48156;&#45812;&#45817;_&#50629;&#47924;&#51088;&#47308;\03.&#51204;&#47029;&#44060;&#48156;&#45812;&#45817;_&#50629;&#47924;&#48372;&#44256;\03.1.&#51204;&#47029;&#44060;&#48156;&#45812;&#45817;_&#50629;&#47924;&#48372;&#44256;_&#51452;&#44036;&#48372;&#44256;\2008&#45380;\3&#50900;2&#51452;&#52264;\&#54924;&#51032;&#50504;&#44148;\&#52280;&#51312;\&#54532;&#47196;&#51229;&#53944;%20&#54788;&#54889;&#54032;(V1.5_2007070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코드"/>
      <sheetName val="1.기본정보"/>
      <sheetName val="2.규모측정(간이법)"/>
      <sheetName val="3.복잡도"/>
      <sheetName val="4.규모측정(정규법)"/>
      <sheetName val="5.규모측정종합"/>
      <sheetName val="6.생산성보정요인"/>
      <sheetName val="Sheet4"/>
    </sheetNames>
    <sheetDataSet>
      <sheetData sheetId="0">
        <row r="2">
          <cell r="A2" t="str">
            <v>수의계약</v>
          </cell>
          <cell r="B2" t="str">
            <v>종합낙찰제</v>
          </cell>
          <cell r="C2" t="str">
            <v>신규개발</v>
          </cell>
          <cell r="D2" t="str">
            <v>공공</v>
          </cell>
          <cell r="E2" t="str">
            <v>관공서</v>
          </cell>
          <cell r="F2" t="str">
            <v>사업계획</v>
          </cell>
          <cell r="G2" t="str">
            <v>Y</v>
          </cell>
          <cell r="H2" t="str">
            <v>단독입찰</v>
          </cell>
          <cell r="J2" t="str">
            <v>공공</v>
          </cell>
          <cell r="K2" t="str">
            <v>SW개발</v>
          </cell>
        </row>
        <row r="3">
          <cell r="A3" t="str">
            <v>2단계 동시</v>
          </cell>
          <cell r="B3" t="str">
            <v>최저가낙찰제</v>
          </cell>
          <cell r="C3" t="str">
            <v>기능개선</v>
          </cell>
          <cell r="D3" t="str">
            <v>금융</v>
          </cell>
          <cell r="E3" t="str">
            <v>지방자치단체</v>
          </cell>
          <cell r="F3" t="str">
            <v>제안</v>
          </cell>
          <cell r="G3" t="str">
            <v>N</v>
          </cell>
          <cell r="H3" t="str">
            <v>턴키</v>
          </cell>
          <cell r="J3" t="str">
            <v>금융</v>
          </cell>
          <cell r="K3" t="str">
            <v>SI(SW+HW)</v>
          </cell>
        </row>
        <row r="4">
          <cell r="A4" t="str">
            <v>2단계 분리</v>
          </cell>
          <cell r="B4" t="str">
            <v>협상에의한 낙찰제</v>
          </cell>
          <cell r="C4" t="str">
            <v>재구축</v>
          </cell>
          <cell r="D4" t="str">
            <v>제조</v>
          </cell>
          <cell r="E4" t="str">
            <v>정부투자기관</v>
          </cell>
          <cell r="F4" t="str">
            <v>계약</v>
          </cell>
          <cell r="H4" t="str">
            <v>컨소시엄</v>
          </cell>
          <cell r="J4" t="str">
            <v>제조</v>
          </cell>
          <cell r="K4" t="str">
            <v>컨설팅</v>
          </cell>
        </row>
        <row r="5">
          <cell r="A5" t="str">
            <v>일괄입찰</v>
          </cell>
          <cell r="B5" t="str">
            <v>기타</v>
          </cell>
          <cell r="C5" t="str">
            <v>플랫폼교체</v>
          </cell>
          <cell r="D5" t="str">
            <v>서비스</v>
          </cell>
          <cell r="E5" t="str">
            <v>SOC</v>
          </cell>
          <cell r="F5" t="str">
            <v>설계</v>
          </cell>
          <cell r="J5" t="str">
            <v>유통/서비스</v>
          </cell>
          <cell r="K5" t="str">
            <v>ASP</v>
          </cell>
        </row>
        <row r="6">
          <cell r="A6" t="str">
            <v>일반경쟁</v>
          </cell>
          <cell r="C6" t="str">
            <v>패키지 적용</v>
          </cell>
          <cell r="D6" t="str">
            <v>정보통신</v>
          </cell>
          <cell r="E6" t="str">
            <v>국방</v>
          </cell>
          <cell r="F6" t="str">
            <v>실행</v>
          </cell>
          <cell r="J6" t="str">
            <v>응용시스템</v>
          </cell>
          <cell r="K6" t="str">
            <v>인력지원</v>
          </cell>
        </row>
        <row r="7">
          <cell r="A7" t="str">
            <v>제한경쟁</v>
          </cell>
          <cell r="C7" t="str">
            <v>유지보수</v>
          </cell>
          <cell r="D7" t="str">
            <v>유틸리티</v>
          </cell>
          <cell r="E7" t="str">
            <v>은행</v>
          </cell>
          <cell r="F7" t="str">
            <v>종료</v>
          </cell>
          <cell r="J7" t="str">
            <v>OM</v>
          </cell>
          <cell r="K7" t="str">
            <v>전체외주</v>
          </cell>
        </row>
        <row r="8">
          <cell r="A8" t="str">
            <v>지명경쟁</v>
          </cell>
          <cell r="D8" t="str">
            <v>교통</v>
          </cell>
          <cell r="E8" t="str">
            <v>증권</v>
          </cell>
          <cell r="K8" t="str">
            <v>유지보수</v>
          </cell>
        </row>
        <row r="9">
          <cell r="A9" t="str">
            <v>협상에의한 낙찰제</v>
          </cell>
          <cell r="D9" t="str">
            <v>기타</v>
          </cell>
          <cell r="E9" t="str">
            <v>보험</v>
          </cell>
          <cell r="K9" t="str">
            <v>수주연동솔루션</v>
          </cell>
        </row>
        <row r="10">
          <cell r="A10" t="str">
            <v>기타</v>
          </cell>
          <cell r="E10" t="str">
            <v>카드</v>
          </cell>
          <cell r="K10" t="str">
            <v>국책과제</v>
          </cell>
        </row>
        <row r="11">
          <cell r="E11" t="str">
            <v>케피탈</v>
          </cell>
          <cell r="K11" t="str">
            <v>자주과제</v>
          </cell>
        </row>
        <row r="12">
          <cell r="E12" t="str">
            <v>리스,종금,투신</v>
          </cell>
          <cell r="K12" t="str">
            <v>장기개발솔루션</v>
          </cell>
        </row>
        <row r="13">
          <cell r="E13" t="str">
            <v>무역/유통</v>
          </cell>
          <cell r="K13" t="str">
            <v>기타</v>
          </cell>
        </row>
        <row r="14">
          <cell r="E14" t="str">
            <v>레저/문화</v>
          </cell>
        </row>
        <row r="15">
          <cell r="E15" t="str">
            <v>의료</v>
          </cell>
        </row>
        <row r="16">
          <cell r="E16" t="str">
            <v>교육/언론</v>
          </cell>
        </row>
        <row r="17">
          <cell r="E17" t="str">
            <v>종교</v>
          </cell>
        </row>
        <row r="18">
          <cell r="E18" t="str">
            <v>금속/기계</v>
          </cell>
        </row>
        <row r="19">
          <cell r="E19" t="str">
            <v>전기/전자</v>
          </cell>
        </row>
        <row r="20">
          <cell r="E20" t="str">
            <v>자동차/건설기계</v>
          </cell>
        </row>
        <row r="21">
          <cell r="E21" t="str">
            <v>정밀기기</v>
          </cell>
        </row>
        <row r="22">
          <cell r="E22" t="str">
            <v>석유/화학</v>
          </cell>
        </row>
        <row r="23">
          <cell r="E23" t="str">
            <v>섬유/제지</v>
          </cell>
        </row>
        <row r="24">
          <cell r="E24" t="str">
            <v>음식료/제약</v>
          </cell>
        </row>
        <row r="25">
          <cell r="E25" t="str">
            <v>조선</v>
          </cell>
        </row>
        <row r="26">
          <cell r="E26" t="str">
            <v>건설</v>
          </cell>
        </row>
        <row r="27">
          <cell r="E27" t="str">
            <v>엔지니어링</v>
          </cell>
        </row>
        <row r="28">
          <cell r="E28" t="str">
            <v>정보통신</v>
          </cell>
        </row>
        <row r="29">
          <cell r="E29" t="str">
            <v>소프트웨어개발</v>
          </cell>
        </row>
        <row r="30">
          <cell r="E30" t="str">
            <v>항공</v>
          </cell>
        </row>
        <row r="31">
          <cell r="E31" t="str">
            <v>공통</v>
          </cell>
        </row>
        <row r="32">
          <cell r="E32" t="str">
            <v>기타</v>
          </cell>
        </row>
        <row r="35">
          <cell r="A35" t="str">
            <v>Process Control</v>
          </cell>
          <cell r="B35" t="str">
            <v>C/S</v>
          </cell>
          <cell r="C35">
            <v>1</v>
          </cell>
          <cell r="D35" t="str">
            <v>1 ~ 10</v>
          </cell>
          <cell r="E35" t="str">
            <v>INNOVATOR-C/S</v>
          </cell>
          <cell r="F35" t="str">
            <v>MVS</v>
          </cell>
          <cell r="G35" t="str">
            <v>CODA</v>
          </cell>
          <cell r="H35" t="str">
            <v>Topend</v>
          </cell>
          <cell r="I35" t="str">
            <v>PC</v>
          </cell>
          <cell r="J35" t="str">
            <v>ASP/PHP/JSP</v>
          </cell>
          <cell r="K35" t="str">
            <v>ER/WIN</v>
          </cell>
          <cell r="L35" t="str">
            <v>PC</v>
          </cell>
          <cell r="M35" t="str">
            <v>3GL</v>
          </cell>
        </row>
        <row r="36">
          <cell r="A36" t="str">
            <v>Network Management</v>
          </cell>
          <cell r="B36" t="str">
            <v>WEB</v>
          </cell>
          <cell r="C36" t="str">
            <v>1~5</v>
          </cell>
          <cell r="D36" t="str">
            <v>11 ~ 100</v>
          </cell>
          <cell r="E36" t="str">
            <v>INNOVATOR-HOST</v>
          </cell>
          <cell r="F36" t="str">
            <v>Unix</v>
          </cell>
          <cell r="G36" t="str">
            <v>DB2</v>
          </cell>
          <cell r="H36" t="str">
            <v>CGI</v>
          </cell>
          <cell r="I36" t="str">
            <v>IBM</v>
          </cell>
          <cell r="J36" t="str">
            <v>CGI</v>
          </cell>
          <cell r="K36" t="str">
            <v>PoerDesigner</v>
          </cell>
          <cell r="L36" t="str">
            <v>Midrange</v>
          </cell>
          <cell r="M36" t="str">
            <v>4GL</v>
          </cell>
        </row>
        <row r="37">
          <cell r="A37" t="str">
            <v>Trading</v>
          </cell>
          <cell r="B37" t="str">
            <v>DW</v>
          </cell>
          <cell r="C37" t="str">
            <v>6~10</v>
          </cell>
          <cell r="D37" t="str">
            <v>101 ~ 200</v>
          </cell>
          <cell r="E37" t="str">
            <v>INNOVATOR-INTRANET</v>
          </cell>
          <cell r="F37" t="str">
            <v>Linux</v>
          </cell>
          <cell r="G37" t="str">
            <v>EasyBase</v>
          </cell>
          <cell r="H37" t="str">
            <v>CS Talk</v>
          </cell>
          <cell r="I37" t="str">
            <v>IBM-RS/6000</v>
          </cell>
          <cell r="J37" t="str">
            <v>JAVA</v>
          </cell>
          <cell r="K37" t="str">
            <v>Rational Rose</v>
          </cell>
          <cell r="L37" t="str">
            <v>Mainframe</v>
          </cell>
          <cell r="M37" t="str">
            <v>APG</v>
          </cell>
        </row>
        <row r="38">
          <cell r="A38" t="str">
            <v>Stock Control &amp; Order Processing</v>
          </cell>
          <cell r="B38" t="str">
            <v>CBD</v>
          </cell>
          <cell r="C38" t="str">
            <v>11 이상</v>
          </cell>
          <cell r="D38" t="str">
            <v>201 ~ 1000</v>
          </cell>
          <cell r="E38" t="str">
            <v>INNOVATOR-SAP R/3</v>
          </cell>
          <cell r="F38" t="str">
            <v>WIN95/98</v>
          </cell>
          <cell r="G38" t="str">
            <v>Foxpro</v>
          </cell>
          <cell r="H38" t="str">
            <v>Encina</v>
          </cell>
          <cell r="I38" t="str">
            <v>IBM-SP2</v>
          </cell>
          <cell r="J38" t="str">
            <v>JAVA Script</v>
          </cell>
          <cell r="K38" t="str">
            <v>System Architect</v>
          </cell>
        </row>
        <row r="39">
          <cell r="A39" t="str">
            <v>Document management</v>
          </cell>
          <cell r="B39" t="str">
            <v>OO</v>
          </cell>
          <cell r="D39" t="str">
            <v>1000 ~</v>
          </cell>
          <cell r="E39" t="str">
            <v>INNOVATOR-패키지</v>
          </cell>
          <cell r="F39" t="str">
            <v>Window NT</v>
          </cell>
          <cell r="G39" t="str">
            <v>IMS</v>
          </cell>
          <cell r="H39" t="str">
            <v>Entera</v>
          </cell>
          <cell r="I39" t="str">
            <v>IBM-Mainframe</v>
          </cell>
          <cell r="J39" t="str">
            <v>HTML</v>
          </cell>
          <cell r="K39" t="str">
            <v>COOL GEN</v>
          </cell>
        </row>
        <row r="40">
          <cell r="A40" t="str">
            <v>EDI</v>
          </cell>
          <cell r="E40" t="str">
            <v>INNOVATOR-객체지향</v>
          </cell>
          <cell r="F40" t="str">
            <v>Windiw XP</v>
          </cell>
          <cell r="G40" t="str">
            <v>MS-Acess</v>
          </cell>
          <cell r="H40" t="str">
            <v>ISIS</v>
          </cell>
          <cell r="I40" t="str">
            <v>HP</v>
          </cell>
          <cell r="J40" t="str">
            <v>Sapphire Web</v>
          </cell>
          <cell r="K40" t="str">
            <v>ANALYZER</v>
          </cell>
        </row>
        <row r="41">
          <cell r="A41" t="str">
            <v>GIS</v>
          </cell>
          <cell r="E41" t="str">
            <v>INNOVATOR-공정제어</v>
          </cell>
          <cell r="F41" t="str">
            <v>NEC</v>
          </cell>
          <cell r="G41" t="str">
            <v>OODB</v>
          </cell>
          <cell r="H41" t="str">
            <v>MQ-Series</v>
          </cell>
          <cell r="I41" t="str">
            <v>HP-K series</v>
          </cell>
          <cell r="J41" t="str">
            <v>Perl</v>
          </cell>
          <cell r="K41" t="str">
            <v>기타</v>
          </cell>
        </row>
        <row r="42">
          <cell r="A42" t="str">
            <v xml:space="preserve">Multimedia </v>
          </cell>
          <cell r="E42" t="str">
            <v>INNOVATOR-유지보수</v>
          </cell>
          <cell r="F42" t="str">
            <v>기타</v>
          </cell>
          <cell r="G42" t="str">
            <v>Oracle</v>
          </cell>
          <cell r="H42" t="str">
            <v>RPC</v>
          </cell>
          <cell r="I42" t="str">
            <v>HP-D series</v>
          </cell>
          <cell r="J42" t="str">
            <v>C</v>
          </cell>
        </row>
        <row r="43">
          <cell r="A43" t="str">
            <v>Financial</v>
          </cell>
          <cell r="E43" t="str">
            <v>INNOVATOR-CBD</v>
          </cell>
          <cell r="G43" t="str">
            <v>SQL Server</v>
          </cell>
          <cell r="H43" t="str">
            <v>SEQUE-LINK</v>
          </cell>
          <cell r="I43" t="str">
            <v>HP-T series</v>
          </cell>
          <cell r="J43" t="str">
            <v>C++</v>
          </cell>
        </row>
        <row r="44">
          <cell r="A44" t="str">
            <v>Accounting</v>
          </cell>
          <cell r="E44" t="str">
            <v>INNOVATOR-기타</v>
          </cell>
          <cell r="G44" t="str">
            <v>Sybase</v>
          </cell>
          <cell r="H44" t="str">
            <v>Tuxedo</v>
          </cell>
          <cell r="I44" t="str">
            <v>SUN</v>
          </cell>
          <cell r="J44" t="str">
            <v>Visual Basic</v>
          </cell>
        </row>
        <row r="45">
          <cell r="A45" t="str">
            <v>Logistics Control</v>
          </cell>
          <cell r="E45" t="str">
            <v>SLIC</v>
          </cell>
          <cell r="G45" t="str">
            <v>ADBAS</v>
          </cell>
          <cell r="H45" t="str">
            <v>RPC</v>
          </cell>
          <cell r="I45" t="str">
            <v>SUN-workstation</v>
          </cell>
          <cell r="J45" t="str">
            <v>Cisual C++</v>
          </cell>
        </row>
        <row r="46">
          <cell r="A46" t="str">
            <v>Online Analysis</v>
          </cell>
          <cell r="E46" t="str">
            <v>METHOD/1</v>
          </cell>
          <cell r="G46" t="str">
            <v>DB관리툴</v>
          </cell>
          <cell r="H46" t="str">
            <v>CORBA</v>
          </cell>
          <cell r="I46" t="str">
            <v>SUN-server</v>
          </cell>
          <cell r="J46" t="str">
            <v>Delphi</v>
          </cell>
        </row>
        <row r="47">
          <cell r="A47" t="str">
            <v>MIS</v>
          </cell>
          <cell r="E47" t="str">
            <v>OMT</v>
          </cell>
          <cell r="G47" t="str">
            <v>DBMS활용</v>
          </cell>
          <cell r="H47" t="str">
            <v>CICS</v>
          </cell>
          <cell r="I47" t="str">
            <v>DEC</v>
          </cell>
          <cell r="J47" t="str">
            <v>SQL</v>
          </cell>
        </row>
        <row r="48">
          <cell r="A48" t="str">
            <v>Imbeded Software</v>
          </cell>
          <cell r="E48" t="str">
            <v>NAVIGATOR</v>
          </cell>
          <cell r="G48" t="str">
            <v>데이타베이스구축</v>
          </cell>
          <cell r="H48" t="str">
            <v>IMS DC</v>
          </cell>
          <cell r="I48" t="str">
            <v>DEC-ALPHA 300</v>
          </cell>
          <cell r="J48" t="str">
            <v>COBOL</v>
          </cell>
        </row>
        <row r="49">
          <cell r="A49" t="str">
            <v>Mathematical Modeling</v>
          </cell>
          <cell r="E49" t="str">
            <v>DOD</v>
          </cell>
          <cell r="G49" t="str">
            <v>기타</v>
          </cell>
          <cell r="H49" t="str">
            <v>기타</v>
          </cell>
          <cell r="I49" t="str">
            <v>DEC-ALPHA 800</v>
          </cell>
          <cell r="J49" t="str">
            <v>XML</v>
          </cell>
        </row>
        <row r="50">
          <cell r="E50" t="str">
            <v>UML</v>
          </cell>
          <cell r="I50" t="str">
            <v>DEC-ALPHA 4100</v>
          </cell>
          <cell r="J50" t="str">
            <v>PowerBuilder</v>
          </cell>
        </row>
        <row r="51">
          <cell r="E51" t="str">
            <v>개발방법론 기타</v>
          </cell>
          <cell r="I51" t="str">
            <v>삼성전자</v>
          </cell>
          <cell r="J51" t="str">
            <v>BASIC</v>
          </cell>
        </row>
        <row r="52">
          <cell r="I52" t="str">
            <v>삼성전자-SSM Series</v>
          </cell>
          <cell r="J52" t="str">
            <v>PRO*C</v>
          </cell>
        </row>
        <row r="53">
          <cell r="I53" t="str">
            <v>삼성전자-Magic Pro Server</v>
          </cell>
          <cell r="J53" t="str">
            <v>PRO*COBOL</v>
          </cell>
        </row>
        <row r="54">
          <cell r="I54" t="str">
            <v>삼성전자-Smartnet Server</v>
          </cell>
          <cell r="J54" t="str">
            <v>VRML</v>
          </cell>
        </row>
        <row r="55">
          <cell r="I55" t="str">
            <v>NCR</v>
          </cell>
          <cell r="J55" t="str">
            <v>SGML</v>
          </cell>
        </row>
        <row r="56">
          <cell r="I56" t="str">
            <v>NCR-POS</v>
          </cell>
          <cell r="J56" t="str">
            <v>JCL</v>
          </cell>
        </row>
        <row r="57">
          <cell r="I57" t="str">
            <v>NCR-Server</v>
          </cell>
          <cell r="J57" t="str">
            <v>ABAP/4</v>
          </cell>
        </row>
        <row r="58">
          <cell r="I58" t="str">
            <v>기타</v>
          </cell>
          <cell r="J58" t="str">
            <v>Fortran</v>
          </cell>
        </row>
        <row r="59">
          <cell r="I59" t="str">
            <v>N/A</v>
          </cell>
          <cell r="J59" t="str">
            <v>PL*SQL</v>
          </cell>
        </row>
        <row r="60">
          <cell r="J60" t="str">
            <v>기타</v>
          </cell>
        </row>
        <row r="61">
          <cell r="J61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코드표"/>
      <sheetName val="필드설명"/>
      <sheetName val="업무분류"/>
      <sheetName val="서버"/>
      <sheetName val="네트워크"/>
      <sheetName val="보안"/>
      <sheetName val="스토리지"/>
      <sheetName val="백업"/>
      <sheetName val="기타"/>
      <sheetName val="소프트웨어"/>
    </sheetNames>
    <sheetDataSet>
      <sheetData sheetId="0">
        <row r="2">
          <cell r="C2">
            <v>1</v>
          </cell>
        </row>
        <row r="3">
          <cell r="C3">
            <v>2</v>
          </cell>
        </row>
        <row r="4">
          <cell r="C4" t="str">
            <v>O</v>
          </cell>
        </row>
        <row r="5">
          <cell r="C5" t="str">
            <v>D</v>
          </cell>
        </row>
        <row r="6">
          <cell r="C6" t="str">
            <v>T</v>
          </cell>
        </row>
        <row r="7">
          <cell r="C7" t="str">
            <v>Active</v>
          </cell>
        </row>
        <row r="8">
          <cell r="C8" t="str">
            <v>InActive</v>
          </cell>
        </row>
        <row r="9">
          <cell r="C9" t="str">
            <v>Delete</v>
          </cell>
        </row>
        <row r="11">
          <cell r="C11" t="str">
            <v>P</v>
          </cell>
        </row>
        <row r="12">
          <cell r="C12" t="str">
            <v>C</v>
          </cell>
        </row>
        <row r="13">
          <cell r="C13" t="str">
            <v>Y</v>
          </cell>
        </row>
        <row r="14">
          <cell r="C14" t="str">
            <v>N</v>
          </cell>
        </row>
        <row r="15">
          <cell r="C15" t="str">
            <v>Active</v>
          </cell>
        </row>
        <row r="16">
          <cell r="C16" t="str">
            <v>Standbay</v>
          </cell>
        </row>
        <row r="17">
          <cell r="C17" t="str">
            <v>R</v>
          </cell>
        </row>
        <row r="18">
          <cell r="C18" t="str">
            <v>T</v>
          </cell>
        </row>
        <row r="19">
          <cell r="C19" t="str">
            <v>APPLICATION</v>
          </cell>
        </row>
        <row r="20">
          <cell r="C20" t="str">
            <v>BACKUP</v>
          </cell>
        </row>
        <row r="21">
          <cell r="C21" t="str">
            <v>DB</v>
          </cell>
        </row>
        <row r="22">
          <cell r="C22" t="str">
            <v>DHCP</v>
          </cell>
        </row>
        <row r="23">
          <cell r="C23" t="str">
            <v>WASWEB</v>
          </cell>
        </row>
        <row r="24">
          <cell r="C24" t="str">
            <v>FILE</v>
          </cell>
        </row>
        <row r="25">
          <cell r="C25" t="str">
            <v>MAIL</v>
          </cell>
        </row>
        <row r="26">
          <cell r="C26" t="str">
            <v>CON</v>
          </cell>
        </row>
        <row r="27">
          <cell r="C27" t="str">
            <v>WASWEB APP</v>
          </cell>
        </row>
        <row r="28">
          <cell r="C28" t="str">
            <v>DB APP</v>
          </cell>
        </row>
        <row r="29">
          <cell r="C29" t="str">
            <v>UN</v>
          </cell>
        </row>
        <row r="30">
          <cell r="C30" t="str">
            <v>NT</v>
          </cell>
        </row>
        <row r="31">
          <cell r="C31" t="str">
            <v>LX</v>
          </cell>
        </row>
        <row r="32">
          <cell r="C32" t="str">
            <v>Y</v>
          </cell>
        </row>
        <row r="33">
          <cell r="C33" t="str">
            <v>N</v>
          </cell>
        </row>
        <row r="34">
          <cell r="C34" t="str">
            <v>대</v>
          </cell>
        </row>
        <row r="35">
          <cell r="C35" t="str">
            <v>중</v>
          </cell>
        </row>
        <row r="36">
          <cell r="C36" t="str">
            <v>소</v>
          </cell>
        </row>
        <row r="37">
          <cell r="C37" t="str">
            <v>CD</v>
          </cell>
        </row>
        <row r="38">
          <cell r="C38" t="str">
            <v>DVD</v>
          </cell>
        </row>
        <row r="39">
          <cell r="C39" t="str">
            <v>DAT</v>
          </cell>
        </row>
        <row r="40">
          <cell r="C40" t="str">
            <v>LTO</v>
          </cell>
        </row>
        <row r="41">
          <cell r="C41">
            <v>1</v>
          </cell>
        </row>
        <row r="42">
          <cell r="C42">
            <v>2</v>
          </cell>
        </row>
        <row r="43">
          <cell r="C43">
            <v>3</v>
          </cell>
        </row>
        <row r="44">
          <cell r="C44">
            <v>99</v>
          </cell>
        </row>
        <row r="45">
          <cell r="C45">
            <v>1</v>
          </cell>
        </row>
        <row r="46">
          <cell r="C46">
            <v>2</v>
          </cell>
        </row>
        <row r="47">
          <cell r="C47" t="str">
            <v>L2</v>
          </cell>
        </row>
        <row r="48">
          <cell r="C48" t="str">
            <v>L3</v>
          </cell>
        </row>
        <row r="49">
          <cell r="C49" t="str">
            <v>L4</v>
          </cell>
        </row>
        <row r="50">
          <cell r="C50" t="str">
            <v>라우터</v>
          </cell>
        </row>
        <row r="51">
          <cell r="C51" t="str">
            <v>허브</v>
          </cell>
        </row>
        <row r="52">
          <cell r="C52" t="str">
            <v>Y</v>
          </cell>
        </row>
        <row r="53">
          <cell r="C53" t="str">
            <v>N</v>
          </cell>
        </row>
        <row r="54">
          <cell r="C54" t="str">
            <v>Y</v>
          </cell>
        </row>
        <row r="55">
          <cell r="C55" t="str">
            <v>N</v>
          </cell>
        </row>
        <row r="56">
          <cell r="C56" t="str">
            <v>U</v>
          </cell>
        </row>
        <row r="57">
          <cell r="C57" t="str">
            <v>M</v>
          </cell>
        </row>
        <row r="58">
          <cell r="C58" t="str">
            <v>RJ45</v>
          </cell>
        </row>
        <row r="59">
          <cell r="C59" t="str">
            <v>DB9</v>
          </cell>
        </row>
        <row r="60">
          <cell r="C60" t="str">
            <v>F/W</v>
          </cell>
        </row>
        <row r="61">
          <cell r="C61" t="str">
            <v>IPS</v>
          </cell>
        </row>
        <row r="62">
          <cell r="C62" t="str">
            <v>IDS</v>
          </cell>
        </row>
        <row r="63">
          <cell r="C63" t="str">
            <v>VPN</v>
          </cell>
        </row>
        <row r="64">
          <cell r="C64" t="str">
            <v>SCETC</v>
          </cell>
        </row>
        <row r="65">
          <cell r="C65" t="str">
            <v>UTP10</v>
          </cell>
        </row>
        <row r="66">
          <cell r="C66" t="str">
            <v>UTP100</v>
          </cell>
        </row>
        <row r="67">
          <cell r="C67" t="str">
            <v>FIBERSC</v>
          </cell>
        </row>
        <row r="68">
          <cell r="C68" t="str">
            <v>FIBERLC</v>
          </cell>
        </row>
        <row r="69">
          <cell r="C69" t="str">
            <v>EXT</v>
          </cell>
        </row>
        <row r="70">
          <cell r="C70" t="str">
            <v>SAN</v>
          </cell>
        </row>
        <row r="71">
          <cell r="C71" t="str">
            <v>RAID 0</v>
          </cell>
        </row>
        <row r="72">
          <cell r="C72" t="str">
            <v>RAID 1</v>
          </cell>
        </row>
        <row r="73">
          <cell r="C73" t="str">
            <v>RAID 3</v>
          </cell>
        </row>
        <row r="74">
          <cell r="C74" t="str">
            <v>RAID 5</v>
          </cell>
        </row>
        <row r="75">
          <cell r="C75" t="str">
            <v>RAID 0+1</v>
          </cell>
        </row>
        <row r="76">
          <cell r="C76" t="str">
            <v>DAT</v>
          </cell>
        </row>
        <row r="77">
          <cell r="C77" t="str">
            <v>LTO</v>
          </cell>
        </row>
        <row r="78">
          <cell r="C78" t="str">
            <v>SAIT</v>
          </cell>
        </row>
        <row r="79">
          <cell r="C79" t="str">
            <v>AIT</v>
          </cell>
        </row>
        <row r="80">
          <cell r="C80" t="str">
            <v>SDLT</v>
          </cell>
        </row>
        <row r="81">
          <cell r="C81" t="str">
            <v>DLT</v>
          </cell>
        </row>
        <row r="82">
          <cell r="C82" t="str">
            <v>DDS</v>
          </cell>
        </row>
        <row r="83">
          <cell r="C83" t="str">
            <v>L</v>
          </cell>
        </row>
        <row r="84">
          <cell r="C84" t="str">
            <v>S</v>
          </cell>
        </row>
        <row r="85">
          <cell r="C85">
            <v>1</v>
          </cell>
        </row>
        <row r="86">
          <cell r="C86">
            <v>2</v>
          </cell>
        </row>
        <row r="87">
          <cell r="C87">
            <v>3</v>
          </cell>
        </row>
        <row r="88">
          <cell r="B88" t="str">
            <v>시스템 S/W</v>
          </cell>
        </row>
        <row r="89">
          <cell r="B89" t="str">
            <v>상용 S/W</v>
          </cell>
        </row>
        <row r="90">
          <cell r="B90" t="str">
            <v>응용 S/W</v>
          </cell>
        </row>
        <row r="91">
          <cell r="C91" t="str">
            <v>DBSW</v>
          </cell>
        </row>
        <row r="92">
          <cell r="C92" t="str">
            <v>MDSW</v>
          </cell>
        </row>
        <row r="93">
          <cell r="C93" t="str">
            <v>WESW</v>
          </cell>
        </row>
        <row r="94">
          <cell r="C94" t="str">
            <v>APSW</v>
          </cell>
        </row>
        <row r="95">
          <cell r="C95" t="str">
            <v>BKSW</v>
          </cell>
        </row>
        <row r="96">
          <cell r="C96" t="str">
            <v>SCSW</v>
          </cell>
        </row>
        <row r="97">
          <cell r="C97" t="str">
            <v>APSW01</v>
          </cell>
        </row>
        <row r="98">
          <cell r="C98" t="str">
            <v>APSW02</v>
          </cell>
        </row>
        <row r="99">
          <cell r="C99" t="str">
            <v>APSW03</v>
          </cell>
        </row>
        <row r="100">
          <cell r="C100" t="str">
            <v>APSW04</v>
          </cell>
        </row>
        <row r="101">
          <cell r="C101" t="str">
            <v>BKSW01</v>
          </cell>
        </row>
        <row r="102">
          <cell r="C102" t="str">
            <v>BKSW02</v>
          </cell>
        </row>
        <row r="103">
          <cell r="C103" t="str">
            <v>BKSW03</v>
          </cell>
        </row>
        <row r="104">
          <cell r="C104" t="str">
            <v>BKSW04</v>
          </cell>
        </row>
        <row r="105">
          <cell r="C105" t="str">
            <v>BKSW05</v>
          </cell>
        </row>
        <row r="106">
          <cell r="C106" t="str">
            <v>DBMS01</v>
          </cell>
        </row>
        <row r="107">
          <cell r="C107" t="str">
            <v>DBMS02</v>
          </cell>
        </row>
        <row r="108">
          <cell r="C108" t="str">
            <v>DBMS03</v>
          </cell>
        </row>
        <row r="109">
          <cell r="C109" t="str">
            <v>DBMS04</v>
          </cell>
        </row>
        <row r="110">
          <cell r="C110" t="str">
            <v>DBMS05</v>
          </cell>
        </row>
        <row r="111">
          <cell r="C111" t="str">
            <v>DBMS06</v>
          </cell>
        </row>
        <row r="112">
          <cell r="C112" t="str">
            <v>DBMS07</v>
          </cell>
        </row>
        <row r="113">
          <cell r="C113" t="str">
            <v>MDSW01</v>
          </cell>
        </row>
        <row r="114">
          <cell r="C114" t="str">
            <v>MDSW02</v>
          </cell>
        </row>
        <row r="115">
          <cell r="C115" t="str">
            <v>MDSW03</v>
          </cell>
        </row>
        <row r="116">
          <cell r="C116" t="str">
            <v>MDSW04</v>
          </cell>
        </row>
        <row r="117">
          <cell r="C117" t="str">
            <v>MDSW05</v>
          </cell>
        </row>
        <row r="118">
          <cell r="C118" t="str">
            <v>MDSW06</v>
          </cell>
        </row>
        <row r="119">
          <cell r="C119" t="str">
            <v>MDSW07</v>
          </cell>
        </row>
        <row r="120">
          <cell r="C120" t="str">
            <v>SCSW01</v>
          </cell>
        </row>
        <row r="121">
          <cell r="C121" t="str">
            <v>SCSW02</v>
          </cell>
        </row>
        <row r="122">
          <cell r="C122" t="str">
            <v>SCSW03</v>
          </cell>
        </row>
        <row r="123">
          <cell r="C123" t="str">
            <v>SCSW04</v>
          </cell>
        </row>
        <row r="124">
          <cell r="C124" t="str">
            <v>SCSW05</v>
          </cell>
        </row>
        <row r="125">
          <cell r="C125" t="str">
            <v>SCSW06</v>
          </cell>
        </row>
        <row r="126">
          <cell r="C126" t="str">
            <v>SCSW07</v>
          </cell>
        </row>
        <row r="127">
          <cell r="C127" t="str">
            <v>SCSW08</v>
          </cell>
        </row>
        <row r="128">
          <cell r="C128" t="str">
            <v>SCSW09</v>
          </cell>
        </row>
        <row r="129">
          <cell r="C129" t="str">
            <v>SCSW10</v>
          </cell>
        </row>
        <row r="130">
          <cell r="C130" t="str">
            <v>SCSW11</v>
          </cell>
        </row>
        <row r="131">
          <cell r="C131" t="str">
            <v>SCSW12</v>
          </cell>
        </row>
        <row r="132">
          <cell r="C132" t="str">
            <v>WESW01</v>
          </cell>
        </row>
        <row r="133">
          <cell r="C133" t="str">
            <v>WESW02</v>
          </cell>
        </row>
        <row r="134">
          <cell r="C134" t="str">
            <v>WESW03</v>
          </cell>
        </row>
        <row r="135">
          <cell r="C135" t="str">
            <v>WESW04</v>
          </cell>
        </row>
        <row r="136">
          <cell r="C136" t="str">
            <v>WESW10</v>
          </cell>
        </row>
        <row r="137">
          <cell r="C137" t="str">
            <v>사이트</v>
          </cell>
        </row>
        <row r="138">
          <cell r="C138" t="str">
            <v>개별</v>
          </cell>
        </row>
        <row r="139">
          <cell r="C139" t="str">
            <v>CPU</v>
          </cell>
        </row>
        <row r="140">
          <cell r="C140" t="str">
            <v>Named User</v>
          </cell>
        </row>
        <row r="141">
          <cell r="C141" t="str">
            <v>KVM</v>
          </cell>
        </row>
        <row r="142">
          <cell r="C142" t="str">
            <v>MONITOR</v>
          </cell>
        </row>
        <row r="143">
          <cell r="C143" t="str">
            <v>CONSOL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점검표(재분류)"/>
      <sheetName val="설문(일반)"/>
      <sheetName val="1차일반"/>
      <sheetName val="1차일반필터링"/>
      <sheetName val="요청서-일반"/>
      <sheetName val="설문(CP)"/>
      <sheetName val="1차CP"/>
      <sheetName val="1차CP필터링"/>
      <sheetName val="요청서-CP"/>
      <sheetName val="변경내역"/>
      <sheetName val="대쉬위험"/>
      <sheetName val="취급자"/>
      <sheetName val="CP통계"/>
      <sheetName val="2차(일반)"/>
      <sheetName val="2차(CP)"/>
      <sheetName val="요청서-대상확인"/>
      <sheetName val="IDC"/>
      <sheetName val="서비스분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0.자산분류체계"/>
      <sheetName val="1.정보시스템"/>
      <sheetName val="2.서버"/>
      <sheetName val="정보시스템도입자산"/>
      <sheetName val="3.스토리지"/>
      <sheetName val="4.네트워크"/>
      <sheetName val="5.소프트웨어"/>
      <sheetName val="SW설치정보"/>
      <sheetName val="6.부품"/>
      <sheetName val="부품설치정보"/>
      <sheetName val="11.정보화인력"/>
      <sheetName val="12.협력업체"/>
      <sheetName val="13.협력업체담당자"/>
      <sheetName val="14.유지보수계약정보"/>
      <sheetName val="파일업로드"/>
      <sheetName val="공통코드"/>
      <sheetName val="중분류"/>
      <sheetName val="소분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C2" t="str">
            <v>구매</v>
          </cell>
          <cell r="Y2" t="str">
            <v>중소형광단국</v>
          </cell>
          <cell r="AI2" t="str">
            <v>K1,K3</v>
          </cell>
        </row>
        <row r="3">
          <cell r="Y3" t="str">
            <v>FLC</v>
          </cell>
          <cell r="AI3" t="str">
            <v>K4</v>
          </cell>
        </row>
        <row r="4">
          <cell r="Y4" t="str">
            <v>WDM</v>
          </cell>
          <cell r="AI4" t="str">
            <v>K4이상</v>
          </cell>
        </row>
        <row r="5">
          <cell r="AI5" t="str">
            <v>K1E,K3E</v>
          </cell>
        </row>
        <row r="6">
          <cell r="AI6" t="str">
            <v>K4E</v>
          </cell>
        </row>
        <row r="15">
          <cell r="Y15" t="str">
            <v>static</v>
          </cell>
          <cell r="AC15" t="str">
            <v xml:space="preserve">1년 </v>
          </cell>
        </row>
        <row r="16">
          <cell r="Y16" t="str">
            <v>dynamic</v>
          </cell>
          <cell r="AC16" t="str">
            <v>2년</v>
          </cell>
        </row>
      </sheetData>
      <sheetData sheetId="16"/>
      <sheetData sheetId="17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Sheet3"/>
      <sheetName val="분류체계"/>
      <sheetName val="분류"/>
      <sheetName val="관리.물리평가사항(5.4)"/>
      <sheetName val="IT체계평가사항(5.4)"/>
      <sheetName val="관리.물리평가사항(5.4) (2)"/>
      <sheetName val="IT체계평가사항(5.4) (2)"/>
    </sheetNames>
    <sheetDataSet>
      <sheetData sheetId="0" refreshError="1"/>
      <sheetData sheetId="1" refreshError="1"/>
      <sheetData sheetId="2" refreshError="1">
        <row r="27">
          <cell r="B27">
            <v>0</v>
          </cell>
        </row>
        <row r="28">
          <cell r="B28">
            <v>1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표지"/>
      <sheetName val="제개정이력"/>
      <sheetName val="위험조치계획서"/>
      <sheetName val="위험조치계획 기준"/>
    </sheetNames>
    <sheetDataSet>
      <sheetData sheetId="0"/>
      <sheetData sheetId="1"/>
      <sheetData sheetId="2"/>
      <sheetData sheetId="3">
        <row r="7">
          <cell r="B7">
            <v>5</v>
          </cell>
        </row>
        <row r="8">
          <cell r="B8">
            <v>4</v>
          </cell>
        </row>
        <row r="9">
          <cell r="B9">
            <v>3</v>
          </cell>
        </row>
        <row r="10">
          <cell r="B10">
            <v>2</v>
          </cell>
        </row>
        <row r="11">
          <cell r="B11">
            <v>1</v>
          </cell>
        </row>
        <row r="17">
          <cell r="B17" t="str">
            <v>단기</v>
          </cell>
        </row>
        <row r="18">
          <cell r="B18" t="str">
            <v>중기</v>
          </cell>
        </row>
        <row r="19">
          <cell r="B19" t="str">
            <v>장기</v>
          </cell>
        </row>
        <row r="20">
          <cell r="B20" t="str">
            <v>긴급</v>
          </cell>
        </row>
      </sheetData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프로젝트 현황"/>
      <sheetName val="프로젝트 상세"/>
      <sheetName val="코드"/>
    </sheetNames>
    <sheetDataSet>
      <sheetData sheetId="0" refreshError="1"/>
      <sheetData sheetId="1" refreshError="1"/>
      <sheetData sheetId="2">
        <row r="2">
          <cell r="B2" t="str">
            <v>공공</v>
          </cell>
        </row>
        <row r="3">
          <cell r="B3" t="str">
            <v>금융</v>
          </cell>
        </row>
        <row r="4">
          <cell r="B4" t="str">
            <v>제조</v>
          </cell>
        </row>
        <row r="5">
          <cell r="B5" t="str">
            <v>기타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6"/>
  <sheetViews>
    <sheetView view="pageBreakPreview" zoomScale="70" zoomScaleNormal="70" zoomScaleSheetLayoutView="70" workbookViewId="0">
      <selection activeCell="H19" sqref="H19:K22"/>
    </sheetView>
  </sheetViews>
  <sheetFormatPr baseColWidth="8" defaultColWidth="8.625" defaultRowHeight="16.5"/>
  <cols>
    <col width="4.5" customWidth="1" style="67" min="1" max="1"/>
    <col width="7.125" customWidth="1" style="67" min="2" max="12"/>
    <col width="6.5" customWidth="1" style="67" min="13" max="13"/>
    <col width="9.625" customWidth="1" style="67" min="14" max="16"/>
    <col width="4.5" customWidth="1" style="67" min="17" max="17"/>
    <col width="8.625" customWidth="1" style="67" min="18" max="16384"/>
  </cols>
  <sheetData>
    <row r="1" ht="14.25" customHeight="1" s="309" thickBo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</row>
    <row r="2" ht="16.9" customHeight="1" s="309" thickBot="1" thickTop="1">
      <c r="A2" s="66" t="n"/>
      <c r="B2" s="169" t="inlineStr">
        <is>
          <t>구     분</t>
        </is>
      </c>
      <c r="C2" s="310" t="n"/>
      <c r="D2" s="170" t="inlineStr">
        <is>
          <t>관리</t>
        </is>
      </c>
      <c r="E2" s="310" t="n"/>
      <c r="F2" s="311" t="inlineStr">
        <is>
          <t>본 문서는 임의로 복사
되거나 배포될 수 없음</t>
        </is>
      </c>
      <c r="G2" s="312" t="n"/>
      <c r="H2" s="313" t="n"/>
      <c r="I2" s="66" t="n"/>
      <c r="J2" s="66" t="n"/>
      <c r="K2" s="66" t="n"/>
      <c r="L2" s="66" t="n"/>
      <c r="M2" s="66" t="n"/>
      <c r="N2" s="66" t="n"/>
      <c r="P2" s="68" t="inlineStr">
        <is>
          <t>대외비</t>
        </is>
      </c>
      <c r="Q2" s="66" t="n"/>
    </row>
    <row r="3" ht="16.9" customHeight="1" s="309" thickTop="1">
      <c r="A3" s="66" t="n"/>
      <c r="B3" s="170" t="inlineStr">
        <is>
          <t>문서번호</t>
        </is>
      </c>
      <c r="C3" s="310" t="n"/>
      <c r="D3" s="170" t="n"/>
      <c r="E3" s="310" t="n"/>
      <c r="F3" s="314" t="n"/>
      <c r="G3" s="315" t="n"/>
      <c r="H3" s="31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</row>
    <row r="4" ht="14.25" customHeight="1" s="309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</row>
    <row r="5" ht="14.25" customHeight="1" s="309">
      <c r="A5" s="66" t="n"/>
      <c r="B5" s="66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</row>
    <row r="6" ht="14.25" customHeight="1" s="309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</row>
    <row r="7" ht="17.65" customHeight="1" s="309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</row>
    <row r="8" ht="14.25" customHeight="1" s="309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</row>
    <row r="9" ht="14.25" customHeight="1" s="30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</row>
    <row r="10" ht="40.9" customHeight="1" s="309">
      <c r="A10" s="66" t="n"/>
      <c r="B10" s="179" t="inlineStr">
        <is>
          <t xml:space="preserve">   [00]</t>
        </is>
      </c>
      <c r="Q10" s="66" t="n"/>
    </row>
    <row r="11" ht="14.25" customHeight="1" s="309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</row>
    <row r="12" ht="14.25" customHeight="1" s="309">
      <c r="A12" s="66" t="n"/>
      <c r="B12" s="167" t="inlineStr">
        <is>
          <t>PC 취약점진단 상세결과보고서</t>
        </is>
      </c>
      <c r="Q12" s="66" t="n"/>
    </row>
    <row r="13" ht="14.25" customHeight="1" s="309">
      <c r="A13" s="66" t="n"/>
      <c r="Q13" s="66" t="n"/>
    </row>
    <row r="14" ht="14.25" customHeight="1" s="309">
      <c r="A14" s="66" t="n"/>
      <c r="Q14" s="66" t="n"/>
    </row>
    <row r="15" ht="14.25" customHeight="1" s="309">
      <c r="A15" s="66" t="n"/>
      <c r="Q15" s="66" t="n"/>
    </row>
    <row r="16" ht="41.25" customHeight="1" s="309">
      <c r="A16" s="66" t="n"/>
      <c r="Q16" s="66" t="n"/>
    </row>
    <row r="17" ht="41.25" customHeight="1" s="309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</row>
    <row r="18" ht="9.75" customHeight="1" s="309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</row>
    <row r="19" ht="50.25" customHeight="1" s="309">
      <c r="A19" s="66" t="n"/>
      <c r="B19" s="66" t="n"/>
      <c r="C19" s="66" t="n"/>
      <c r="D19" s="66" t="n"/>
      <c r="E19" s="66" t="n"/>
      <c r="F19" s="66" t="n"/>
      <c r="G19" s="66" t="n"/>
      <c r="H19" s="168" t="inlineStr">
        <is>
          <t>2026.00.</t>
        </is>
      </c>
      <c r="L19" s="66" t="n"/>
      <c r="M19" s="66" t="n"/>
      <c r="N19" s="168" t="n"/>
      <c r="Q19" s="66" t="n"/>
    </row>
    <row r="20" ht="14.25" customHeight="1" s="309">
      <c r="A20" s="66" t="n"/>
      <c r="B20" s="66" t="n"/>
      <c r="C20" s="66" t="n"/>
      <c r="D20" s="66" t="n"/>
      <c r="E20" s="66" t="n"/>
      <c r="F20" s="66" t="n"/>
      <c r="G20" s="66" t="n"/>
      <c r="L20" s="66" t="n"/>
      <c r="M20" s="66" t="n"/>
      <c r="Q20" s="66" t="n"/>
    </row>
    <row r="21" ht="14.25" customHeight="1" s="309">
      <c r="A21" s="66" t="n"/>
      <c r="B21" s="66" t="n"/>
      <c r="C21" s="66" t="n"/>
      <c r="D21" s="66" t="n"/>
      <c r="E21" s="66" t="n"/>
      <c r="F21" s="66" t="n"/>
      <c r="G21" s="66" t="n"/>
      <c r="L21" s="66" t="n"/>
      <c r="M21" s="66" t="n"/>
      <c r="N21" s="66" t="n"/>
      <c r="O21" s="66" t="n"/>
      <c r="P21" s="66" t="n"/>
      <c r="Q21" s="66" t="n"/>
    </row>
    <row r="22" ht="14.25" customHeight="1" s="309">
      <c r="A22" s="66" t="n"/>
      <c r="B22" s="66" t="n"/>
      <c r="C22" s="66" t="n"/>
      <c r="D22" s="66" t="n"/>
      <c r="E22" s="66" t="n"/>
      <c r="F22" s="66" t="n"/>
      <c r="G22" s="66" t="n"/>
      <c r="L22" s="66" t="n"/>
      <c r="M22" s="66" t="n"/>
      <c r="N22" s="66" t="n"/>
      <c r="O22" s="66" t="n"/>
      <c r="P22" s="66" t="n"/>
      <c r="Q22" s="66" t="n"/>
    </row>
    <row r="23" ht="14.25" customHeight="1" s="309">
      <c r="A23" s="66" t="n"/>
      <c r="B23" s="66" t="n"/>
      <c r="C23" s="66" t="n"/>
      <c r="D23" s="66" t="n"/>
      <c r="E23" s="66" t="n"/>
      <c r="F23" s="66" t="n"/>
      <c r="G23" s="66" t="n"/>
      <c r="H23" s="66" t="n"/>
      <c r="I23" s="168" t="n"/>
      <c r="J23" s="168" t="n"/>
      <c r="K23" s="168" t="n"/>
      <c r="L23" s="66" t="n"/>
      <c r="M23" s="66" t="n"/>
      <c r="N23" s="66" t="n"/>
      <c r="O23" s="66" t="n"/>
      <c r="P23" s="66" t="n"/>
      <c r="Q23" s="66" t="n"/>
    </row>
    <row r="24" ht="14.25" customHeight="1" s="309">
      <c r="A24" s="66" t="n"/>
      <c r="B24" s="66" t="n"/>
      <c r="C24" s="66" t="n"/>
      <c r="D24" s="66" t="n"/>
      <c r="E24" s="66" t="n"/>
      <c r="F24" s="66" t="n"/>
      <c r="G24" s="66" t="n"/>
      <c r="H24" s="66" t="n"/>
      <c r="I24" s="168" t="n"/>
      <c r="J24" s="168" t="n"/>
      <c r="K24" s="168" t="n"/>
      <c r="L24" s="66" t="n"/>
      <c r="M24" s="66" t="n"/>
      <c r="N24" s="66" t="n"/>
      <c r="O24" s="66" t="n"/>
      <c r="P24" s="66" t="n"/>
      <c r="Q24" s="66" t="n"/>
    </row>
    <row r="25" ht="14.25" customHeight="1" s="309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</row>
    <row r="26" ht="14.25" customHeight="1" s="309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</row>
  </sheetData>
  <mergeCells count="9">
    <mergeCell ref="B2:C2"/>
    <mergeCell ref="F2:H3"/>
    <mergeCell ref="B12:P16"/>
    <mergeCell ref="D2:E2"/>
    <mergeCell ref="N19:P20"/>
    <mergeCell ref="B3:C3"/>
    <mergeCell ref="B10:P10"/>
    <mergeCell ref="H19:K22"/>
    <mergeCell ref="D3:E3"/>
  </mergeCells>
  <pageMargins left="0.3149606299212598" right="0.3149606299212598" top="0.8661417322834646" bottom="0.7480314960629921" header="0.3937007874015748" footer="0.3937007874015748"/>
  <pageSetup orientation="landscape" paperSize="9" fitToHeight="0"/>
  <headerFooter>
    <oddHeader/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3">
    <outlinePr summaryBelow="1" summaryRight="1"/>
    <pageSetUpPr fitToPage="1"/>
  </sheetPr>
  <dimension ref="A2:E30"/>
  <sheetViews>
    <sheetView view="pageBreakPreview" zoomScale="75" zoomScaleNormal="85" zoomScaleSheetLayoutView="75" workbookViewId="0">
      <selection activeCell="A1" sqref="A1"/>
    </sheetView>
  </sheetViews>
  <sheetFormatPr baseColWidth="8" defaultColWidth="9" defaultRowHeight="16.5"/>
  <cols>
    <col width="12.5" customWidth="1" style="11" min="1" max="2"/>
    <col width="65.5" customWidth="1" style="11" min="3" max="3"/>
    <col width="13" customWidth="1" style="11" min="4" max="4"/>
    <col width="11.625" customWidth="1" style="11" min="5" max="5"/>
    <col width="9" customWidth="1" style="11" min="6" max="16384"/>
  </cols>
  <sheetData>
    <row r="1" ht="13.5" customFormat="1" customHeight="1" s="4"/>
    <row r="2" ht="18" customFormat="1" customHeight="1" s="9">
      <c r="A2" s="197" t="inlineStr">
        <is>
          <t>▣ 개정이력</t>
        </is>
      </c>
      <c r="B2" s="8" t="n"/>
      <c r="C2" s="8" t="n"/>
      <c r="D2" s="8" t="n"/>
      <c r="E2" s="8" t="n"/>
    </row>
    <row r="3" ht="5.1" customFormat="1" customHeight="1" s="9" thickBot="1">
      <c r="B3" s="1" t="n"/>
      <c r="C3" s="1" t="n"/>
      <c r="D3" s="1" t="n"/>
      <c r="E3" s="1" t="n"/>
    </row>
    <row r="4" ht="18" customHeight="1" s="309">
      <c r="A4" s="37" t="inlineStr">
        <is>
          <t>개정번호</t>
        </is>
      </c>
      <c r="B4" s="38" t="inlineStr">
        <is>
          <t>개정일자</t>
        </is>
      </c>
      <c r="C4" s="38" t="inlineStr">
        <is>
          <t>개정내용</t>
        </is>
      </c>
      <c r="D4" s="38" t="inlineStr">
        <is>
          <t>작성자</t>
        </is>
      </c>
      <c r="E4" s="10" t="inlineStr">
        <is>
          <t>비고</t>
        </is>
      </c>
    </row>
    <row r="5">
      <c r="A5" s="12" t="inlineStr">
        <is>
          <t>v0.1</t>
        </is>
      </c>
      <c r="B5" s="13" t="inlineStr">
        <is>
          <t>2026. 00. 00.</t>
        </is>
      </c>
      <c r="C5" s="260" t="inlineStr">
        <is>
          <t>최초 작성</t>
        </is>
      </c>
      <c r="D5" s="14" t="inlineStr">
        <is>
          <t>시큐와우</t>
        </is>
      </c>
      <c r="E5" s="15" t="n"/>
    </row>
    <row r="6">
      <c r="A6" s="12" t="n"/>
      <c r="B6" s="13" t="n"/>
      <c r="C6" s="260" t="n"/>
      <c r="D6" s="14" t="n"/>
      <c r="E6" s="15" t="n"/>
    </row>
    <row r="7">
      <c r="A7" s="73" t="n"/>
      <c r="B7" s="13" t="n"/>
      <c r="C7" s="260" t="n"/>
      <c r="D7" s="14" t="n"/>
      <c r="E7" s="260" t="n"/>
    </row>
    <row r="8">
      <c r="A8" s="70" t="n"/>
      <c r="B8" s="71" t="n"/>
      <c r="C8" s="55" t="n"/>
      <c r="D8" s="72" t="n"/>
      <c r="E8" s="55" t="n"/>
    </row>
    <row r="9">
      <c r="A9" s="70" t="n"/>
      <c r="B9" s="71" t="n"/>
      <c r="C9" s="55" t="n"/>
      <c r="D9" s="72" t="n"/>
      <c r="E9" s="55" t="n"/>
    </row>
    <row r="10">
      <c r="A10" s="70" t="n"/>
      <c r="B10" s="71" t="n"/>
      <c r="C10" s="55" t="n"/>
      <c r="D10" s="72" t="n"/>
      <c r="E10" s="55" t="n"/>
    </row>
    <row r="11">
      <c r="A11" s="70" t="n"/>
      <c r="B11" s="71" t="n"/>
      <c r="C11" s="55" t="n"/>
      <c r="D11" s="72" t="n"/>
      <c r="E11" s="55" t="n"/>
    </row>
    <row r="12">
      <c r="A12" s="70" t="n"/>
      <c r="B12" s="71" t="n"/>
      <c r="C12" s="55" t="n"/>
      <c r="D12" s="72" t="n"/>
      <c r="E12" s="55" t="n"/>
    </row>
    <row r="13">
      <c r="A13" s="70" t="n"/>
      <c r="B13" s="71" t="n"/>
      <c r="C13" s="55" t="n"/>
      <c r="D13" s="72" t="n"/>
      <c r="E13" s="55" t="n"/>
    </row>
    <row r="14">
      <c r="A14" s="70" t="n"/>
      <c r="B14" s="71" t="n"/>
      <c r="C14" s="55" t="n"/>
      <c r="D14" s="72" t="n"/>
      <c r="E14" s="55" t="n"/>
    </row>
    <row r="15">
      <c r="A15" s="70" t="n"/>
      <c r="B15" s="71" t="n"/>
      <c r="C15" s="55" t="n"/>
      <c r="D15" s="72" t="n"/>
      <c r="E15" s="55" t="n"/>
    </row>
    <row r="16">
      <c r="A16" s="70" t="n"/>
      <c r="B16" s="71" t="n"/>
      <c r="C16" s="55" t="n"/>
      <c r="D16" s="72" t="n"/>
      <c r="E16" s="55" t="n"/>
    </row>
    <row r="17">
      <c r="A17" s="70" t="n"/>
      <c r="B17" s="71" t="n"/>
      <c r="C17" s="55" t="n"/>
      <c r="D17" s="72" t="n"/>
      <c r="E17" s="55" t="n"/>
    </row>
    <row r="18">
      <c r="A18" s="70" t="n"/>
      <c r="B18" s="71" t="n"/>
      <c r="C18" s="55" t="n"/>
      <c r="D18" s="72" t="n"/>
      <c r="E18" s="55" t="n"/>
    </row>
    <row r="19">
      <c r="A19" s="70" t="n"/>
      <c r="B19" s="71" t="n"/>
      <c r="C19" s="55" t="n"/>
      <c r="D19" s="72" t="n"/>
      <c r="E19" s="55" t="n"/>
    </row>
    <row r="20">
      <c r="A20" s="70" t="n"/>
      <c r="B20" s="71" t="n"/>
      <c r="C20" s="55" t="n"/>
      <c r="D20" s="72" t="n"/>
      <c r="E20" s="55" t="n"/>
    </row>
    <row r="21">
      <c r="A21" s="70" t="n"/>
      <c r="B21" s="71" t="n"/>
      <c r="C21" s="55" t="n"/>
      <c r="D21" s="72" t="n"/>
      <c r="E21" s="55" t="n"/>
    </row>
    <row r="22">
      <c r="A22" s="70" t="n"/>
      <c r="B22" s="71" t="n"/>
      <c r="C22" s="55" t="n"/>
      <c r="D22" s="72" t="n"/>
      <c r="E22" s="55" t="n"/>
    </row>
    <row r="23">
      <c r="A23" s="70" t="n"/>
      <c r="B23" s="71" t="n"/>
      <c r="C23" s="55" t="n"/>
      <c r="D23" s="72" t="n"/>
      <c r="E23" s="55" t="n"/>
    </row>
    <row r="24">
      <c r="A24" s="70" t="n"/>
      <c r="B24" s="71" t="n"/>
      <c r="C24" s="55" t="n"/>
      <c r="D24" s="72" t="n"/>
      <c r="E24" s="55" t="n"/>
    </row>
    <row r="25">
      <c r="A25" s="70" t="n"/>
      <c r="B25" s="71" t="n"/>
      <c r="C25" s="55" t="n"/>
      <c r="D25" s="72" t="n"/>
      <c r="E25" s="55" t="n"/>
    </row>
    <row r="26">
      <c r="A26" s="70" t="n"/>
      <c r="B26" s="71" t="n"/>
      <c r="C26" s="55" t="n"/>
      <c r="D26" s="72" t="n"/>
      <c r="E26" s="55" t="n"/>
    </row>
    <row r="27">
      <c r="A27" s="70" t="n"/>
      <c r="B27" s="71" t="n"/>
      <c r="C27" s="55" t="n"/>
      <c r="D27" s="72" t="n"/>
      <c r="E27" s="55" t="n"/>
    </row>
    <row r="28">
      <c r="A28" s="70" t="n"/>
      <c r="B28" s="71" t="n"/>
      <c r="C28" s="55" t="n"/>
      <c r="D28" s="72" t="n"/>
      <c r="E28" s="55" t="n"/>
    </row>
    <row r="29">
      <c r="A29" s="70" t="n"/>
      <c r="B29" s="71" t="n"/>
      <c r="C29" s="55" t="n"/>
      <c r="D29" s="72" t="n"/>
      <c r="E29" s="55" t="n"/>
    </row>
    <row r="30">
      <c r="A30" s="70" t="n"/>
      <c r="B30" s="71" t="n"/>
      <c r="C30" s="55" t="n"/>
      <c r="D30" s="72" t="n"/>
      <c r="E30" s="55" t="n"/>
    </row>
  </sheetData>
  <printOptions horizontalCentered="1"/>
  <pageMargins left="0.3937007874015748" right="0.3937007874015748" top="0.5905511811023623" bottom="0.5905511811023623" header="0.1968503937007874" footer="0.1968503937007874"/>
  <pageSetup orientation="portrait" paperSize="9" scale="76" fitToHeight="0"/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R29"/>
  <sheetViews>
    <sheetView view="pageBreakPreview" zoomScale="75" zoomScaleNormal="100" zoomScaleSheetLayoutView="75" workbookViewId="0">
      <selection activeCell="B1" sqref="B1"/>
    </sheetView>
  </sheetViews>
  <sheetFormatPr baseColWidth="8" defaultColWidth="9" defaultRowHeight="13.5" customHeight="1"/>
  <cols>
    <col width="1.625" customWidth="1" style="4" min="1" max="1"/>
    <col width="2" customWidth="1" style="4" min="2" max="2"/>
    <col width="1.625" customWidth="1" style="4" min="3" max="3"/>
    <col width="15.5" customWidth="1" style="4" min="4" max="4"/>
    <col width="6.25" customWidth="1" style="4" min="5" max="18"/>
    <col width="9" customWidth="1" style="4" min="19" max="1638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7.25" customHeight="1" s="309">
      <c r="A2" s="185" t="inlineStr">
        <is>
          <t>1. 목적</t>
        </is>
      </c>
    </row>
    <row r="3" ht="33" customHeight="1" s="309">
      <c r="B3" s="186" t="inlineStr">
        <is>
          <t>본 보고서는 세계사이버대학의 PC 취약점 점검 결과에 대한 보고서입니다. 따라서 본 보고서와 "보안 가이드"를 함께 참고하여 취약점이 도출된 항목에 대해 취약점을 제거 함으로써 해당 PC의 보안 강화를 목적으로 합니다.</t>
        </is>
      </c>
    </row>
    <row r="5" ht="17.25" customHeight="1" s="309">
      <c r="A5" s="185" t="inlineStr">
        <is>
          <t>2. 평가 정의</t>
        </is>
      </c>
    </row>
    <row r="6">
      <c r="B6" s="187" t="inlineStr">
        <is>
          <t>2.1. 취약성 평가</t>
        </is>
      </c>
    </row>
    <row r="7">
      <c r="C7" s="187" t="inlineStr">
        <is>
          <t>2.1.1. 점검항목의 중요도 및 점수 지정</t>
        </is>
      </c>
    </row>
    <row r="8" ht="13.5" customHeight="1" s="309">
      <c r="C8" s="184" t="inlineStr">
        <is>
          <t>점검 결과</t>
        </is>
      </c>
      <c r="D8" s="313" t="n"/>
      <c r="E8" s="184" t="inlineStr">
        <is>
          <t>평가항목의 중요도</t>
        </is>
      </c>
      <c r="F8" s="317" t="n"/>
      <c r="G8" s="317" t="n"/>
      <c r="H8" s="317" t="n"/>
      <c r="I8" s="317" t="n"/>
      <c r="J8" s="310" t="n"/>
    </row>
    <row r="9">
      <c r="C9" s="314" t="n"/>
      <c r="D9" s="316" t="n"/>
      <c r="E9" s="184" t="inlineStr">
        <is>
          <t>상</t>
        </is>
      </c>
      <c r="F9" s="310" t="n"/>
      <c r="G9" s="184" t="inlineStr">
        <is>
          <t>중</t>
        </is>
      </c>
      <c r="H9" s="310" t="n"/>
      <c r="I9" s="184" t="inlineStr">
        <is>
          <t>하</t>
        </is>
      </c>
      <c r="J9" s="310" t="n"/>
    </row>
    <row r="10" ht="27" customHeight="1" s="309">
      <c r="A10" s="5" t="n"/>
      <c r="B10" s="5" t="n"/>
      <c r="C10" s="318" t="inlineStr">
        <is>
          <t>취약
(취약점 발견)</t>
        </is>
      </c>
      <c r="D10" s="310" t="n"/>
      <c r="E10" s="191" t="inlineStr">
        <is>
          <t>10점</t>
        </is>
      </c>
      <c r="F10" s="310" t="n"/>
      <c r="G10" s="191" t="inlineStr">
        <is>
          <t>8점</t>
        </is>
      </c>
      <c r="H10" s="310" t="n"/>
      <c r="I10" s="191" t="inlineStr">
        <is>
          <t>6점</t>
        </is>
      </c>
      <c r="J10" s="310" t="n"/>
      <c r="M10" s="5" t="n"/>
      <c r="N10" s="5" t="n"/>
      <c r="O10" s="5" t="n"/>
    </row>
    <row r="11" ht="27" customHeight="1" s="309">
      <c r="A11" s="5" t="n"/>
      <c r="B11" s="6" t="n"/>
      <c r="C11" s="318" t="inlineStr">
        <is>
          <t>양호
(취약점 제거)</t>
        </is>
      </c>
      <c r="D11" s="310" t="n"/>
      <c r="E11" s="191" t="inlineStr">
        <is>
          <t>0점</t>
        </is>
      </c>
      <c r="F11" s="310" t="n"/>
      <c r="G11" s="191" t="inlineStr">
        <is>
          <t>0점</t>
        </is>
      </c>
      <c r="H11" s="310" t="n"/>
      <c r="I11" s="191" t="inlineStr">
        <is>
          <t>0점</t>
        </is>
      </c>
      <c r="J11" s="310" t="n"/>
      <c r="N11" s="5" t="n"/>
    </row>
    <row r="12" ht="27" customHeight="1" s="309">
      <c r="A12" s="5" t="n"/>
      <c r="C12" s="318" t="inlineStr">
        <is>
          <t>부분만족
(일부취약점만 제거)</t>
        </is>
      </c>
      <c r="D12" s="310" t="n"/>
      <c r="E12" s="191" t="inlineStr">
        <is>
          <t>5점</t>
        </is>
      </c>
      <c r="F12" s="310" t="n"/>
      <c r="G12" s="191" t="inlineStr">
        <is>
          <t>4점</t>
        </is>
      </c>
      <c r="H12" s="310" t="n"/>
      <c r="I12" s="191" t="inlineStr">
        <is>
          <t>3점</t>
        </is>
      </c>
      <c r="J12" s="310" t="n"/>
      <c r="N12" s="5" t="n"/>
    </row>
    <row r="13">
      <c r="A13" s="5" t="n"/>
      <c r="F13" s="5" t="n"/>
      <c r="N13" s="5" t="n"/>
    </row>
    <row r="14">
      <c r="A14" s="5" t="n"/>
      <c r="C14" s="192" t="inlineStr">
        <is>
          <t>2.1.2. 기술적 취약점 점수 계산</t>
        </is>
      </c>
    </row>
    <row r="15">
      <c r="A15" s="5" t="n"/>
      <c r="D15" s="188" t="inlineStr">
        <is>
          <t>• 모든 취약점이 식별 되었을 경우의 점수 합(전체점수) : A</t>
        </is>
      </c>
    </row>
    <row r="16">
      <c r="A16" s="5" t="n"/>
      <c r="D16" s="188" t="inlineStr">
        <is>
          <t>• 식별된 취약점들의 점수의 점수 합(취약점수) : B</t>
        </is>
      </c>
    </row>
    <row r="17" ht="27" customHeight="1" s="309">
      <c r="A17" s="5" t="n"/>
      <c r="D17" s="188" t="inlineStr">
        <is>
          <t xml:space="preserve">• 계산식 : </t>
        </is>
      </c>
    </row>
    <row r="18">
      <c r="A18" s="5" t="n"/>
      <c r="D18" s="188" t="inlineStr">
        <is>
          <t>• 자산의 수 : N</t>
        </is>
      </c>
    </row>
    <row r="19">
      <c r="A19" s="5" t="n"/>
      <c r="D19" s="188" t="inlineStr">
        <is>
          <t>• 자산별 점수 : S1, S2, …, SN</t>
        </is>
      </c>
    </row>
    <row r="20" ht="27" customHeight="1" s="309">
      <c r="A20" s="5" t="n"/>
      <c r="D20" s="188" t="inlineStr">
        <is>
          <t xml:space="preserve">• 계산식 : </t>
        </is>
      </c>
    </row>
    <row r="22" ht="17.25" customHeight="1" s="309">
      <c r="A22" s="194" t="inlineStr">
        <is>
          <t>3. 취약점 제거 방안</t>
        </is>
      </c>
    </row>
    <row r="23">
      <c r="B23" s="195" t="inlineStr">
        <is>
          <t>3.1 긴급 조치 항목 우선 제거</t>
        </is>
      </c>
    </row>
    <row r="24">
      <c r="C24" s="195" t="inlineStr">
        <is>
          <t>• 긴급히 조치해야할 항목으로써 우선적으로 취약점을 제거하여 주십시오.</t>
        </is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K25" s="7" t="n"/>
      <c r="L25" s="7" t="n"/>
      <c r="M25" s="7" t="n"/>
      <c r="N25" s="7" t="n"/>
    </row>
    <row r="26">
      <c r="B26" s="195" t="inlineStr">
        <is>
          <t>3.2 "보안 가이드"를 참고하여 취약점 제거</t>
        </is>
      </c>
    </row>
    <row r="27">
      <c r="C27" s="193" t="inlineStr">
        <is>
          <t>• 취약한 항목의 코드와 동일한 항목을 "보안가이드"에서 해당 항목에서 찾습니다.</t>
        </is>
      </c>
    </row>
    <row r="28">
      <c r="C28" s="196" t="inlineStr">
        <is>
          <t>• "보안가이드"에서 해당 항목의 &lt;조치방안&gt;을 참고하여 시스템 환경과 서비스에 맞도록 삭제 또는 수정 등으로 취약점을 제거하여 주십시오.</t>
        </is>
      </c>
    </row>
    <row r="29">
      <c r="C29" s="193" t="inlineStr">
        <is>
          <t>• &lt;조치방안&gt;은 해당 자산 정보에 맞춰서 참고하시기 바랍니다.</t>
        </is>
      </c>
    </row>
  </sheetData>
  <mergeCells count="36">
    <mergeCell ref="E12:F12"/>
    <mergeCell ref="G12:H12"/>
    <mergeCell ref="D20:N20"/>
    <mergeCell ref="G11:H11"/>
    <mergeCell ref="D19:N19"/>
    <mergeCell ref="I11:J11"/>
    <mergeCell ref="B3:R3"/>
    <mergeCell ref="B6:N6"/>
    <mergeCell ref="C8:D9"/>
    <mergeCell ref="C28:R28"/>
    <mergeCell ref="C10:D10"/>
    <mergeCell ref="E10:F10"/>
    <mergeCell ref="C27:N27"/>
    <mergeCell ref="G10:H10"/>
    <mergeCell ref="B26:N26"/>
    <mergeCell ref="E9:F9"/>
    <mergeCell ref="C7:N7"/>
    <mergeCell ref="D17:N17"/>
    <mergeCell ref="C12:D12"/>
    <mergeCell ref="I12:J12"/>
    <mergeCell ref="D16:N16"/>
    <mergeCell ref="C11:D11"/>
    <mergeCell ref="A2:N2"/>
    <mergeCell ref="E11:F11"/>
    <mergeCell ref="A5:N5"/>
    <mergeCell ref="D18:N18"/>
    <mergeCell ref="C29:N29"/>
    <mergeCell ref="C24:N24"/>
    <mergeCell ref="A22:N22"/>
    <mergeCell ref="B23:N23"/>
    <mergeCell ref="C14:H14"/>
    <mergeCell ref="I10:J10"/>
    <mergeCell ref="D15:N15"/>
    <mergeCell ref="E8:J8"/>
    <mergeCell ref="G9:H9"/>
    <mergeCell ref="I9:J9"/>
  </mergeCells>
  <printOptions horizontalCentered="1"/>
  <pageMargins left="0.3937007874015748" right="0.3937007874015748" top="0.5905511811023623" bottom="0.5905511811023623" header="0.1968503937007874" footer="0.1968503937007874"/>
  <pageSetup orientation="portrait" paperSize="9" scale="74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T7"/>
  <sheetViews>
    <sheetView view="pageBreakPreview" zoomScale="75" zoomScaleNormal="100" zoomScaleSheetLayoutView="75" workbookViewId="0">
      <selection activeCell="A1" sqref="A1"/>
    </sheetView>
  </sheetViews>
  <sheetFormatPr baseColWidth="8" defaultColWidth="9" defaultRowHeight="13.5"/>
  <cols>
    <col width="5.625" customWidth="1" style="9" min="1" max="1"/>
    <col width="19.625" customWidth="1" style="9" min="2" max="5"/>
    <col width="3.5" customWidth="1" style="9" min="6" max="8"/>
    <col width="6.25" customWidth="1" style="9" min="9" max="9"/>
    <col width="12.25" customWidth="1" style="9" min="10" max="10"/>
    <col width="9" customWidth="1" style="9" min="11" max="16384"/>
  </cols>
  <sheetData>
    <row r="1" customFormat="1" s="4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8" customHeight="1" s="309">
      <c r="A2" s="197" t="inlineStr">
        <is>
          <t>▣ PC 점검대상</t>
        </is>
      </c>
      <c r="K2" s="16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</row>
    <row r="3" ht="5.1" customHeight="1" s="309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6.5" customHeight="1" s="309">
      <c r="A4" s="1" t="n"/>
      <c r="B4" s="1" t="n"/>
      <c r="C4" s="1" t="n"/>
      <c r="D4" s="1" t="n"/>
      <c r="E4" s="1" t="n"/>
      <c r="F4" s="1" t="n"/>
      <c r="G4" s="1" t="n"/>
      <c r="H4" s="1" t="n"/>
      <c r="I4" s="198" t="inlineStr">
        <is>
          <t>DoA</t>
        </is>
      </c>
      <c r="J4" s="56" t="n">
        <v>7</v>
      </c>
    </row>
    <row r="5">
      <c r="A5" s="198" t="inlineStr">
        <is>
          <t>No</t>
        </is>
      </c>
      <c r="B5" s="198" t="inlineStr">
        <is>
          <t>자산정보</t>
        </is>
      </c>
      <c r="C5" s="317" t="n"/>
      <c r="D5" s="317" t="n"/>
      <c r="E5" s="310" t="n"/>
      <c r="F5" s="198" t="inlineStr">
        <is>
          <t>자산평가</t>
        </is>
      </c>
      <c r="G5" s="317" t="n"/>
      <c r="H5" s="317" t="n"/>
      <c r="I5" s="310" t="n"/>
      <c r="J5" s="198" t="inlineStr">
        <is>
          <t>비고</t>
        </is>
      </c>
    </row>
    <row r="6">
      <c r="A6" s="319" t="n"/>
      <c r="B6" s="198" t="inlineStr">
        <is>
          <t>HostName</t>
        </is>
      </c>
      <c r="C6" s="198" t="inlineStr">
        <is>
          <t>O/S</t>
        </is>
      </c>
      <c r="D6" s="198" t="inlineStr">
        <is>
          <t xml:space="preserve"> IP</t>
        </is>
      </c>
      <c r="E6" s="198" t="inlineStr">
        <is>
          <t>용도</t>
        </is>
      </c>
      <c r="F6" s="198" t="inlineStr">
        <is>
          <t>C</t>
        </is>
      </c>
      <c r="G6" s="198" t="inlineStr">
        <is>
          <t>I</t>
        </is>
      </c>
      <c r="H6" s="198" t="inlineStr">
        <is>
          <t>A</t>
        </is>
      </c>
      <c r="I6" s="198" t="inlineStr">
        <is>
          <t>등급</t>
        </is>
      </c>
      <c r="J6" s="319" t="n"/>
    </row>
    <row r="7" ht="15" customHeight="1" s="309">
      <c r="A7" s="54">
        <f>HYPERLINK("[" &amp; MID(CELL("filename"),SEARCH("[",CELL("filename"))+1, SEARCH("]",CELL("filename"))-SEARCH("[",CELL("filename"))-1) &amp; "]'요약 통계'!" &amp; ADDRESS(4,ROW()+5,1,TRUE),ROW()-6)</f>
        <v/>
      </c>
      <c r="B7" s="74" t="inlineStr">
        <is>
          <t>test_DBMS</t>
        </is>
      </c>
      <c r="C7" s="76" t="inlineStr">
        <is>
          <t>Ubuntu 20.04.6 LTS</t>
        </is>
      </c>
      <c r="D7" s="76" t="inlineStr">
        <is>
          <t>192.168.1.14</t>
        </is>
      </c>
      <c r="E7" s="74" t="inlineStr">
        <is>
          <t>학사관리서버</t>
        </is>
      </c>
      <c r="F7" s="74" t="n">
        <v>3</v>
      </c>
      <c r="G7" s="74" t="n">
        <v>3</v>
      </c>
      <c r="H7" s="74" t="n">
        <v>3</v>
      </c>
      <c r="I7" s="74">
        <f>IF(AND(SUM(F7:H7)&gt;=8, SUM(F7:H7)&lt;=9), "1등급", IF(AND(SUM(F7:H7)&gt;=6, SUM(F7:H7)&lt;=7), "2등급", IF(AND(SUM(F7:H7)&gt;=3, SUM(F7:H7)&lt;=5), "3등급", "")))</f>
        <v/>
      </c>
      <c r="J7" s="18" t="n"/>
    </row>
  </sheetData>
  <mergeCells count="5">
    <mergeCell ref="A5:A6"/>
    <mergeCell ref="J5:J6"/>
    <mergeCell ref="B5:E5"/>
    <mergeCell ref="A2:J2"/>
    <mergeCell ref="F5:I5"/>
  </mergeCells>
  <conditionalFormatting sqref="B7">
    <cfRule type="duplicateValues" priority="55" dxfId="12"/>
    <cfRule type="duplicateValues" priority="56" dxfId="12"/>
  </conditionalFormatting>
  <conditionalFormatting sqref="B1:B6 B8:B1048576">
    <cfRule type="duplicateValues" priority="53" dxfId="12"/>
    <cfRule type="duplicateValues" priority="54" dxfId="12"/>
  </conditionalFormatting>
  <dataValidations disablePrompts="1" count="1">
    <dataValidation sqref="J65470 J131006 J196542 J262078 J327614 J393150 J458686 J524222 J589758 J655294 J720830 J786366 J851902 J917438 J982974" showDropDown="0" showInputMessage="1" showErrorMessage="1" allowBlank="0" type="list">
      <formula1>"-,1,2,3,4,5,6,7,8,9"</formula1>
    </dataValidation>
  </dataValidations>
  <printOptions horizontalCentered="1"/>
  <pageMargins left="0.3937007874015748" right="0.3937007874015748" top="0.5905511811023623" bottom="0.5905511811023623" header="0.1968503937007874" footer="0.1968503937007874"/>
  <pageSetup orientation="portrait" paperSize="9" scale="71" fitToHeight="0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L91"/>
  <sheetViews>
    <sheetView view="pageBreakPreview" zoomScale="75" zoomScaleNormal="85" zoomScaleSheetLayoutView="75" workbookViewId="0">
      <selection activeCell="L4" sqref="L4:L5"/>
    </sheetView>
  </sheetViews>
  <sheetFormatPr baseColWidth="8" defaultRowHeight="16.5"/>
  <cols>
    <col width="9.25" bestFit="1" customWidth="1" style="11" min="1" max="1"/>
    <col width="9" customWidth="1" style="11" min="2" max="2"/>
    <col width="40.5" customWidth="1" style="11" min="3" max="3"/>
    <col width="6.25" customWidth="1" style="11" min="4" max="5"/>
    <col width="9.5" customWidth="1" style="11" min="6" max="6"/>
    <col width="8.875" customWidth="1" style="11" min="7" max="7"/>
    <col width="6.625" customWidth="1" style="11" min="8" max="9"/>
    <col width="9.25" customWidth="1" style="11" min="10" max="10"/>
    <col width="9.5" customWidth="1" style="11" min="11" max="11"/>
    <col width="13.5" customWidth="1" style="11" min="12" max="12"/>
    <col width="9" customWidth="1" style="11" min="13" max="160"/>
    <col width="2.625" customWidth="1" style="11" min="161" max="161"/>
    <col width="9.25" bestFit="1" customWidth="1" style="11" min="162" max="162"/>
    <col width="9" customWidth="1" style="11" min="163" max="163"/>
    <col width="40.5" customWidth="1" style="11" min="164" max="164"/>
    <col width="6.25" customWidth="1" style="11" min="165" max="166"/>
    <col width="6.625" customWidth="1" style="11" min="167" max="172"/>
    <col width="9.25" customWidth="1" style="11" min="173" max="222"/>
    <col width="2.625" customWidth="1" style="11" min="223" max="223"/>
    <col width="9" customWidth="1" style="11" min="224" max="416"/>
    <col width="2.625" customWidth="1" style="11" min="417" max="417"/>
    <col width="9.25" bestFit="1" customWidth="1" style="11" min="418" max="418"/>
    <col width="9" customWidth="1" style="11" min="419" max="419"/>
    <col width="40.5" customWidth="1" style="11" min="420" max="420"/>
    <col width="6.25" customWidth="1" style="11" min="421" max="422"/>
    <col width="6.625" customWidth="1" style="11" min="423" max="428"/>
    <col width="9.25" customWidth="1" style="11" min="429" max="478"/>
    <col width="2.625" customWidth="1" style="11" min="479" max="479"/>
    <col width="9" customWidth="1" style="11" min="480" max="672"/>
    <col width="2.625" customWidth="1" style="11" min="673" max="673"/>
    <col width="9.25" bestFit="1" customWidth="1" style="11" min="674" max="674"/>
    <col width="9" customWidth="1" style="11" min="675" max="675"/>
    <col width="40.5" customWidth="1" style="11" min="676" max="676"/>
    <col width="6.25" customWidth="1" style="11" min="677" max="678"/>
    <col width="6.625" customWidth="1" style="11" min="679" max="684"/>
    <col width="9.25" customWidth="1" style="11" min="685" max="734"/>
    <col width="2.625" customWidth="1" style="11" min="735" max="735"/>
    <col width="9" customWidth="1" style="11" min="736" max="928"/>
    <col width="2.625" customWidth="1" style="11" min="929" max="929"/>
    <col width="9.25" bestFit="1" customWidth="1" style="11" min="930" max="930"/>
    <col width="9" customWidth="1" style="11" min="931" max="931"/>
    <col width="40.5" customWidth="1" style="11" min="932" max="932"/>
    <col width="6.25" customWidth="1" style="11" min="933" max="934"/>
    <col width="6.625" customWidth="1" style="11" min="935" max="940"/>
    <col width="9.25" customWidth="1" style="11" min="941" max="990"/>
    <col width="2.625" customWidth="1" style="11" min="991" max="991"/>
    <col width="9" customWidth="1" style="11" min="992" max="1184"/>
    <col width="2.625" customWidth="1" style="11" min="1185" max="1185"/>
    <col width="9.25" bestFit="1" customWidth="1" style="11" min="1186" max="1186"/>
    <col width="9" customWidth="1" style="11" min="1187" max="1187"/>
    <col width="40.5" customWidth="1" style="11" min="1188" max="1188"/>
    <col width="6.25" customWidth="1" style="11" min="1189" max="1190"/>
    <col width="6.625" customWidth="1" style="11" min="1191" max="1196"/>
    <col width="9.25" customWidth="1" style="11" min="1197" max="1246"/>
    <col width="2.625" customWidth="1" style="11" min="1247" max="1247"/>
    <col width="9" customWidth="1" style="11" min="1248" max="1440"/>
    <col width="2.625" customWidth="1" style="11" min="1441" max="1441"/>
    <col width="9.25" bestFit="1" customWidth="1" style="11" min="1442" max="1442"/>
    <col width="9" customWidth="1" style="11" min="1443" max="1443"/>
    <col width="40.5" customWidth="1" style="11" min="1444" max="1444"/>
    <col width="6.25" customWidth="1" style="11" min="1445" max="1446"/>
    <col width="6.625" customWidth="1" style="11" min="1447" max="1452"/>
    <col width="9.25" customWidth="1" style="11" min="1453" max="1502"/>
    <col width="2.625" customWidth="1" style="11" min="1503" max="1503"/>
    <col width="9" customWidth="1" style="11" min="1504" max="1696"/>
    <col width="2.625" customWidth="1" style="11" min="1697" max="1697"/>
    <col width="9.25" bestFit="1" customWidth="1" style="11" min="1698" max="1698"/>
    <col width="9" customWidth="1" style="11" min="1699" max="1699"/>
    <col width="40.5" customWidth="1" style="11" min="1700" max="1700"/>
    <col width="6.25" customWidth="1" style="11" min="1701" max="1702"/>
    <col width="6.625" customWidth="1" style="11" min="1703" max="1708"/>
    <col width="9.25" customWidth="1" style="11" min="1709" max="1758"/>
    <col width="2.625" customWidth="1" style="11" min="1759" max="1759"/>
    <col width="9" customWidth="1" style="11" min="1760" max="1952"/>
    <col width="2.625" customWidth="1" style="11" min="1953" max="1953"/>
    <col width="9.25" bestFit="1" customWidth="1" style="11" min="1954" max="1954"/>
    <col width="9" customWidth="1" style="11" min="1955" max="1955"/>
    <col width="40.5" customWidth="1" style="11" min="1956" max="1956"/>
    <col width="6.25" customWidth="1" style="11" min="1957" max="1958"/>
    <col width="6.625" customWidth="1" style="11" min="1959" max="1964"/>
    <col width="9.25" customWidth="1" style="11" min="1965" max="2014"/>
    <col width="2.625" customWidth="1" style="11" min="2015" max="2015"/>
    <col width="9" customWidth="1" style="11" min="2016" max="2208"/>
    <col width="2.625" customWidth="1" style="11" min="2209" max="2209"/>
    <col width="9.25" bestFit="1" customWidth="1" style="11" min="2210" max="2210"/>
    <col width="9" customWidth="1" style="11" min="2211" max="2211"/>
    <col width="40.5" customWidth="1" style="11" min="2212" max="2212"/>
    <col width="6.25" customWidth="1" style="11" min="2213" max="2214"/>
    <col width="6.625" customWidth="1" style="11" min="2215" max="2220"/>
    <col width="9.25" customWidth="1" style="11" min="2221" max="2270"/>
    <col width="2.625" customWidth="1" style="11" min="2271" max="2271"/>
    <col width="9" customWidth="1" style="11" min="2272" max="2464"/>
    <col width="2.625" customWidth="1" style="11" min="2465" max="2465"/>
    <col width="9.25" bestFit="1" customWidth="1" style="11" min="2466" max="2466"/>
    <col width="9" customWidth="1" style="11" min="2467" max="2467"/>
    <col width="40.5" customWidth="1" style="11" min="2468" max="2468"/>
    <col width="6.25" customWidth="1" style="11" min="2469" max="2470"/>
    <col width="6.625" customWidth="1" style="11" min="2471" max="2476"/>
    <col width="9.25" customWidth="1" style="11" min="2477" max="2526"/>
    <col width="2.625" customWidth="1" style="11" min="2527" max="2527"/>
    <col width="9" customWidth="1" style="11" min="2528" max="2720"/>
    <col width="2.625" customWidth="1" style="11" min="2721" max="2721"/>
    <col width="9.25" bestFit="1" customWidth="1" style="11" min="2722" max="2722"/>
    <col width="9" customWidth="1" style="11" min="2723" max="2723"/>
    <col width="40.5" customWidth="1" style="11" min="2724" max="2724"/>
    <col width="6.25" customWidth="1" style="11" min="2725" max="2726"/>
    <col width="6.625" customWidth="1" style="11" min="2727" max="2732"/>
    <col width="9.25" customWidth="1" style="11" min="2733" max="2782"/>
    <col width="2.625" customWidth="1" style="11" min="2783" max="2783"/>
    <col width="9" customWidth="1" style="11" min="2784" max="2976"/>
    <col width="2.625" customWidth="1" style="11" min="2977" max="2977"/>
    <col width="9.25" bestFit="1" customWidth="1" style="11" min="2978" max="2978"/>
    <col width="9" customWidth="1" style="11" min="2979" max="2979"/>
    <col width="40.5" customWidth="1" style="11" min="2980" max="2980"/>
    <col width="6.25" customWidth="1" style="11" min="2981" max="2982"/>
    <col width="6.625" customWidth="1" style="11" min="2983" max="2988"/>
    <col width="9.25" customWidth="1" style="11" min="2989" max="3038"/>
    <col width="2.625" customWidth="1" style="11" min="3039" max="3039"/>
    <col width="9" customWidth="1" style="11" min="3040" max="3232"/>
    <col width="2.625" customWidth="1" style="11" min="3233" max="3233"/>
    <col width="9.25" bestFit="1" customWidth="1" style="11" min="3234" max="3234"/>
    <col width="9" customWidth="1" style="11" min="3235" max="3235"/>
    <col width="40.5" customWidth="1" style="11" min="3236" max="3236"/>
    <col width="6.25" customWidth="1" style="11" min="3237" max="3238"/>
    <col width="6.625" customWidth="1" style="11" min="3239" max="3244"/>
    <col width="9.25" customWidth="1" style="11" min="3245" max="3294"/>
    <col width="2.625" customWidth="1" style="11" min="3295" max="3295"/>
    <col width="9" customWidth="1" style="11" min="3296" max="3488"/>
    <col width="2.625" customWidth="1" style="11" min="3489" max="3489"/>
    <col width="9.25" bestFit="1" customWidth="1" style="11" min="3490" max="3490"/>
    <col width="9" customWidth="1" style="11" min="3491" max="3491"/>
    <col width="40.5" customWidth="1" style="11" min="3492" max="3492"/>
    <col width="6.25" customWidth="1" style="11" min="3493" max="3494"/>
    <col width="6.625" customWidth="1" style="11" min="3495" max="3500"/>
    <col width="9.25" customWidth="1" style="11" min="3501" max="3550"/>
    <col width="2.625" customWidth="1" style="11" min="3551" max="3551"/>
    <col width="9" customWidth="1" style="11" min="3552" max="3744"/>
    <col width="2.625" customWidth="1" style="11" min="3745" max="3745"/>
    <col width="9.25" bestFit="1" customWidth="1" style="11" min="3746" max="3746"/>
    <col width="9" customWidth="1" style="11" min="3747" max="3747"/>
    <col width="40.5" customWidth="1" style="11" min="3748" max="3748"/>
    <col width="6.25" customWidth="1" style="11" min="3749" max="3750"/>
    <col width="6.625" customWidth="1" style="11" min="3751" max="3756"/>
    <col width="9.25" customWidth="1" style="11" min="3757" max="3806"/>
    <col width="2.625" customWidth="1" style="11" min="3807" max="3807"/>
    <col width="9" customWidth="1" style="11" min="3808" max="4000"/>
    <col width="2.625" customWidth="1" style="11" min="4001" max="4001"/>
    <col width="9.25" bestFit="1" customWidth="1" style="11" min="4002" max="4002"/>
    <col width="9" customWidth="1" style="11" min="4003" max="4003"/>
    <col width="40.5" customWidth="1" style="11" min="4004" max="4004"/>
    <col width="6.25" customWidth="1" style="11" min="4005" max="4006"/>
    <col width="6.625" customWidth="1" style="11" min="4007" max="4012"/>
    <col width="9.25" customWidth="1" style="11" min="4013" max="4062"/>
    <col width="2.625" customWidth="1" style="11" min="4063" max="4063"/>
    <col width="9" customWidth="1" style="11" min="4064" max="4256"/>
    <col width="2.625" customWidth="1" style="11" min="4257" max="4257"/>
    <col width="9.25" bestFit="1" customWidth="1" style="11" min="4258" max="4258"/>
    <col width="9" customWidth="1" style="11" min="4259" max="4259"/>
    <col width="40.5" customWidth="1" style="11" min="4260" max="4260"/>
    <col width="6.25" customWidth="1" style="11" min="4261" max="4262"/>
    <col width="6.625" customWidth="1" style="11" min="4263" max="4268"/>
    <col width="9.25" customWidth="1" style="11" min="4269" max="4318"/>
    <col width="2.625" customWidth="1" style="11" min="4319" max="4319"/>
    <col width="9" customWidth="1" style="11" min="4320" max="4512"/>
    <col width="2.625" customWidth="1" style="11" min="4513" max="4513"/>
    <col width="9.25" bestFit="1" customWidth="1" style="11" min="4514" max="4514"/>
    <col width="9" customWidth="1" style="11" min="4515" max="4515"/>
    <col width="40.5" customWidth="1" style="11" min="4516" max="4516"/>
    <col width="6.25" customWidth="1" style="11" min="4517" max="4518"/>
    <col width="6.625" customWidth="1" style="11" min="4519" max="4524"/>
    <col width="9.25" customWidth="1" style="11" min="4525" max="4574"/>
    <col width="2.625" customWidth="1" style="11" min="4575" max="4575"/>
    <col width="9" customWidth="1" style="11" min="4576" max="4768"/>
    <col width="2.625" customWidth="1" style="11" min="4769" max="4769"/>
    <col width="9.25" bestFit="1" customWidth="1" style="11" min="4770" max="4770"/>
    <col width="9" customWidth="1" style="11" min="4771" max="4771"/>
    <col width="40.5" customWidth="1" style="11" min="4772" max="4772"/>
    <col width="6.25" customWidth="1" style="11" min="4773" max="4774"/>
    <col width="6.625" customWidth="1" style="11" min="4775" max="4780"/>
    <col width="9.25" customWidth="1" style="11" min="4781" max="4830"/>
    <col width="2.625" customWidth="1" style="11" min="4831" max="4831"/>
    <col width="9" customWidth="1" style="11" min="4832" max="5024"/>
    <col width="2.625" customWidth="1" style="11" min="5025" max="5025"/>
    <col width="9.25" bestFit="1" customWidth="1" style="11" min="5026" max="5026"/>
    <col width="9" customWidth="1" style="11" min="5027" max="5027"/>
    <col width="40.5" customWidth="1" style="11" min="5028" max="5028"/>
    <col width="6.25" customWidth="1" style="11" min="5029" max="5030"/>
    <col width="6.625" customWidth="1" style="11" min="5031" max="5036"/>
    <col width="9.25" customWidth="1" style="11" min="5037" max="5086"/>
    <col width="2.625" customWidth="1" style="11" min="5087" max="5087"/>
    <col width="9" customWidth="1" style="11" min="5088" max="5280"/>
    <col width="2.625" customWidth="1" style="11" min="5281" max="5281"/>
    <col width="9.25" bestFit="1" customWidth="1" style="11" min="5282" max="5282"/>
    <col width="9" customWidth="1" style="11" min="5283" max="5283"/>
    <col width="40.5" customWidth="1" style="11" min="5284" max="5284"/>
    <col width="6.25" customWidth="1" style="11" min="5285" max="5286"/>
    <col width="6.625" customWidth="1" style="11" min="5287" max="5292"/>
    <col width="9.25" customWidth="1" style="11" min="5293" max="5342"/>
    <col width="2.625" customWidth="1" style="11" min="5343" max="5343"/>
    <col width="9" customWidth="1" style="11" min="5344" max="5536"/>
    <col width="2.625" customWidth="1" style="11" min="5537" max="5537"/>
    <col width="9.25" bestFit="1" customWidth="1" style="11" min="5538" max="5538"/>
    <col width="9" customWidth="1" style="11" min="5539" max="5539"/>
    <col width="40.5" customWidth="1" style="11" min="5540" max="5540"/>
    <col width="6.25" customWidth="1" style="11" min="5541" max="5542"/>
    <col width="6.625" customWidth="1" style="11" min="5543" max="5548"/>
    <col width="9.25" customWidth="1" style="11" min="5549" max="5598"/>
    <col width="2.625" customWidth="1" style="11" min="5599" max="5599"/>
    <col width="9" customWidth="1" style="11" min="5600" max="5792"/>
    <col width="2.625" customWidth="1" style="11" min="5793" max="5793"/>
    <col width="9.25" bestFit="1" customWidth="1" style="11" min="5794" max="5794"/>
    <col width="9" customWidth="1" style="11" min="5795" max="5795"/>
    <col width="40.5" customWidth="1" style="11" min="5796" max="5796"/>
    <col width="6.25" customWidth="1" style="11" min="5797" max="5798"/>
    <col width="6.625" customWidth="1" style="11" min="5799" max="5804"/>
    <col width="9.25" customWidth="1" style="11" min="5805" max="5854"/>
    <col width="2.625" customWidth="1" style="11" min="5855" max="5855"/>
    <col width="9" customWidth="1" style="11" min="5856" max="6048"/>
    <col width="2.625" customWidth="1" style="11" min="6049" max="6049"/>
    <col width="9.25" bestFit="1" customWidth="1" style="11" min="6050" max="6050"/>
    <col width="9" customWidth="1" style="11" min="6051" max="6051"/>
    <col width="40.5" customWidth="1" style="11" min="6052" max="6052"/>
    <col width="6.25" customWidth="1" style="11" min="6053" max="6054"/>
    <col width="6.625" customWidth="1" style="11" min="6055" max="6060"/>
    <col width="9.25" customWidth="1" style="11" min="6061" max="6110"/>
    <col width="2.625" customWidth="1" style="11" min="6111" max="6111"/>
    <col width="9" customWidth="1" style="11" min="6112" max="6304"/>
    <col width="2.625" customWidth="1" style="11" min="6305" max="6305"/>
    <col width="9.25" bestFit="1" customWidth="1" style="11" min="6306" max="6306"/>
    <col width="9" customWidth="1" style="11" min="6307" max="6307"/>
    <col width="40.5" customWidth="1" style="11" min="6308" max="6308"/>
    <col width="6.25" customWidth="1" style="11" min="6309" max="6310"/>
    <col width="6.625" customWidth="1" style="11" min="6311" max="6316"/>
    <col width="9.25" customWidth="1" style="11" min="6317" max="6366"/>
    <col width="2.625" customWidth="1" style="11" min="6367" max="6367"/>
    <col width="9" customWidth="1" style="11" min="6368" max="6560"/>
    <col width="2.625" customWidth="1" style="11" min="6561" max="6561"/>
    <col width="9.25" bestFit="1" customWidth="1" style="11" min="6562" max="6562"/>
    <col width="9" customWidth="1" style="11" min="6563" max="6563"/>
    <col width="40.5" customWidth="1" style="11" min="6564" max="6564"/>
    <col width="6.25" customWidth="1" style="11" min="6565" max="6566"/>
    <col width="6.625" customWidth="1" style="11" min="6567" max="6572"/>
    <col width="9.25" customWidth="1" style="11" min="6573" max="6622"/>
    <col width="2.625" customWidth="1" style="11" min="6623" max="6623"/>
    <col width="9" customWidth="1" style="11" min="6624" max="6816"/>
    <col width="2.625" customWidth="1" style="11" min="6817" max="6817"/>
    <col width="9.25" bestFit="1" customWidth="1" style="11" min="6818" max="6818"/>
    <col width="9" customWidth="1" style="11" min="6819" max="6819"/>
    <col width="40.5" customWidth="1" style="11" min="6820" max="6820"/>
    <col width="6.25" customWidth="1" style="11" min="6821" max="6822"/>
    <col width="6.625" customWidth="1" style="11" min="6823" max="6828"/>
    <col width="9.25" customWidth="1" style="11" min="6829" max="6878"/>
    <col width="2.625" customWidth="1" style="11" min="6879" max="6879"/>
    <col width="9" customWidth="1" style="11" min="6880" max="7072"/>
    <col width="2.625" customWidth="1" style="11" min="7073" max="7073"/>
    <col width="9.25" bestFit="1" customWidth="1" style="11" min="7074" max="7074"/>
    <col width="9" customWidth="1" style="11" min="7075" max="7075"/>
    <col width="40.5" customWidth="1" style="11" min="7076" max="7076"/>
    <col width="6.25" customWidth="1" style="11" min="7077" max="7078"/>
    <col width="6.625" customWidth="1" style="11" min="7079" max="7084"/>
    <col width="9.25" customWidth="1" style="11" min="7085" max="7134"/>
    <col width="2.625" customWidth="1" style="11" min="7135" max="7135"/>
    <col width="9" customWidth="1" style="11" min="7136" max="7328"/>
    <col width="2.625" customWidth="1" style="11" min="7329" max="7329"/>
    <col width="9.25" bestFit="1" customWidth="1" style="11" min="7330" max="7330"/>
    <col width="9" customWidth="1" style="11" min="7331" max="7331"/>
    <col width="40.5" customWidth="1" style="11" min="7332" max="7332"/>
    <col width="6.25" customWidth="1" style="11" min="7333" max="7334"/>
    <col width="6.625" customWidth="1" style="11" min="7335" max="7340"/>
    <col width="9.25" customWidth="1" style="11" min="7341" max="7390"/>
    <col width="2.625" customWidth="1" style="11" min="7391" max="7391"/>
    <col width="9" customWidth="1" style="11" min="7392" max="7584"/>
    <col width="2.625" customWidth="1" style="11" min="7585" max="7585"/>
    <col width="9.25" bestFit="1" customWidth="1" style="11" min="7586" max="7586"/>
    <col width="9" customWidth="1" style="11" min="7587" max="7587"/>
    <col width="40.5" customWidth="1" style="11" min="7588" max="7588"/>
    <col width="6.25" customWidth="1" style="11" min="7589" max="7590"/>
    <col width="6.625" customWidth="1" style="11" min="7591" max="7596"/>
    <col width="9.25" customWidth="1" style="11" min="7597" max="7646"/>
    <col width="2.625" customWidth="1" style="11" min="7647" max="7647"/>
    <col width="9" customWidth="1" style="11" min="7648" max="7840"/>
    <col width="2.625" customWidth="1" style="11" min="7841" max="7841"/>
    <col width="9.25" bestFit="1" customWidth="1" style="11" min="7842" max="7842"/>
    <col width="9" customWidth="1" style="11" min="7843" max="7843"/>
    <col width="40.5" customWidth="1" style="11" min="7844" max="7844"/>
    <col width="6.25" customWidth="1" style="11" min="7845" max="7846"/>
    <col width="6.625" customWidth="1" style="11" min="7847" max="7852"/>
    <col width="9.25" customWidth="1" style="11" min="7853" max="7902"/>
    <col width="2.625" customWidth="1" style="11" min="7903" max="7903"/>
    <col width="9" customWidth="1" style="11" min="7904" max="8096"/>
    <col width="2.625" customWidth="1" style="11" min="8097" max="8097"/>
    <col width="9.25" bestFit="1" customWidth="1" style="11" min="8098" max="8098"/>
    <col width="9" customWidth="1" style="11" min="8099" max="8099"/>
    <col width="40.5" customWidth="1" style="11" min="8100" max="8100"/>
    <col width="6.25" customWidth="1" style="11" min="8101" max="8102"/>
    <col width="6.625" customWidth="1" style="11" min="8103" max="8108"/>
    <col width="9.25" customWidth="1" style="11" min="8109" max="8158"/>
    <col width="2.625" customWidth="1" style="11" min="8159" max="8159"/>
    <col width="9" customWidth="1" style="11" min="8160" max="8352"/>
    <col width="2.625" customWidth="1" style="11" min="8353" max="8353"/>
    <col width="9.25" bestFit="1" customWidth="1" style="11" min="8354" max="8354"/>
    <col width="9" customWidth="1" style="11" min="8355" max="8355"/>
    <col width="40.5" customWidth="1" style="11" min="8356" max="8356"/>
    <col width="6.25" customWidth="1" style="11" min="8357" max="8358"/>
    <col width="6.625" customWidth="1" style="11" min="8359" max="8364"/>
    <col width="9.25" customWidth="1" style="11" min="8365" max="8414"/>
    <col width="2.625" customWidth="1" style="11" min="8415" max="8415"/>
    <col width="9" customWidth="1" style="11" min="8416" max="8608"/>
    <col width="2.625" customWidth="1" style="11" min="8609" max="8609"/>
    <col width="9.25" bestFit="1" customWidth="1" style="11" min="8610" max="8610"/>
    <col width="9" customWidth="1" style="11" min="8611" max="8611"/>
    <col width="40.5" customWidth="1" style="11" min="8612" max="8612"/>
    <col width="6.25" customWidth="1" style="11" min="8613" max="8614"/>
    <col width="6.625" customWidth="1" style="11" min="8615" max="8620"/>
    <col width="9.25" customWidth="1" style="11" min="8621" max="8670"/>
    <col width="2.625" customWidth="1" style="11" min="8671" max="8671"/>
    <col width="9" customWidth="1" style="11" min="8672" max="8864"/>
    <col width="2.625" customWidth="1" style="11" min="8865" max="8865"/>
    <col width="9.25" bestFit="1" customWidth="1" style="11" min="8866" max="8866"/>
    <col width="9" customWidth="1" style="11" min="8867" max="8867"/>
    <col width="40.5" customWidth="1" style="11" min="8868" max="8868"/>
    <col width="6.25" customWidth="1" style="11" min="8869" max="8870"/>
    <col width="6.625" customWidth="1" style="11" min="8871" max="8876"/>
    <col width="9.25" customWidth="1" style="11" min="8877" max="8926"/>
    <col width="2.625" customWidth="1" style="11" min="8927" max="8927"/>
    <col width="9" customWidth="1" style="11" min="8928" max="9120"/>
    <col width="2.625" customWidth="1" style="11" min="9121" max="9121"/>
    <col width="9.25" bestFit="1" customWidth="1" style="11" min="9122" max="9122"/>
    <col width="9" customWidth="1" style="11" min="9123" max="9123"/>
    <col width="40.5" customWidth="1" style="11" min="9124" max="9124"/>
    <col width="6.25" customWidth="1" style="11" min="9125" max="9126"/>
    <col width="6.625" customWidth="1" style="11" min="9127" max="9132"/>
    <col width="9.25" customWidth="1" style="11" min="9133" max="9182"/>
    <col width="2.625" customWidth="1" style="11" min="9183" max="9183"/>
    <col width="9" customWidth="1" style="11" min="9184" max="9376"/>
    <col width="2.625" customWidth="1" style="11" min="9377" max="9377"/>
    <col width="9.25" bestFit="1" customWidth="1" style="11" min="9378" max="9378"/>
    <col width="9" customWidth="1" style="11" min="9379" max="9379"/>
    <col width="40.5" customWidth="1" style="11" min="9380" max="9380"/>
    <col width="6.25" customWidth="1" style="11" min="9381" max="9382"/>
    <col width="6.625" customWidth="1" style="11" min="9383" max="9388"/>
    <col width="9.25" customWidth="1" style="11" min="9389" max="9438"/>
    <col width="2.625" customWidth="1" style="11" min="9439" max="9439"/>
    <col width="9" customWidth="1" style="11" min="9440" max="9632"/>
    <col width="2.625" customWidth="1" style="11" min="9633" max="9633"/>
    <col width="9.25" bestFit="1" customWidth="1" style="11" min="9634" max="9634"/>
    <col width="9" customWidth="1" style="11" min="9635" max="9635"/>
    <col width="40.5" customWidth="1" style="11" min="9636" max="9636"/>
    <col width="6.25" customWidth="1" style="11" min="9637" max="9638"/>
    <col width="6.625" customWidth="1" style="11" min="9639" max="9644"/>
    <col width="9.25" customWidth="1" style="11" min="9645" max="9694"/>
    <col width="2.625" customWidth="1" style="11" min="9695" max="9695"/>
    <col width="9" customWidth="1" style="11" min="9696" max="9888"/>
    <col width="2.625" customWidth="1" style="11" min="9889" max="9889"/>
    <col width="9.25" bestFit="1" customWidth="1" style="11" min="9890" max="9890"/>
    <col width="9" customWidth="1" style="11" min="9891" max="9891"/>
    <col width="40.5" customWidth="1" style="11" min="9892" max="9892"/>
    <col width="6.25" customWidth="1" style="11" min="9893" max="9894"/>
    <col width="6.625" customWidth="1" style="11" min="9895" max="9900"/>
    <col width="9.25" customWidth="1" style="11" min="9901" max="9950"/>
    <col width="2.625" customWidth="1" style="11" min="9951" max="9951"/>
    <col width="9" customWidth="1" style="11" min="9952" max="10144"/>
    <col width="2.625" customWidth="1" style="11" min="10145" max="10145"/>
    <col width="9.25" bestFit="1" customWidth="1" style="11" min="10146" max="10146"/>
    <col width="9" customWidth="1" style="11" min="10147" max="10147"/>
    <col width="40.5" customWidth="1" style="11" min="10148" max="10148"/>
    <col width="6.25" customWidth="1" style="11" min="10149" max="10150"/>
    <col width="6.625" customWidth="1" style="11" min="10151" max="10156"/>
    <col width="9.25" customWidth="1" style="11" min="10157" max="10206"/>
    <col width="2.625" customWidth="1" style="11" min="10207" max="10207"/>
    <col width="9" customWidth="1" style="11" min="10208" max="10400"/>
    <col width="2.625" customWidth="1" style="11" min="10401" max="10401"/>
    <col width="9.25" bestFit="1" customWidth="1" style="11" min="10402" max="10402"/>
    <col width="9" customWidth="1" style="11" min="10403" max="10403"/>
    <col width="40.5" customWidth="1" style="11" min="10404" max="10404"/>
    <col width="6.25" customWidth="1" style="11" min="10405" max="10406"/>
    <col width="6.625" customWidth="1" style="11" min="10407" max="10412"/>
    <col width="9.25" customWidth="1" style="11" min="10413" max="10462"/>
    <col width="2.625" customWidth="1" style="11" min="10463" max="10463"/>
    <col width="9" customWidth="1" style="11" min="10464" max="10656"/>
    <col width="2.625" customWidth="1" style="11" min="10657" max="10657"/>
    <col width="9.25" bestFit="1" customWidth="1" style="11" min="10658" max="10658"/>
    <col width="9" customWidth="1" style="11" min="10659" max="10659"/>
    <col width="40.5" customWidth="1" style="11" min="10660" max="10660"/>
    <col width="6.25" customWidth="1" style="11" min="10661" max="10662"/>
    <col width="6.625" customWidth="1" style="11" min="10663" max="10668"/>
    <col width="9.25" customWidth="1" style="11" min="10669" max="10718"/>
    <col width="2.625" customWidth="1" style="11" min="10719" max="10719"/>
    <col width="9" customWidth="1" style="11" min="10720" max="10912"/>
    <col width="2.625" customWidth="1" style="11" min="10913" max="10913"/>
    <col width="9.25" bestFit="1" customWidth="1" style="11" min="10914" max="10914"/>
    <col width="9" customWidth="1" style="11" min="10915" max="10915"/>
    <col width="40.5" customWidth="1" style="11" min="10916" max="10916"/>
    <col width="6.25" customWidth="1" style="11" min="10917" max="10918"/>
    <col width="6.625" customWidth="1" style="11" min="10919" max="10924"/>
    <col width="9.25" customWidth="1" style="11" min="10925" max="10974"/>
    <col width="2.625" customWidth="1" style="11" min="10975" max="10975"/>
    <col width="9" customWidth="1" style="11" min="10976" max="11168"/>
    <col width="2.625" customWidth="1" style="11" min="11169" max="11169"/>
    <col width="9.25" bestFit="1" customWidth="1" style="11" min="11170" max="11170"/>
    <col width="9" customWidth="1" style="11" min="11171" max="11171"/>
    <col width="40.5" customWidth="1" style="11" min="11172" max="11172"/>
    <col width="6.25" customWidth="1" style="11" min="11173" max="11174"/>
    <col width="6.625" customWidth="1" style="11" min="11175" max="11180"/>
    <col width="9.25" customWidth="1" style="11" min="11181" max="11230"/>
    <col width="2.625" customWidth="1" style="11" min="11231" max="11231"/>
    <col width="9" customWidth="1" style="11" min="11232" max="11424"/>
    <col width="2.625" customWidth="1" style="11" min="11425" max="11425"/>
    <col width="9.25" bestFit="1" customWidth="1" style="11" min="11426" max="11426"/>
    <col width="9" customWidth="1" style="11" min="11427" max="11427"/>
    <col width="40.5" customWidth="1" style="11" min="11428" max="11428"/>
    <col width="6.25" customWidth="1" style="11" min="11429" max="11430"/>
    <col width="6.625" customWidth="1" style="11" min="11431" max="11436"/>
    <col width="9.25" customWidth="1" style="11" min="11437" max="11486"/>
    <col width="2.625" customWidth="1" style="11" min="11487" max="11487"/>
    <col width="9" customWidth="1" style="11" min="11488" max="11680"/>
    <col width="2.625" customWidth="1" style="11" min="11681" max="11681"/>
    <col width="9.25" bestFit="1" customWidth="1" style="11" min="11682" max="11682"/>
    <col width="9" customWidth="1" style="11" min="11683" max="11683"/>
    <col width="40.5" customWidth="1" style="11" min="11684" max="11684"/>
    <col width="6.25" customWidth="1" style="11" min="11685" max="11686"/>
    <col width="6.625" customWidth="1" style="11" min="11687" max="11692"/>
    <col width="9.25" customWidth="1" style="11" min="11693" max="11742"/>
    <col width="2.625" customWidth="1" style="11" min="11743" max="11743"/>
    <col width="9" customWidth="1" style="11" min="11744" max="11936"/>
    <col width="2.625" customWidth="1" style="11" min="11937" max="11937"/>
    <col width="9.25" bestFit="1" customWidth="1" style="11" min="11938" max="11938"/>
    <col width="9" customWidth="1" style="11" min="11939" max="11939"/>
    <col width="40.5" customWidth="1" style="11" min="11940" max="11940"/>
    <col width="6.25" customWidth="1" style="11" min="11941" max="11942"/>
    <col width="6.625" customWidth="1" style="11" min="11943" max="11948"/>
    <col width="9.25" customWidth="1" style="11" min="11949" max="11998"/>
    <col width="2.625" customWidth="1" style="11" min="11999" max="11999"/>
    <col width="9" customWidth="1" style="11" min="12000" max="12192"/>
    <col width="2.625" customWidth="1" style="11" min="12193" max="12193"/>
    <col width="9.25" bestFit="1" customWidth="1" style="11" min="12194" max="12194"/>
    <col width="9" customWidth="1" style="11" min="12195" max="12195"/>
    <col width="40.5" customWidth="1" style="11" min="12196" max="12196"/>
    <col width="6.25" customWidth="1" style="11" min="12197" max="12198"/>
    <col width="6.625" customWidth="1" style="11" min="12199" max="12204"/>
    <col width="9.25" customWidth="1" style="11" min="12205" max="12254"/>
    <col width="2.625" customWidth="1" style="11" min="12255" max="12255"/>
    <col width="9" customWidth="1" style="11" min="12256" max="12448"/>
    <col width="2.625" customWidth="1" style="11" min="12449" max="12449"/>
    <col width="9.25" bestFit="1" customWidth="1" style="11" min="12450" max="12450"/>
    <col width="9" customWidth="1" style="11" min="12451" max="12451"/>
    <col width="40.5" customWidth="1" style="11" min="12452" max="12452"/>
    <col width="6.25" customWidth="1" style="11" min="12453" max="12454"/>
    <col width="6.625" customWidth="1" style="11" min="12455" max="12460"/>
    <col width="9.25" customWidth="1" style="11" min="12461" max="12510"/>
    <col width="2.625" customWidth="1" style="11" min="12511" max="12511"/>
    <col width="9" customWidth="1" style="11" min="12512" max="12704"/>
    <col width="2.625" customWidth="1" style="11" min="12705" max="12705"/>
    <col width="9.25" bestFit="1" customWidth="1" style="11" min="12706" max="12706"/>
    <col width="9" customWidth="1" style="11" min="12707" max="12707"/>
    <col width="40.5" customWidth="1" style="11" min="12708" max="12708"/>
    <col width="6.25" customWidth="1" style="11" min="12709" max="12710"/>
    <col width="6.625" customWidth="1" style="11" min="12711" max="12716"/>
    <col width="9.25" customWidth="1" style="11" min="12717" max="12766"/>
    <col width="2.625" customWidth="1" style="11" min="12767" max="12767"/>
    <col width="9" customWidth="1" style="11" min="12768" max="12960"/>
    <col width="2.625" customWidth="1" style="11" min="12961" max="12961"/>
    <col width="9.25" bestFit="1" customWidth="1" style="11" min="12962" max="12962"/>
    <col width="9" customWidth="1" style="11" min="12963" max="12963"/>
    <col width="40.5" customWidth="1" style="11" min="12964" max="12964"/>
    <col width="6.25" customWidth="1" style="11" min="12965" max="12966"/>
    <col width="6.625" customWidth="1" style="11" min="12967" max="12972"/>
    <col width="9.25" customWidth="1" style="11" min="12973" max="13022"/>
    <col width="2.625" customWidth="1" style="11" min="13023" max="13023"/>
    <col width="9" customWidth="1" style="11" min="13024" max="13216"/>
    <col width="2.625" customWidth="1" style="11" min="13217" max="13217"/>
    <col width="9.25" bestFit="1" customWidth="1" style="11" min="13218" max="13218"/>
    <col width="9" customWidth="1" style="11" min="13219" max="13219"/>
    <col width="40.5" customWidth="1" style="11" min="13220" max="13220"/>
    <col width="6.25" customWidth="1" style="11" min="13221" max="13222"/>
    <col width="6.625" customWidth="1" style="11" min="13223" max="13228"/>
    <col width="9.25" customWidth="1" style="11" min="13229" max="13278"/>
    <col width="2.625" customWidth="1" style="11" min="13279" max="13279"/>
    <col width="9" customWidth="1" style="11" min="13280" max="13472"/>
    <col width="2.625" customWidth="1" style="11" min="13473" max="13473"/>
    <col width="9.25" bestFit="1" customWidth="1" style="11" min="13474" max="13474"/>
    <col width="9" customWidth="1" style="11" min="13475" max="13475"/>
    <col width="40.5" customWidth="1" style="11" min="13476" max="13476"/>
    <col width="6.25" customWidth="1" style="11" min="13477" max="13478"/>
    <col width="6.625" customWidth="1" style="11" min="13479" max="13484"/>
    <col width="9.25" customWidth="1" style="11" min="13485" max="13534"/>
    <col width="2.625" customWidth="1" style="11" min="13535" max="13535"/>
    <col width="9" customWidth="1" style="11" min="13536" max="13728"/>
    <col width="2.625" customWidth="1" style="11" min="13729" max="13729"/>
    <col width="9.25" bestFit="1" customWidth="1" style="11" min="13730" max="13730"/>
    <col width="9" customWidth="1" style="11" min="13731" max="13731"/>
    <col width="40.5" customWidth="1" style="11" min="13732" max="13732"/>
    <col width="6.25" customWidth="1" style="11" min="13733" max="13734"/>
    <col width="6.625" customWidth="1" style="11" min="13735" max="13740"/>
    <col width="9.25" customWidth="1" style="11" min="13741" max="13790"/>
    <col width="2.625" customWidth="1" style="11" min="13791" max="13791"/>
    <col width="9" customWidth="1" style="11" min="13792" max="13984"/>
    <col width="2.625" customWidth="1" style="11" min="13985" max="13985"/>
    <col width="9.25" bestFit="1" customWidth="1" style="11" min="13986" max="13986"/>
    <col width="9" customWidth="1" style="11" min="13987" max="13987"/>
    <col width="40.5" customWidth="1" style="11" min="13988" max="13988"/>
    <col width="6.25" customWidth="1" style="11" min="13989" max="13990"/>
    <col width="6.625" customWidth="1" style="11" min="13991" max="13996"/>
    <col width="9.25" customWidth="1" style="11" min="13997" max="14046"/>
    <col width="2.625" customWidth="1" style="11" min="14047" max="14047"/>
    <col width="9" customWidth="1" style="11" min="14048" max="14240"/>
    <col width="2.625" customWidth="1" style="11" min="14241" max="14241"/>
    <col width="9.25" bestFit="1" customWidth="1" style="11" min="14242" max="14242"/>
    <col width="9" customWidth="1" style="11" min="14243" max="14243"/>
    <col width="40.5" customWidth="1" style="11" min="14244" max="14244"/>
    <col width="6.25" customWidth="1" style="11" min="14245" max="14246"/>
    <col width="6.625" customWidth="1" style="11" min="14247" max="14252"/>
    <col width="9.25" customWidth="1" style="11" min="14253" max="14302"/>
    <col width="2.625" customWidth="1" style="11" min="14303" max="14303"/>
    <col width="9" customWidth="1" style="11" min="14304" max="14496"/>
    <col width="2.625" customWidth="1" style="11" min="14497" max="14497"/>
    <col width="9.25" bestFit="1" customWidth="1" style="11" min="14498" max="14498"/>
    <col width="9" customWidth="1" style="11" min="14499" max="14499"/>
    <col width="40.5" customWidth="1" style="11" min="14500" max="14500"/>
    <col width="6.25" customWidth="1" style="11" min="14501" max="14502"/>
    <col width="6.625" customWidth="1" style="11" min="14503" max="14508"/>
    <col width="9.25" customWidth="1" style="11" min="14509" max="14558"/>
    <col width="2.625" customWidth="1" style="11" min="14559" max="14559"/>
    <col width="9" customWidth="1" style="11" min="14560" max="14752"/>
    <col width="2.625" customWidth="1" style="11" min="14753" max="14753"/>
    <col width="9.25" bestFit="1" customWidth="1" style="11" min="14754" max="14754"/>
    <col width="9" customWidth="1" style="11" min="14755" max="14755"/>
    <col width="40.5" customWidth="1" style="11" min="14756" max="14756"/>
    <col width="6.25" customWidth="1" style="11" min="14757" max="14758"/>
    <col width="6.625" customWidth="1" style="11" min="14759" max="14764"/>
    <col width="9.25" customWidth="1" style="11" min="14765" max="14814"/>
    <col width="2.625" customWidth="1" style="11" min="14815" max="14815"/>
    <col width="9" customWidth="1" style="11" min="14816" max="15008"/>
    <col width="2.625" customWidth="1" style="11" min="15009" max="15009"/>
    <col width="9.25" bestFit="1" customWidth="1" style="11" min="15010" max="15010"/>
    <col width="9" customWidth="1" style="11" min="15011" max="15011"/>
    <col width="40.5" customWidth="1" style="11" min="15012" max="15012"/>
    <col width="6.25" customWidth="1" style="11" min="15013" max="15014"/>
    <col width="6.625" customWidth="1" style="11" min="15015" max="15020"/>
    <col width="9.25" customWidth="1" style="11" min="15021" max="15070"/>
    <col width="2.625" customWidth="1" style="11" min="15071" max="15071"/>
    <col width="9" customWidth="1" style="11" min="15072" max="15264"/>
    <col width="2.625" customWidth="1" style="11" min="15265" max="15265"/>
    <col width="9.25" bestFit="1" customWidth="1" style="11" min="15266" max="15266"/>
    <col width="9" customWidth="1" style="11" min="15267" max="15267"/>
    <col width="40.5" customWidth="1" style="11" min="15268" max="15268"/>
    <col width="6.25" customWidth="1" style="11" min="15269" max="15270"/>
    <col width="6.625" customWidth="1" style="11" min="15271" max="15276"/>
    <col width="9.25" customWidth="1" style="11" min="15277" max="15326"/>
    <col width="2.625" customWidth="1" style="11" min="15327" max="15327"/>
    <col width="9" customWidth="1" style="11" min="15328" max="15520"/>
    <col width="2.625" customWidth="1" style="11" min="15521" max="15521"/>
    <col width="9.25" bestFit="1" customWidth="1" style="11" min="15522" max="15522"/>
    <col width="9" customWidth="1" style="11" min="15523" max="15523"/>
    <col width="40.5" customWidth="1" style="11" min="15524" max="15524"/>
    <col width="6.25" customWidth="1" style="11" min="15525" max="15526"/>
    <col width="6.625" customWidth="1" style="11" min="15527" max="15532"/>
    <col width="9.25" customWidth="1" style="11" min="15533" max="15582"/>
    <col width="2.625" customWidth="1" style="11" min="15583" max="15583"/>
    <col width="9" customWidth="1" style="11" min="15584" max="15776"/>
    <col width="2.625" customWidth="1" style="11" min="15777" max="15777"/>
    <col width="9.25" bestFit="1" customWidth="1" style="11" min="15778" max="15778"/>
    <col width="9" customWidth="1" style="11" min="15779" max="15779"/>
    <col width="40.5" customWidth="1" style="11" min="15780" max="15780"/>
    <col width="6.25" customWidth="1" style="11" min="15781" max="15782"/>
    <col width="6.625" customWidth="1" style="11" min="15783" max="15788"/>
    <col width="9.25" customWidth="1" style="11" min="15789" max="15838"/>
    <col width="2.625" customWidth="1" style="11" min="15839" max="15839"/>
    <col width="9" customWidth="1" style="11" min="15840" max="16032"/>
    <col width="2.625" customWidth="1" style="11" min="16033" max="16033"/>
    <col width="9.25" bestFit="1" customWidth="1" style="11" min="16034" max="16034"/>
    <col width="9" customWidth="1" style="11" min="16035" max="16035"/>
    <col width="40.5" customWidth="1" style="11" min="16036" max="16036"/>
    <col width="6.25" customWidth="1" style="11" min="16037" max="16038"/>
    <col width="6.625" customWidth="1" style="11" min="16039" max="16044"/>
    <col width="9.25" customWidth="1" style="11" min="16045" max="16094"/>
    <col width="2.625" customWidth="1" style="11" min="16095" max="16095"/>
    <col width="9" customWidth="1" style="11" min="16096" max="16308"/>
    <col width="9" customWidth="1" style="11" min="16309" max="16373"/>
    <col width="9" customWidth="1" style="11" min="16374" max="16374"/>
    <col width="9" customWidth="1" style="11" min="16375" max="16384"/>
  </cols>
  <sheetData>
    <row r="1" ht="13.5" customFormat="1" customHeight="1" s="4">
      <c r="L1" s="42" t="n"/>
    </row>
    <row r="2" ht="18" customFormat="1" customHeight="1" s="9">
      <c r="A2" s="197" t="inlineStr">
        <is>
          <t>▣ PC 점검 요약 통계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 ht="5.1" customFormat="1" customHeight="1" s="9" thickBot="1">
      <c r="A3" s="122" t="n"/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</row>
    <row r="4">
      <c r="A4" s="224" t="inlineStr">
        <is>
          <t>구분</t>
        </is>
      </c>
      <c r="B4" s="320" t="n"/>
      <c r="C4" s="321" t="n"/>
      <c r="D4" s="225" t="inlineStr">
        <is>
          <t>중요도</t>
        </is>
      </c>
      <c r="E4" s="225" t="inlineStr">
        <is>
          <t>점수</t>
        </is>
      </c>
      <c r="F4" s="225" t="inlineStr">
        <is>
          <t>점검통계</t>
        </is>
      </c>
      <c r="G4" s="320" t="n"/>
      <c r="H4" s="320" t="n"/>
      <c r="I4" s="320" t="n"/>
      <c r="J4" s="320" t="n"/>
      <c r="K4" s="321" t="n"/>
      <c r="L4" s="228">
        <f>HYPERLINK("[" &amp; MID(CELL("filename"),SEARCH("[",CELL("filename"))+1, SEARCH("]",CELL("filename"))-SEARCH("[",CELL("filename"))-1) &amp; "]'" &amp; INDIRECT(ADDRESS(COLUMN()-5,2,1,TRUE,"점검대상")) &amp; "'!A1",INDIRECT(ADDRESS(COLUMN()-5,2,1,TRUE,"점검대상")))</f>
        <v/>
      </c>
    </row>
    <row r="5" ht="17.25" customHeight="1" s="309" thickBot="1">
      <c r="A5" s="124" t="inlineStr">
        <is>
          <t>분류</t>
        </is>
      </c>
      <c r="B5" s="226" t="inlineStr">
        <is>
          <t>항목코드</t>
        </is>
      </c>
      <c r="C5" s="226" t="inlineStr">
        <is>
          <t>점검 항목</t>
        </is>
      </c>
      <c r="D5" s="319" t="n"/>
      <c r="E5" s="319" t="n"/>
      <c r="F5" s="226" t="inlineStr">
        <is>
          <t>전체항목</t>
        </is>
      </c>
      <c r="G5" s="226" t="inlineStr">
        <is>
          <t>점검항목</t>
        </is>
      </c>
      <c r="H5" s="226" t="inlineStr">
        <is>
          <t>양호</t>
        </is>
      </c>
      <c r="I5" s="226" t="inlineStr">
        <is>
          <t>취약</t>
        </is>
      </c>
      <c r="J5" s="126" t="inlineStr">
        <is>
          <t>부분만족</t>
        </is>
      </c>
      <c r="K5" s="126" t="inlineStr">
        <is>
          <t>해당없음</t>
        </is>
      </c>
      <c r="L5" s="319" t="n"/>
    </row>
    <row r="6" ht="16.5" customHeight="1" s="309">
      <c r="A6" s="322" t="inlineStr">
        <is>
          <t>계정 관리</t>
        </is>
      </c>
      <c r="B6" s="100" t="inlineStr">
        <is>
          <t>PC-01</t>
        </is>
      </c>
      <c r="C6" s="127" t="inlineStr">
        <is>
          <t>비밀번호의 주기적 변경</t>
        </is>
      </c>
      <c r="D6" s="102" t="inlineStr">
        <is>
          <t>상</t>
        </is>
      </c>
      <c r="E6" s="165">
        <f>IF(D6="상",10,IF(D6="중",8,6))</f>
        <v/>
      </c>
      <c r="F6" s="102">
        <f>COUNTA($L6:INDIRECT(ADDRESS(ROW(),MATCH("",$4:$4,-1),1,1)))</f>
        <v/>
      </c>
      <c r="G6" s="102">
        <f>F6-K6</f>
        <v/>
      </c>
      <c r="H6" s="102">
        <f>COUNTIF($L6:INDIRECT(ADDRESS(ROW(),MATCH("",$4:$4,-1),1,1)),H$5)</f>
        <v/>
      </c>
      <c r="I6" s="102">
        <f>COUNTIF($L6:INDIRECT(ADDRESS(ROW(),MATCH("",$4:$4,-1),1,1)),I$5)</f>
        <v/>
      </c>
      <c r="J6" s="102">
        <f>COUNTIF($L6:INDIRECT(ADDRESS(ROW(),MATCH("",$4:$4,-1),1,1)),J$5)</f>
        <v/>
      </c>
      <c r="K6" s="128">
        <f>COUNTIF($L6:INDIRECT(ADDRESS(ROW(),MATCH("",$4:$4,-1),1,1)),"N/A")</f>
        <v/>
      </c>
      <c r="L6" s="129">
        <f>IFERROR(INDIRECT(ADDRESS(ROW()+22,15,1,TRUE,L$4)),"")</f>
        <v/>
      </c>
    </row>
    <row r="7" ht="16.5" customHeight="1" s="309">
      <c r="A7" s="323" t="n"/>
      <c r="B7" s="100" t="inlineStr">
        <is>
          <t>PC-02</t>
        </is>
      </c>
      <c r="C7" s="87" t="inlineStr">
        <is>
          <t>비밀번호 관리정책 설정</t>
        </is>
      </c>
      <c r="D7" s="128" t="inlineStr">
        <is>
          <t>상</t>
        </is>
      </c>
      <c r="E7" s="165">
        <f>IF(D7="상",10,IF(D7="중",8,6))</f>
        <v/>
      </c>
      <c r="F7" s="128">
        <f>COUNTA($L7:INDIRECT(ADDRESS(ROW(),MATCH("",$4:$4,-1),1,1)))</f>
        <v/>
      </c>
      <c r="G7" s="128">
        <f>F7-K7</f>
        <v/>
      </c>
      <c r="H7" s="128">
        <f>COUNTIF($L7:INDIRECT(ADDRESS(ROW(),MATCH("",$4:$4,-1),1,1)),H$5)</f>
        <v/>
      </c>
      <c r="I7" s="128">
        <f>COUNTIF($L7:INDIRECT(ADDRESS(ROW(),MATCH("",$4:$4,-1),1,1)),I$5)</f>
        <v/>
      </c>
      <c r="J7" s="128">
        <f>COUNTIF($L7:INDIRECT(ADDRESS(ROW(),MATCH("",$4:$4,-1),1,1)),J$5)</f>
        <v/>
      </c>
      <c r="K7" s="128">
        <f>COUNTIF($L7:INDIRECT(ADDRESS(ROW(),MATCH("",$4:$4,-1),1,1)),"N/A")</f>
        <v/>
      </c>
      <c r="L7" s="129">
        <f>IFERROR(INDIRECT(ADDRESS(ROW()+22,15,1,TRUE,L$4)),"")</f>
        <v/>
      </c>
    </row>
    <row r="8" ht="16.5" customHeight="1" s="309">
      <c r="A8" s="324" t="n"/>
      <c r="B8" s="100" t="inlineStr">
        <is>
          <t>PC-03</t>
        </is>
      </c>
      <c r="C8" s="87" t="inlineStr">
        <is>
          <t>복구 콘솔에서 자동 로그온을 금지하도록 설정</t>
        </is>
      </c>
      <c r="D8" s="128" t="inlineStr">
        <is>
          <t>중</t>
        </is>
      </c>
      <c r="E8" s="165">
        <f>IF(D8="상",10,IF(D8="중",8,6))</f>
        <v/>
      </c>
      <c r="F8" s="128">
        <f>COUNTA($L8:INDIRECT(ADDRESS(ROW(),MATCH("",$4:$4,-1),1,1)))</f>
        <v/>
      </c>
      <c r="G8" s="128">
        <f>F8-K8</f>
        <v/>
      </c>
      <c r="H8" s="128">
        <f>COUNTIF($L8:INDIRECT(ADDRESS(ROW(),MATCH("",$4:$4,-1),1,1)),H$5)</f>
        <v/>
      </c>
      <c r="I8" s="128">
        <f>COUNTIF($L8:INDIRECT(ADDRESS(ROW(),MATCH("",$4:$4,-1),1,1)),I$5)</f>
        <v/>
      </c>
      <c r="J8" s="128">
        <f>COUNTIF($L8:INDIRECT(ADDRESS(ROW(),MATCH("",$4:$4,-1),1,1)),J$5)</f>
        <v/>
      </c>
      <c r="K8" s="128">
        <f>COUNTIF($L8:INDIRECT(ADDRESS(ROW(),MATCH("",$4:$4,-1),1,1)),"N/A")</f>
        <v/>
      </c>
      <c r="L8" s="129">
        <f>IFERROR(INDIRECT(ADDRESS(ROW()+22,15,1,TRUE,L$4)),"")</f>
        <v/>
      </c>
    </row>
    <row r="9" ht="16.5" customHeight="1" s="309">
      <c r="A9" s="348" t="inlineStr">
        <is>
          <t>접근 관리</t>
        </is>
      </c>
      <c r="B9" s="100" t="inlineStr">
        <is>
          <t>PC-04</t>
        </is>
      </c>
      <c r="C9" s="87" t="inlineStr">
        <is>
          <t>공유 폴더 제거</t>
        </is>
      </c>
      <c r="D9" s="128" t="inlineStr">
        <is>
          <t>상</t>
        </is>
      </c>
      <c r="E9" s="165">
        <f>IF(D9="상",10,IF(D9="중",8,6))</f>
        <v/>
      </c>
      <c r="F9" s="128">
        <f>COUNTA($L9:INDIRECT(ADDRESS(ROW(),MATCH("",$4:$4,-1),1,1)))</f>
        <v/>
      </c>
      <c r="G9" s="128">
        <f>F9-K9</f>
        <v/>
      </c>
      <c r="H9" s="128">
        <f>COUNTIF($L9:INDIRECT(ADDRESS(ROW(),MATCH("",$4:$4,-1),1,1)),H$5)</f>
        <v/>
      </c>
      <c r="I9" s="128">
        <f>COUNTIF($L9:INDIRECT(ADDRESS(ROW(),MATCH("",$4:$4,-1),1,1)),I$5)</f>
        <v/>
      </c>
      <c r="J9" s="128">
        <f>COUNTIF($L9:INDIRECT(ADDRESS(ROW(),MATCH("",$4:$4,-1),1,1)),J$5)</f>
        <v/>
      </c>
      <c r="K9" s="128">
        <f>COUNTIF($L9:INDIRECT(ADDRESS(ROW(),MATCH("",$4:$4,-1),1,1)),"N/A")</f>
        <v/>
      </c>
      <c r="L9" s="129">
        <f>IFERROR(INDIRECT(ADDRESS(ROW()+22,15,1,TRUE,L$4)),"")</f>
        <v/>
      </c>
    </row>
    <row r="10" ht="16.5" customHeight="1" s="309">
      <c r="B10" s="100" t="inlineStr">
        <is>
          <t>PC-05</t>
        </is>
      </c>
      <c r="C10" s="87" t="inlineStr">
        <is>
          <t>불필요한 서비스 제거</t>
        </is>
      </c>
      <c r="D10" s="128" t="inlineStr">
        <is>
          <t>상</t>
        </is>
      </c>
      <c r="E10" s="165">
        <f>IF(D10="상",10,IF(D10="중",8,6))</f>
        <v/>
      </c>
      <c r="F10" s="128">
        <f>COUNTA($L10:INDIRECT(ADDRESS(ROW(),MATCH("",$4:$4,-1),1,1)))</f>
        <v/>
      </c>
      <c r="G10" s="128">
        <f>F10-K10</f>
        <v/>
      </c>
      <c r="H10" s="128">
        <f>COUNTIF($L10:INDIRECT(ADDRESS(ROW(),MATCH("",$4:$4,-1),1,1)),H$5)</f>
        <v/>
      </c>
      <c r="I10" s="128">
        <f>COUNTIF($L10:INDIRECT(ADDRESS(ROW(),MATCH("",$4:$4,-1),1,1)),I$5)</f>
        <v/>
      </c>
      <c r="J10" s="128">
        <f>COUNTIF($L10:INDIRECT(ADDRESS(ROW(),MATCH("",$4:$4,-1),1,1)),J$5)</f>
        <v/>
      </c>
      <c r="K10" s="128">
        <f>COUNTIF($L10:INDIRECT(ADDRESS(ROW(),MATCH("",$4:$4,-1),1,1)),"N/A")</f>
        <v/>
      </c>
      <c r="L10" s="129">
        <f>IFERROR(INDIRECT(ADDRESS(ROW()+22,15,1,TRUE,L$4)),"")</f>
        <v/>
      </c>
    </row>
    <row r="11" ht="16.5" customHeight="1" s="309">
      <c r="B11" s="100" t="inlineStr">
        <is>
          <t>PC-06</t>
        </is>
      </c>
      <c r="C11" s="87" t="inlineStr">
        <is>
          <t>비인가 상용 메신저 사용 금지</t>
        </is>
      </c>
      <c r="D11" s="128" t="inlineStr">
        <is>
          <t>하</t>
        </is>
      </c>
      <c r="E11" s="165">
        <f>IF(D11="상",10,IF(D11="중",8,6))</f>
        <v/>
      </c>
      <c r="F11" s="128">
        <f>COUNTA($L11:INDIRECT(ADDRESS(ROW(),MATCH("",$4:$4,-1),1,1)))</f>
        <v/>
      </c>
      <c r="G11" s="128">
        <f>F11-K11</f>
        <v/>
      </c>
      <c r="H11" s="128">
        <f>COUNTIF($L11:INDIRECT(ADDRESS(ROW(),MATCH("",$4:$4,-1),1,1)),H$5)</f>
        <v/>
      </c>
      <c r="I11" s="128">
        <f>COUNTIF($L11:INDIRECT(ADDRESS(ROW(),MATCH("",$4:$4,-1),1,1)),I$5)</f>
        <v/>
      </c>
      <c r="J11" s="128">
        <f>COUNTIF($L11:INDIRECT(ADDRESS(ROW(),MATCH("",$4:$4,-1),1,1)),J$5)</f>
        <v/>
      </c>
      <c r="K11" s="128">
        <f>COUNTIF($L11:INDIRECT(ADDRESS(ROW(),MATCH("",$4:$4,-1),1,1)),"N/A")</f>
        <v/>
      </c>
      <c r="L11" s="129">
        <f>IFERROR(INDIRECT(ADDRESS(ROW()+22,15,1,TRUE,L$4)),"")</f>
        <v/>
      </c>
    </row>
    <row r="12" ht="16.5" customHeight="1" s="309">
      <c r="B12" s="100" t="inlineStr">
        <is>
          <t>PC-07</t>
        </is>
      </c>
      <c r="C12" s="87" t="inlineStr">
        <is>
          <t>파일 시스템이 NTFS 포맷으로 설정</t>
        </is>
      </c>
      <c r="D12" s="128" t="inlineStr">
        <is>
          <t>상</t>
        </is>
      </c>
      <c r="E12" s="165">
        <f>IF(D12="상",10,IF(D12="중",8,6))</f>
        <v/>
      </c>
      <c r="F12" s="128">
        <f>COUNTA($L12:INDIRECT(ADDRESS(ROW(),MATCH("",$4:$4,-1),1,1)))</f>
        <v/>
      </c>
      <c r="G12" s="128">
        <f>F12-K12</f>
        <v/>
      </c>
      <c r="H12" s="128">
        <f>COUNTIF($L12:INDIRECT(ADDRESS(ROW(),MATCH("",$4:$4,-1),1,1)),H$5)</f>
        <v/>
      </c>
      <c r="I12" s="128">
        <f>COUNTIF($L12:INDIRECT(ADDRESS(ROW(),MATCH("",$4:$4,-1),1,1)),I$5)</f>
        <v/>
      </c>
      <c r="J12" s="128">
        <f>COUNTIF($L12:INDIRECT(ADDRESS(ROW(),MATCH("",$4:$4,-1),1,1)),J$5)</f>
        <v/>
      </c>
      <c r="K12" s="128">
        <f>COUNTIF($L12:INDIRECT(ADDRESS(ROW(),MATCH("",$4:$4,-1),1,1)),"N/A")</f>
        <v/>
      </c>
      <c r="L12" s="129">
        <f>IFERROR(INDIRECT(ADDRESS(ROW()+22,15,1,TRUE,L$4)),"")</f>
        <v/>
      </c>
    </row>
    <row r="13" ht="16.5" customHeight="1" s="309">
      <c r="B13" s="100" t="inlineStr">
        <is>
          <t>PC-08</t>
        </is>
      </c>
      <c r="C13" s="87" t="inlineStr">
        <is>
          <t>PC 내 하나의 OS만 설치(멀티 부팅 미사용)</t>
        </is>
      </c>
      <c r="D13" s="128" t="inlineStr">
        <is>
          <t>중</t>
        </is>
      </c>
      <c r="E13" s="165">
        <f>IF(D13="상",10,IF(D13="중",8,6))</f>
        <v/>
      </c>
      <c r="F13" s="128">
        <f>COUNTA($L13:INDIRECT(ADDRESS(ROW(),MATCH("",$4:$4,-1),1,1)))</f>
        <v/>
      </c>
      <c r="G13" s="128">
        <f>F13-K13</f>
        <v/>
      </c>
      <c r="H13" s="128">
        <f>COUNTIF($L13:INDIRECT(ADDRESS(ROW(),MATCH("",$4:$4,-1),1,1)),H$5)</f>
        <v/>
      </c>
      <c r="I13" s="128">
        <f>COUNTIF($L13:INDIRECT(ADDRESS(ROW(),MATCH("",$4:$4,-1),1,1)),I$5)</f>
        <v/>
      </c>
      <c r="J13" s="128">
        <f>COUNTIF($L13:INDIRECT(ADDRESS(ROW(),MATCH("",$4:$4,-1),1,1)),J$5)</f>
        <v/>
      </c>
      <c r="K13" s="128">
        <f>COUNTIF($L13:INDIRECT(ADDRESS(ROW(),MATCH("",$4:$4,-1),1,1)),"N/A")</f>
        <v/>
      </c>
      <c r="L13" s="129">
        <f>IFERROR(INDIRECT(ADDRESS(ROW()+22,15,1,TRUE,L$4)),"")</f>
        <v/>
      </c>
    </row>
    <row r="14" ht="16.5" customHeight="1" s="309">
      <c r="B14" s="100" t="inlineStr">
        <is>
          <t>PC-09</t>
        </is>
      </c>
      <c r="C14" s="87" t="inlineStr">
        <is>
          <t>브라우저 종료 시 임시 인터넷 파일 폴더의 내용을 삭제하도록 설정</t>
        </is>
      </c>
      <c r="D14" s="128" t="inlineStr">
        <is>
          <t>중</t>
        </is>
      </c>
      <c r="E14" s="165">
        <f>IF(D14="상",10,IF(D14="중",8,6))</f>
        <v/>
      </c>
      <c r="F14" s="128">
        <f>COUNTA($L14:INDIRECT(ADDRESS(ROW(),MATCH("",$4:$4,-1),1,1)))</f>
        <v/>
      </c>
      <c r="G14" s="128">
        <f>F14-K14</f>
        <v/>
      </c>
      <c r="H14" s="128">
        <f>COUNTIF($L14:INDIRECT(ADDRESS(ROW(),MATCH("",$4:$4,-1),1,1)),H$5)</f>
        <v/>
      </c>
      <c r="I14" s="128">
        <f>COUNTIF($L14:INDIRECT(ADDRESS(ROW(),MATCH("",$4:$4,-1),1,1)),I$5)</f>
        <v/>
      </c>
      <c r="J14" s="128">
        <f>COUNTIF($L14:INDIRECT(ADDRESS(ROW(),MATCH("",$4:$4,-1),1,1)),J$5)</f>
        <v/>
      </c>
      <c r="K14" s="128">
        <f>COUNTIF($L14:INDIRECT(ADDRESS(ROW(),MATCH("",$4:$4,-1),1,1)),"N/A")</f>
        <v/>
      </c>
      <c r="L14" s="129">
        <f>IFERROR(INDIRECT(ADDRESS(ROW()+22,15,1,TRUE,L$4)),"")</f>
        <v/>
      </c>
    </row>
    <row r="15" ht="16.5" customHeight="1" s="309">
      <c r="A15" s="348" t="inlineStr">
        <is>
          <t>패치 관리</t>
        </is>
      </c>
      <c r="B15" s="100" t="inlineStr">
        <is>
          <t>PC-10</t>
        </is>
      </c>
      <c r="C15" s="87" t="inlineStr">
        <is>
          <t>주기적 보안 패치 및 벤더 권고사항 적용</t>
        </is>
      </c>
      <c r="D15" s="128" t="inlineStr">
        <is>
          <t>상</t>
        </is>
      </c>
      <c r="E15" s="165">
        <f>IF(D15="상",10,IF(D15="중",8,6))</f>
        <v/>
      </c>
      <c r="F15" s="128">
        <f>COUNTA($L15:INDIRECT(ADDRESS(ROW(),MATCH("",$4:$4,-1),1,1)))</f>
        <v/>
      </c>
      <c r="G15" s="128">
        <f>F15-K15</f>
        <v/>
      </c>
      <c r="H15" s="128">
        <f>COUNTIF($L15:INDIRECT(ADDRESS(ROW(),MATCH("",$4:$4,-1),1,1)),H$5)</f>
        <v/>
      </c>
      <c r="I15" s="128">
        <f>COUNTIF($L15:INDIRECT(ADDRESS(ROW(),MATCH("",$4:$4,-1),1,1)),I$5)</f>
        <v/>
      </c>
      <c r="J15" s="128">
        <f>COUNTIF($L15:INDIRECT(ADDRESS(ROW(),MATCH("",$4:$4,-1),1,1)),J$5)</f>
        <v/>
      </c>
      <c r="K15" s="128">
        <f>COUNTIF($L15:INDIRECT(ADDRESS(ROW(),MATCH("",$4:$4,-1),1,1)),"N/A")</f>
        <v/>
      </c>
      <c r="L15" s="129">
        <f>IFERROR(INDIRECT(ADDRESS(ROW()+22,15,1,TRUE,L$4)),"")</f>
        <v/>
      </c>
    </row>
    <row r="16" ht="16.5" customHeight="1" s="309">
      <c r="B16" s="100" t="inlineStr">
        <is>
          <t>PC-11</t>
        </is>
      </c>
      <c r="C16" s="87" t="inlineStr">
        <is>
          <t>지원이 종료되지 않은 Windows OS Build 적용</t>
        </is>
      </c>
      <c r="D16" s="128" t="inlineStr">
        <is>
          <t>상</t>
        </is>
      </c>
      <c r="E16" s="165">
        <f>IF(D16="상",10,IF(D16="중",8,6))</f>
        <v/>
      </c>
      <c r="F16" s="128">
        <f>COUNTA($L16:INDIRECT(ADDRESS(ROW(),MATCH("",$4:$4,-1),1,1)))</f>
        <v/>
      </c>
      <c r="G16" s="128">
        <f>F16-K16</f>
        <v/>
      </c>
      <c r="H16" s="128">
        <f>COUNTIF($L16:INDIRECT(ADDRESS(ROW(),MATCH("",$4:$4,-1),1,1)),H$5)</f>
        <v/>
      </c>
      <c r="I16" s="128">
        <f>COUNTIF($L16:INDIRECT(ADDRESS(ROW(),MATCH("",$4:$4,-1),1,1)),I$5)</f>
        <v/>
      </c>
      <c r="J16" s="128">
        <f>COUNTIF($L16:INDIRECT(ADDRESS(ROW(),MATCH("",$4:$4,-1),1,1)),J$5)</f>
        <v/>
      </c>
      <c r="K16" s="128">
        <f>COUNTIF($L16:INDIRECT(ADDRESS(ROW(),MATCH("",$4:$4,-1),1,1)),"N/A")</f>
        <v/>
      </c>
      <c r="L16" s="129">
        <f>IFERROR(INDIRECT(ADDRESS(ROW()+22,15,1,TRUE,L$4)),"")</f>
        <v/>
      </c>
    </row>
    <row r="17" ht="16.5" customHeight="1" s="309">
      <c r="A17" s="348" t="inlineStr">
        <is>
          <t>보안 관리</t>
        </is>
      </c>
      <c r="B17" s="100" t="inlineStr">
        <is>
          <t>PC-12</t>
        </is>
      </c>
      <c r="C17" s="87" t="inlineStr">
        <is>
          <t>Windows 자동 로그인 점검</t>
        </is>
      </c>
      <c r="D17" s="128" t="inlineStr">
        <is>
          <t>상</t>
        </is>
      </c>
      <c r="E17" s="165">
        <f>IF(D17="상",10,IF(D17="중",8,6))</f>
        <v/>
      </c>
      <c r="F17" s="128">
        <f>COUNTA($L17:INDIRECT(ADDRESS(ROW(),MATCH("",$4:$4,-1),1,1)))</f>
        <v/>
      </c>
      <c r="G17" s="128">
        <f>F17-K17</f>
        <v/>
      </c>
      <c r="H17" s="128">
        <f>COUNTIF($L17:INDIRECT(ADDRESS(ROW(),MATCH("",$4:$4,-1),1,1)),H$5)</f>
        <v/>
      </c>
      <c r="I17" s="128">
        <f>COUNTIF($L17:INDIRECT(ADDRESS(ROW(),MATCH("",$4:$4,-1),1,1)),I$5)</f>
        <v/>
      </c>
      <c r="J17" s="128">
        <f>COUNTIF($L17:INDIRECT(ADDRESS(ROW(),MATCH("",$4:$4,-1),1,1)),J$5)</f>
        <v/>
      </c>
      <c r="K17" s="128">
        <f>COUNTIF($L17:INDIRECT(ADDRESS(ROW(),MATCH("",$4:$4,-1),1,1)),"N/A")</f>
        <v/>
      </c>
      <c r="L17" s="129">
        <f>IFERROR(INDIRECT(ADDRESS(ROW()+22,15,1,TRUE,L$4)),"")</f>
        <v/>
      </c>
    </row>
    <row r="18" ht="16.5" customHeight="1" s="309" thickBot="1">
      <c r="B18" s="106" t="inlineStr">
        <is>
          <t>PC-13</t>
        </is>
      </c>
      <c r="C18" s="130" t="inlineStr">
        <is>
          <t>바이러스 백신 프로그램 설치 및 주기적 업데이트</t>
        </is>
      </c>
      <c r="D18" s="128" t="inlineStr">
        <is>
          <t>상</t>
        </is>
      </c>
      <c r="E18" s="163">
        <f>IF(D18="상",10,IF(D18="중",8,6))</f>
        <v/>
      </c>
      <c r="F18" s="128">
        <f>COUNTA($L18:INDIRECT(ADDRESS(ROW(),MATCH("",$4:$4,-1),1,1)))</f>
        <v/>
      </c>
      <c r="G18" s="128">
        <f>F18-K18</f>
        <v/>
      </c>
      <c r="H18" s="128">
        <f>COUNTIF($L18:INDIRECT(ADDRESS(ROW(),MATCH("",$4:$4,-1),1,1)),H$5)</f>
        <v/>
      </c>
      <c r="I18" s="128">
        <f>COUNTIF($L18:INDIRECT(ADDRESS(ROW(),MATCH("",$4:$4,-1),1,1)),I$5)</f>
        <v/>
      </c>
      <c r="J18" s="128">
        <f>COUNTIF($L18:INDIRECT(ADDRESS(ROW(),MATCH("",$4:$4,-1),1,1)),J$5)</f>
        <v/>
      </c>
      <c r="K18" s="128">
        <f>COUNTIF($L18:INDIRECT(ADDRESS(ROW(),MATCH("",$4:$4,-1),1,1)),"N/A")</f>
        <v/>
      </c>
      <c r="L18" s="150">
        <f>IFERROR(INDIRECT(ADDRESS(ROW()+22,15,1,TRUE,L$4)),"")</f>
        <v/>
      </c>
    </row>
    <row r="19" ht="16.5" customHeight="1" s="309">
      <c r="B19" s="131" t="inlineStr">
        <is>
          <t>PC-14</t>
        </is>
      </c>
      <c r="C19" s="127" t="inlineStr">
        <is>
          <t>바이러스 백신 프로그램에서 제공하는 실시간 감시 기능 활성화</t>
        </is>
      </c>
      <c r="D19" s="102" t="inlineStr">
        <is>
          <t>상</t>
        </is>
      </c>
      <c r="E19" s="166">
        <f>IF(D19="상",10,IF(D19="중",8,6))</f>
        <v/>
      </c>
      <c r="F19" s="102">
        <f>COUNTA($L19:INDIRECT(ADDRESS(ROW(),MATCH("",$4:$4,-1),1,1)))</f>
        <v/>
      </c>
      <c r="G19" s="102">
        <f>F19-K19</f>
        <v/>
      </c>
      <c r="H19" s="102">
        <f>COUNTIF($L19:INDIRECT(ADDRESS(ROW(),MATCH("",$4:$4,-1),1,1)),H$5)</f>
        <v/>
      </c>
      <c r="I19" s="102">
        <f>COUNTIF($L19:INDIRECT(ADDRESS(ROW(),MATCH("",$4:$4,-1),1,1)),I$5)</f>
        <v/>
      </c>
      <c r="J19" s="102">
        <f>COUNTIF($L19:INDIRECT(ADDRESS(ROW(),MATCH("",$4:$4,-1),1,1)),J$5)</f>
        <v/>
      </c>
      <c r="K19" s="132">
        <f>COUNTIF($L19:INDIRECT(ADDRESS(ROW(),MATCH("",$4:$4,-1),1,1)),"N/A")</f>
        <v/>
      </c>
      <c r="L19" s="149">
        <f>IFERROR(INDIRECT(ADDRESS(ROW()+22,15,1,TRUE,L$4)),"")</f>
        <v/>
      </c>
    </row>
    <row r="20" ht="16.5" customHeight="1" s="309">
      <c r="B20" s="100" t="inlineStr">
        <is>
          <t>PC-15</t>
        </is>
      </c>
      <c r="C20" s="87" t="inlineStr">
        <is>
          <t>OS에서 제공하는 침입차단 기능 활성화</t>
        </is>
      </c>
      <c r="D20" s="128" t="inlineStr">
        <is>
          <t>상</t>
        </is>
      </c>
      <c r="E20" s="166">
        <f>IF(D20="상",10,IF(D20="중",8,6))</f>
        <v/>
      </c>
      <c r="F20" s="128">
        <f>COUNTA($L20:INDIRECT(ADDRESS(ROW(),MATCH("",$4:$4,-1),1,1)))</f>
        <v/>
      </c>
      <c r="G20" s="128">
        <f>F20-K20</f>
        <v/>
      </c>
      <c r="H20" s="128">
        <f>COUNTIF($L20:INDIRECT(ADDRESS(ROW(),MATCH("",$4:$4,-1),1,1)),H$5)</f>
        <v/>
      </c>
      <c r="I20" s="128">
        <f>COUNTIF($L20:INDIRECT(ADDRESS(ROW(),MATCH("",$4:$4,-1),1,1)),I$5)</f>
        <v/>
      </c>
      <c r="J20" s="128">
        <f>COUNTIF($L20:INDIRECT(ADDRESS(ROW(),MATCH("",$4:$4,-1),1,1)),J$5)</f>
        <v/>
      </c>
      <c r="K20" s="133">
        <f>COUNTIF($L20:INDIRECT(ADDRESS(ROW(),MATCH("",$4:$4,-1),1,1)),"N/A")</f>
        <v/>
      </c>
      <c r="L20" s="129">
        <f>IFERROR(INDIRECT(ADDRESS(ROW()+22,15,1,TRUE,L$4)),"")</f>
        <v/>
      </c>
    </row>
    <row r="21" ht="16.5" customHeight="1" s="309">
      <c r="B21" s="100" t="inlineStr">
        <is>
          <t>PC-16</t>
        </is>
      </c>
      <c r="C21" s="87" t="inlineStr">
        <is>
          <t>화면보호기 대기 시간 설정 및 재시작 시 암호 보호 설정</t>
        </is>
      </c>
      <c r="D21" s="128" t="inlineStr">
        <is>
          <t>중</t>
        </is>
      </c>
      <c r="E21" s="166">
        <f>IF(D21="상",10,IF(D21="중",8,6))</f>
        <v/>
      </c>
      <c r="F21" s="128">
        <f>COUNTA($L21:INDIRECT(ADDRESS(ROW(),MATCH("",$4:$4,-1),1,1)))</f>
        <v/>
      </c>
      <c r="G21" s="128">
        <f>F21-K21</f>
        <v/>
      </c>
      <c r="H21" s="128">
        <f>COUNTIF($L21:INDIRECT(ADDRESS(ROW(),MATCH("",$4:$4,-1),1,1)),H$5)</f>
        <v/>
      </c>
      <c r="I21" s="128">
        <f>COUNTIF($L21:INDIRECT(ADDRESS(ROW(),MATCH("",$4:$4,-1),1,1)),I$5)</f>
        <v/>
      </c>
      <c r="J21" s="128">
        <f>COUNTIF($L21:INDIRECT(ADDRESS(ROW(),MATCH("",$4:$4,-1),1,1)),J$5)</f>
        <v/>
      </c>
      <c r="K21" s="133">
        <f>COUNTIF($L21:INDIRECT(ADDRESS(ROW(),MATCH("",$4:$4,-1),1,1)),"N/A")</f>
        <v/>
      </c>
      <c r="L21" s="129">
        <f>IFERROR(INDIRECT(ADDRESS(ROW()+22,15,1,TRUE,L$4)),"")</f>
        <v/>
      </c>
    </row>
    <row r="22" ht="16.5" customHeight="1" s="309">
      <c r="B22" s="100" t="inlineStr">
        <is>
          <t>PC-17</t>
        </is>
      </c>
      <c r="C22" s="87" t="inlineStr">
        <is>
          <t>CD, DVD, USB 메모리 등 이동식 미디어의 자동 실행 방지</t>
        </is>
      </c>
      <c r="D22" s="128" t="inlineStr">
        <is>
          <t>상</t>
        </is>
      </c>
      <c r="E22" s="166">
        <f>IF(D22="상",10,IF(D22="중",8,6))</f>
        <v/>
      </c>
      <c r="F22" s="128">
        <f>COUNTA($L22:INDIRECT(ADDRESS(ROW(),MATCH("",$4:$4,-1),1,1)))</f>
        <v/>
      </c>
      <c r="G22" s="128">
        <f>F22-K22</f>
        <v/>
      </c>
      <c r="H22" s="128">
        <f>COUNTIF($L22:INDIRECT(ADDRESS(ROW(),MATCH("",$4:$4,-1),1,1)),H$5)</f>
        <v/>
      </c>
      <c r="I22" s="128">
        <f>COUNTIF($L22:INDIRECT(ADDRESS(ROW(),MATCH("",$4:$4,-1),1,1)),I$5)</f>
        <v/>
      </c>
      <c r="J22" s="128">
        <f>COUNTIF($L22:INDIRECT(ADDRESS(ROW(),MATCH("",$4:$4,-1),1,1)),J$5)</f>
        <v/>
      </c>
      <c r="K22" s="133">
        <f>COUNTIF($L22:INDIRECT(ADDRESS(ROW(),MATCH("",$4:$4,-1),1,1)),"N/A")</f>
        <v/>
      </c>
      <c r="L22" s="129">
        <f>IFERROR(INDIRECT(ADDRESS(ROW()+22,15,1,TRUE,L$4)),"")</f>
        <v/>
      </c>
    </row>
    <row r="23" ht="16.5" customHeight="1" s="309">
      <c r="B23" s="100" t="inlineStr">
        <is>
          <t>PC-18</t>
        </is>
      </c>
      <c r="C23" s="87" t="inlineStr">
        <is>
          <t>원격 지원을 금지하도록 정책이 설정</t>
        </is>
      </c>
      <c r="D23" s="128" t="inlineStr">
        <is>
          <t>중</t>
        </is>
      </c>
      <c r="E23" s="166">
        <f>IF(D23="상",10,IF(D23="중",8,6))</f>
        <v/>
      </c>
      <c r="F23" s="128">
        <f>COUNTA($L23:INDIRECT(ADDRESS(ROW(),MATCH("",$4:$4,-1),1,1)))</f>
        <v/>
      </c>
      <c r="G23" s="128">
        <f>F23-K23</f>
        <v/>
      </c>
      <c r="H23" s="128">
        <f>COUNTIF($L23:INDIRECT(ADDRESS(ROW(),MATCH("",$4:$4,-1),1,1)),H$5)</f>
        <v/>
      </c>
      <c r="I23" s="128">
        <f>COUNTIF($L23:INDIRECT(ADDRESS(ROW(),MATCH("",$4:$4,-1),1,1)),I$5)</f>
        <v/>
      </c>
      <c r="J23" s="128">
        <f>COUNTIF($L23:INDIRECT(ADDRESS(ROW(),MATCH("",$4:$4,-1),1,1)),J$5)</f>
        <v/>
      </c>
      <c r="K23" s="133">
        <f>COUNTIF($L23:INDIRECT(ADDRESS(ROW(),MATCH("",$4:$4,-1),1,1)),"N/A")</f>
        <v/>
      </c>
      <c r="L23" s="129">
        <f>IFERROR(INDIRECT(ADDRESS(ROW()+22,15,1,TRUE,L$4)),"")</f>
        <v/>
      </c>
    </row>
    <row r="24" ht="16.5" customHeight="1" s="309">
      <c r="B24" s="100" t="n"/>
      <c r="C24" s="87" t="n"/>
      <c r="D24" s="128" t="n"/>
      <c r="E24" s="166">
        <f>IF(D24="상",10,IF(D24="중",8,6))</f>
        <v/>
      </c>
      <c r="F24" s="128">
        <f>COUNTA($L24:INDIRECT(ADDRESS(ROW(),MATCH("",$4:$4,-1),1,1)))</f>
        <v/>
      </c>
      <c r="G24" s="128">
        <f>F24-K24</f>
        <v/>
      </c>
      <c r="H24" s="128">
        <f>COUNTIF($L24:INDIRECT(ADDRESS(ROW(),MATCH("",$4:$4,-1),1,1)),H$5)</f>
        <v/>
      </c>
      <c r="I24" s="128">
        <f>COUNTIF($L24:INDIRECT(ADDRESS(ROW(),MATCH("",$4:$4,-1),1,1)),I$5)</f>
        <v/>
      </c>
      <c r="J24" s="128">
        <f>COUNTIF($L24:INDIRECT(ADDRESS(ROW(),MATCH("",$4:$4,-1),1,1)),J$5)</f>
        <v/>
      </c>
      <c r="K24" s="133">
        <f>COUNTIF($L24:INDIRECT(ADDRESS(ROW(),MATCH("",$4:$4,-1),1,1)),"N/A")</f>
        <v/>
      </c>
      <c r="L24" s="129">
        <f>IFERROR(INDIRECT(ADDRESS(ROW()+22,15,1,TRUE,L$4)),"")</f>
        <v/>
      </c>
    </row>
    <row r="25" ht="16.5" customHeight="1" s="309">
      <c r="B25" s="100" t="n"/>
      <c r="C25" s="87" t="n"/>
      <c r="D25" s="128" t="n"/>
      <c r="E25" s="166">
        <f>IF(D25="상",10,IF(D25="중",8,6))</f>
        <v/>
      </c>
      <c r="F25" s="128">
        <f>COUNTA($L25:INDIRECT(ADDRESS(ROW(),MATCH("",$4:$4,-1),1,1)))</f>
        <v/>
      </c>
      <c r="G25" s="128">
        <f>F25-K25</f>
        <v/>
      </c>
      <c r="H25" s="128">
        <f>COUNTIF($L25:INDIRECT(ADDRESS(ROW(),MATCH("",$4:$4,-1),1,1)),H$5)</f>
        <v/>
      </c>
      <c r="I25" s="128">
        <f>COUNTIF($L25:INDIRECT(ADDRESS(ROW(),MATCH("",$4:$4,-1),1,1)),I$5)</f>
        <v/>
      </c>
      <c r="J25" s="128">
        <f>COUNTIF($L25:INDIRECT(ADDRESS(ROW(),MATCH("",$4:$4,-1),1,1)),J$5)</f>
        <v/>
      </c>
      <c r="K25" s="133">
        <f>COUNTIF($L25:INDIRECT(ADDRESS(ROW(),MATCH("",$4:$4,-1),1,1)),"N/A")</f>
        <v/>
      </c>
      <c r="L25" s="129">
        <f>IFERROR(INDIRECT(ADDRESS(ROW()+22,15,1,TRUE,L$4)),"")</f>
        <v/>
      </c>
    </row>
    <row r="26" ht="16.5" customHeight="1" s="309">
      <c r="B26" s="100" t="n"/>
      <c r="C26" s="87" t="n"/>
      <c r="D26" s="128" t="n"/>
      <c r="E26" s="166">
        <f>IF(D26="상",10,IF(D26="중",8,6))</f>
        <v/>
      </c>
      <c r="F26" s="128">
        <f>COUNTA($L26:INDIRECT(ADDRESS(ROW(),MATCH("",$4:$4,-1),1,1)))</f>
        <v/>
      </c>
      <c r="G26" s="128">
        <f>F26-K26</f>
        <v/>
      </c>
      <c r="H26" s="128">
        <f>COUNTIF($L26:INDIRECT(ADDRESS(ROW(),MATCH("",$4:$4,-1),1,1)),H$5)</f>
        <v/>
      </c>
      <c r="I26" s="128">
        <f>COUNTIF($L26:INDIRECT(ADDRESS(ROW(),MATCH("",$4:$4,-1),1,1)),I$5)</f>
        <v/>
      </c>
      <c r="J26" s="128">
        <f>COUNTIF($L26:INDIRECT(ADDRESS(ROW(),MATCH("",$4:$4,-1),1,1)),J$5)</f>
        <v/>
      </c>
      <c r="K26" s="133">
        <f>COUNTIF($L26:INDIRECT(ADDRESS(ROW(),MATCH("",$4:$4,-1),1,1)),"N/A")</f>
        <v/>
      </c>
      <c r="L26" s="129">
        <f>IFERROR(INDIRECT(ADDRESS(ROW()+22,15,1,TRUE,L$4)),"")</f>
        <v/>
      </c>
    </row>
    <row r="27" ht="16.5" customHeight="1" s="309">
      <c r="B27" s="100" t="n"/>
      <c r="C27" s="87" t="n"/>
      <c r="D27" s="128" t="n"/>
      <c r="E27" s="166">
        <f>IF(D27="상",10,IF(D27="중",8,6))</f>
        <v/>
      </c>
      <c r="F27" s="128">
        <f>COUNTA($L27:INDIRECT(ADDRESS(ROW(),MATCH("",$4:$4,-1),1,1)))</f>
        <v/>
      </c>
      <c r="G27" s="128">
        <f>F27-K27</f>
        <v/>
      </c>
      <c r="H27" s="128">
        <f>COUNTIF($L27:INDIRECT(ADDRESS(ROW(),MATCH("",$4:$4,-1),1,1)),H$5)</f>
        <v/>
      </c>
      <c r="I27" s="128">
        <f>COUNTIF($L27:INDIRECT(ADDRESS(ROW(),MATCH("",$4:$4,-1),1,1)),I$5)</f>
        <v/>
      </c>
      <c r="J27" s="128">
        <f>COUNTIF($L27:INDIRECT(ADDRESS(ROW(),MATCH("",$4:$4,-1),1,1)),J$5)</f>
        <v/>
      </c>
      <c r="K27" s="133">
        <f>COUNTIF($L27:INDIRECT(ADDRESS(ROW(),MATCH("",$4:$4,-1),1,1)),"N/A")</f>
        <v/>
      </c>
      <c r="L27" s="129">
        <f>IFERROR(INDIRECT(ADDRESS(ROW()+22,15,1,TRUE,L$4)),"")</f>
        <v/>
      </c>
    </row>
    <row r="28" ht="16.5" customHeight="1" s="309">
      <c r="B28" s="100" t="n"/>
      <c r="C28" s="87" t="n"/>
      <c r="D28" s="128" t="n"/>
      <c r="E28" s="166">
        <f>IF(D28="상",10,IF(D28="중",8,6))</f>
        <v/>
      </c>
      <c r="F28" s="128">
        <f>COUNTA($L28:INDIRECT(ADDRESS(ROW(),MATCH("",$4:$4,-1),1,1)))</f>
        <v/>
      </c>
      <c r="G28" s="128">
        <f>F28-K28</f>
        <v/>
      </c>
      <c r="H28" s="128">
        <f>COUNTIF($L28:INDIRECT(ADDRESS(ROW(),MATCH("",$4:$4,-1),1,1)),H$5)</f>
        <v/>
      </c>
      <c r="I28" s="128">
        <f>COUNTIF($L28:INDIRECT(ADDRESS(ROW(),MATCH("",$4:$4,-1),1,1)),I$5)</f>
        <v/>
      </c>
      <c r="J28" s="128">
        <f>COUNTIF($L28:INDIRECT(ADDRESS(ROW(),MATCH("",$4:$4,-1),1,1)),J$5)</f>
        <v/>
      </c>
      <c r="K28" s="133">
        <f>COUNTIF($L28:INDIRECT(ADDRESS(ROW(),MATCH("",$4:$4,-1),1,1)),"N/A")</f>
        <v/>
      </c>
      <c r="L28" s="129">
        <f>IFERROR(INDIRECT(ADDRESS(ROW()+22,15,1,TRUE,L$4)),"")</f>
        <v/>
      </c>
    </row>
    <row r="29" ht="16.5" customHeight="1" s="309">
      <c r="B29" s="100" t="n"/>
      <c r="C29" s="87" t="n"/>
      <c r="D29" s="128" t="n"/>
      <c r="E29" s="166">
        <f>IF(D29="상",10,IF(D29="중",8,6))</f>
        <v/>
      </c>
      <c r="F29" s="128">
        <f>COUNTA($L29:INDIRECT(ADDRESS(ROW(),MATCH("",$4:$4,-1),1,1)))</f>
        <v/>
      </c>
      <c r="G29" s="128">
        <f>F29-K29</f>
        <v/>
      </c>
      <c r="H29" s="128">
        <f>COUNTIF($L29:INDIRECT(ADDRESS(ROW(),MATCH("",$4:$4,-1),1,1)),H$5)</f>
        <v/>
      </c>
      <c r="I29" s="128">
        <f>COUNTIF($L29:INDIRECT(ADDRESS(ROW(),MATCH("",$4:$4,-1),1,1)),I$5)</f>
        <v/>
      </c>
      <c r="J29" s="128">
        <f>COUNTIF($L29:INDIRECT(ADDRESS(ROW(),MATCH("",$4:$4,-1),1,1)),J$5)</f>
        <v/>
      </c>
      <c r="K29" s="133">
        <f>COUNTIF($L29:INDIRECT(ADDRESS(ROW(),MATCH("",$4:$4,-1),1,1)),"N/A")</f>
        <v/>
      </c>
      <c r="L29" s="129">
        <f>IFERROR(INDIRECT(ADDRESS(ROW()+22,15,1,TRUE,L$4)),"")</f>
        <v/>
      </c>
    </row>
    <row r="30" ht="16.5" customHeight="1" s="309">
      <c r="B30" s="100" t="n"/>
      <c r="C30" s="87" t="n"/>
      <c r="D30" s="128" t="n"/>
      <c r="E30" s="166">
        <f>IF(D30="상",10,IF(D30="중",8,6))</f>
        <v/>
      </c>
      <c r="F30" s="128">
        <f>COUNTA($L30:INDIRECT(ADDRESS(ROW(),MATCH("",$4:$4,-1),1,1)))</f>
        <v/>
      </c>
      <c r="G30" s="128">
        <f>F30-K30</f>
        <v/>
      </c>
      <c r="H30" s="128">
        <f>COUNTIF($L30:INDIRECT(ADDRESS(ROW(),MATCH("",$4:$4,-1),1,1)),H$5)</f>
        <v/>
      </c>
      <c r="I30" s="128">
        <f>COUNTIF($L30:INDIRECT(ADDRESS(ROW(),MATCH("",$4:$4,-1),1,1)),I$5)</f>
        <v/>
      </c>
      <c r="J30" s="128">
        <f>COUNTIF($L30:INDIRECT(ADDRESS(ROW(),MATCH("",$4:$4,-1),1,1)),J$5)</f>
        <v/>
      </c>
      <c r="K30" s="133">
        <f>COUNTIF($L30:INDIRECT(ADDRESS(ROW(),MATCH("",$4:$4,-1),1,1)),"N/A")</f>
        <v/>
      </c>
      <c r="L30" s="129">
        <f>IFERROR(INDIRECT(ADDRESS(ROW()+22,15,1,TRUE,L$4)),"")</f>
        <v/>
      </c>
    </row>
    <row r="31" ht="16.5" customHeight="1" s="309">
      <c r="B31" s="100" t="n"/>
      <c r="C31" s="87" t="n"/>
      <c r="D31" s="128" t="n"/>
      <c r="E31" s="166">
        <f>IF(D31="상",10,IF(D31="중",8,6))</f>
        <v/>
      </c>
      <c r="F31" s="128">
        <f>COUNTA($L31:INDIRECT(ADDRESS(ROW(),MATCH("",$4:$4,-1),1,1)))</f>
        <v/>
      </c>
      <c r="G31" s="128">
        <f>F31-K31</f>
        <v/>
      </c>
      <c r="H31" s="128">
        <f>COUNTIF($L31:INDIRECT(ADDRESS(ROW(),MATCH("",$4:$4,-1),1,1)),H$5)</f>
        <v/>
      </c>
      <c r="I31" s="128">
        <f>COUNTIF($L31:INDIRECT(ADDRESS(ROW(),MATCH("",$4:$4,-1),1,1)),I$5)</f>
        <v/>
      </c>
      <c r="J31" s="128">
        <f>COUNTIF($L31:INDIRECT(ADDRESS(ROW(),MATCH("",$4:$4,-1),1,1)),J$5)</f>
        <v/>
      </c>
      <c r="K31" s="133">
        <f>COUNTIF($L31:INDIRECT(ADDRESS(ROW(),MATCH("",$4:$4,-1),1,1)),"N/A")</f>
        <v/>
      </c>
      <c r="L31" s="129">
        <f>IFERROR(INDIRECT(ADDRESS(ROW()+22,15,1,TRUE,L$4)),"")</f>
        <v/>
      </c>
    </row>
    <row r="32" ht="16.5" customHeight="1" s="309">
      <c r="B32" s="100" t="n"/>
      <c r="C32" s="87" t="n"/>
      <c r="D32" s="128" t="n"/>
      <c r="E32" s="166">
        <f>IF(D32="상",10,IF(D32="중",8,6))</f>
        <v/>
      </c>
      <c r="F32" s="128">
        <f>COUNTA($L32:INDIRECT(ADDRESS(ROW(),MATCH("",$4:$4,-1),1,1)))</f>
        <v/>
      </c>
      <c r="G32" s="128">
        <f>F32-K32</f>
        <v/>
      </c>
      <c r="H32" s="128">
        <f>COUNTIF($L32:INDIRECT(ADDRESS(ROW(),MATCH("",$4:$4,-1),1,1)),H$5)</f>
        <v/>
      </c>
      <c r="I32" s="128">
        <f>COUNTIF($L32:INDIRECT(ADDRESS(ROW(),MATCH("",$4:$4,-1),1,1)),I$5)</f>
        <v/>
      </c>
      <c r="J32" s="128">
        <f>COUNTIF($L32:INDIRECT(ADDRESS(ROW(),MATCH("",$4:$4,-1),1,1)),J$5)</f>
        <v/>
      </c>
      <c r="K32" s="133">
        <f>COUNTIF($L32:INDIRECT(ADDRESS(ROW(),MATCH("",$4:$4,-1),1,1)),"N/A")</f>
        <v/>
      </c>
      <c r="L32" s="129">
        <f>IFERROR(INDIRECT(ADDRESS(ROW()+22,15,1,TRUE,L$4)),"")</f>
        <v/>
      </c>
    </row>
    <row r="33" ht="16.5" customHeight="1" s="309">
      <c r="B33" s="100" t="n"/>
      <c r="C33" s="87" t="n"/>
      <c r="D33" s="128" t="n"/>
      <c r="E33" s="166">
        <f>IF(D33="상",10,IF(D33="중",8,6))</f>
        <v/>
      </c>
      <c r="F33" s="128">
        <f>COUNTA($L33:INDIRECT(ADDRESS(ROW(),MATCH("",$4:$4,-1),1,1)))</f>
        <v/>
      </c>
      <c r="G33" s="128">
        <f>F33-K33</f>
        <v/>
      </c>
      <c r="H33" s="128">
        <f>COUNTIF($L33:INDIRECT(ADDRESS(ROW(),MATCH("",$4:$4,-1),1,1)),H$5)</f>
        <v/>
      </c>
      <c r="I33" s="128">
        <f>COUNTIF($L33:INDIRECT(ADDRESS(ROW(),MATCH("",$4:$4,-1),1,1)),I$5)</f>
        <v/>
      </c>
      <c r="J33" s="128">
        <f>COUNTIF($L33:INDIRECT(ADDRESS(ROW(),MATCH("",$4:$4,-1),1,1)),J$5)</f>
        <v/>
      </c>
      <c r="K33" s="133">
        <f>COUNTIF($L33:INDIRECT(ADDRESS(ROW(),MATCH("",$4:$4,-1),1,1)),"N/A")</f>
        <v/>
      </c>
      <c r="L33" s="129">
        <f>IFERROR(INDIRECT(ADDRESS(ROW()+22,15,1,TRUE,L$4)),"")</f>
        <v/>
      </c>
    </row>
    <row r="34" ht="16.5" customHeight="1" s="309">
      <c r="B34" s="100" t="n"/>
      <c r="C34" s="87" t="n"/>
      <c r="D34" s="128" t="n"/>
      <c r="E34" s="166">
        <f>IF(D34="상",10,IF(D34="중",8,6))</f>
        <v/>
      </c>
      <c r="F34" s="128">
        <f>COUNTA($L34:INDIRECT(ADDRESS(ROW(),MATCH("",$4:$4,-1),1,1)))</f>
        <v/>
      </c>
      <c r="G34" s="128">
        <f>F34-K34</f>
        <v/>
      </c>
      <c r="H34" s="128">
        <f>COUNTIF($L34:INDIRECT(ADDRESS(ROW(),MATCH("",$4:$4,-1),1,1)),H$5)</f>
        <v/>
      </c>
      <c r="I34" s="128">
        <f>COUNTIF($L34:INDIRECT(ADDRESS(ROW(),MATCH("",$4:$4,-1),1,1)),I$5)</f>
        <v/>
      </c>
      <c r="J34" s="128">
        <f>COUNTIF($L34:INDIRECT(ADDRESS(ROW(),MATCH("",$4:$4,-1),1,1)),J$5)</f>
        <v/>
      </c>
      <c r="K34" s="133">
        <f>COUNTIF($L34:INDIRECT(ADDRESS(ROW(),MATCH("",$4:$4,-1),1,1)),"N/A")</f>
        <v/>
      </c>
      <c r="L34" s="129">
        <f>IFERROR(INDIRECT(ADDRESS(ROW()+22,15,1,TRUE,L$4)),"")</f>
        <v/>
      </c>
    </row>
    <row r="35" ht="16.5" customHeight="1" s="309">
      <c r="B35" s="100" t="n"/>
      <c r="C35" s="87" t="n"/>
      <c r="D35" s="128" t="n"/>
      <c r="E35" s="166">
        <f>IF(D35="상",10,IF(D35="중",8,6))</f>
        <v/>
      </c>
      <c r="F35" s="128">
        <f>COUNTA($L35:INDIRECT(ADDRESS(ROW(),MATCH("",$4:$4,-1),1,1)))</f>
        <v/>
      </c>
      <c r="G35" s="128">
        <f>F35-K35</f>
        <v/>
      </c>
      <c r="H35" s="128">
        <f>COUNTIF($L35:INDIRECT(ADDRESS(ROW(),MATCH("",$4:$4,-1),1,1)),H$5)</f>
        <v/>
      </c>
      <c r="I35" s="128">
        <f>COUNTIF($L35:INDIRECT(ADDRESS(ROW(),MATCH("",$4:$4,-1),1,1)),I$5)</f>
        <v/>
      </c>
      <c r="J35" s="128">
        <f>COUNTIF($L35:INDIRECT(ADDRESS(ROW(),MATCH("",$4:$4,-1),1,1)),J$5)</f>
        <v/>
      </c>
      <c r="K35" s="133">
        <f>COUNTIF($L35:INDIRECT(ADDRESS(ROW(),MATCH("",$4:$4,-1),1,1)),"N/A")</f>
        <v/>
      </c>
      <c r="L35" s="129">
        <f>IFERROR(INDIRECT(ADDRESS(ROW()+22,15,1,TRUE,L$4)),"")</f>
        <v/>
      </c>
    </row>
    <row r="36" ht="16.5" customHeight="1" s="309">
      <c r="B36" s="100" t="n"/>
      <c r="C36" s="87" t="n"/>
      <c r="D36" s="128" t="n"/>
      <c r="E36" s="166">
        <f>IF(D36="상",10,IF(D36="중",8,6))</f>
        <v/>
      </c>
      <c r="F36" s="128">
        <f>COUNTA($L36:INDIRECT(ADDRESS(ROW(),MATCH("",$4:$4,-1),1,1)))</f>
        <v/>
      </c>
      <c r="G36" s="128">
        <f>F36-K36</f>
        <v/>
      </c>
      <c r="H36" s="128">
        <f>COUNTIF($L36:INDIRECT(ADDRESS(ROW(),MATCH("",$4:$4,-1),1,1)),H$5)</f>
        <v/>
      </c>
      <c r="I36" s="128">
        <f>COUNTIF($L36:INDIRECT(ADDRESS(ROW(),MATCH("",$4:$4,-1),1,1)),I$5)</f>
        <v/>
      </c>
      <c r="J36" s="128">
        <f>COUNTIF($L36:INDIRECT(ADDRESS(ROW(),MATCH("",$4:$4,-1),1,1)),J$5)</f>
        <v/>
      </c>
      <c r="K36" s="133">
        <f>COUNTIF($L36:INDIRECT(ADDRESS(ROW(),MATCH("",$4:$4,-1),1,1)),"N/A")</f>
        <v/>
      </c>
      <c r="L36" s="129">
        <f>IFERROR(INDIRECT(ADDRESS(ROW()+22,15,1,TRUE,L$4)),"")</f>
        <v/>
      </c>
    </row>
    <row r="37" ht="16.5" customHeight="1" s="309">
      <c r="B37" s="100" t="n"/>
      <c r="C37" s="87" t="n"/>
      <c r="D37" s="128" t="n"/>
      <c r="E37" s="166">
        <f>IF(D37="상",10,IF(D37="중",8,6))</f>
        <v/>
      </c>
      <c r="F37" s="128">
        <f>COUNTA($L37:INDIRECT(ADDRESS(ROW(),MATCH("",$4:$4,-1),1,1)))</f>
        <v/>
      </c>
      <c r="G37" s="128">
        <f>F37-K37</f>
        <v/>
      </c>
      <c r="H37" s="128">
        <f>COUNTIF($L37:INDIRECT(ADDRESS(ROW(),MATCH("",$4:$4,-1),1,1)),H$5)</f>
        <v/>
      </c>
      <c r="I37" s="128">
        <f>COUNTIF($L37:INDIRECT(ADDRESS(ROW(),MATCH("",$4:$4,-1),1,1)),I$5)</f>
        <v/>
      </c>
      <c r="J37" s="128">
        <f>COUNTIF($L37:INDIRECT(ADDRESS(ROW(),MATCH("",$4:$4,-1),1,1)),J$5)</f>
        <v/>
      </c>
      <c r="K37" s="133">
        <f>COUNTIF($L37:INDIRECT(ADDRESS(ROW(),MATCH("",$4:$4,-1),1,1)),"N/A")</f>
        <v/>
      </c>
      <c r="L37" s="129">
        <f>IFERROR(INDIRECT(ADDRESS(ROW()+22,15,1,TRUE,L$4)),"")</f>
        <v/>
      </c>
    </row>
    <row r="38" ht="16.5" customHeight="1" s="309" thickBot="1">
      <c r="B38" s="106" t="n"/>
      <c r="C38" s="134" t="n"/>
      <c r="D38" s="135" t="n"/>
      <c r="E38" s="163">
        <f>IF(D38="상",10,IF(D38="중",8,6))</f>
        <v/>
      </c>
      <c r="F38" s="135">
        <f>COUNTA($L38:INDIRECT(ADDRESS(ROW(),MATCH("",$4:$4,-1),1,1)))</f>
        <v/>
      </c>
      <c r="G38" s="135">
        <f>F38-K38</f>
        <v/>
      </c>
      <c r="H38" s="135">
        <f>COUNTIF($L38:INDIRECT(ADDRESS(ROW(),MATCH("",$4:$4,-1),1,1)),H$5)</f>
        <v/>
      </c>
      <c r="I38" s="135">
        <f>COUNTIF($L38:INDIRECT(ADDRESS(ROW(),MATCH("",$4:$4,-1),1,1)),I$5)</f>
        <v/>
      </c>
      <c r="J38" s="135">
        <f>COUNTIF($L38:INDIRECT(ADDRESS(ROW(),MATCH("",$4:$4,-1),1,1)),J$5)</f>
        <v/>
      </c>
      <c r="K38" s="136">
        <f>COUNTIF($L38:INDIRECT(ADDRESS(ROW(),MATCH("",$4:$4,-1),1,1)),"N/A")</f>
        <v/>
      </c>
      <c r="L38" s="150">
        <f>IFERROR(INDIRECT(ADDRESS(ROW()+22,15,1,TRUE,L$4)),"")</f>
        <v/>
      </c>
    </row>
    <row r="39" ht="16.5" customHeight="1" s="309">
      <c r="A39" s="215" t="n"/>
      <c r="B39" s="137" t="n"/>
      <c r="C39" s="138" t="n"/>
      <c r="D39" s="139" t="n"/>
      <c r="E39" s="166">
        <f>IF(D39="상",10,IF(D39="중",8,6))</f>
        <v/>
      </c>
      <c r="F39" s="139">
        <f>COUNTA($L39:INDIRECT(ADDRESS(ROW(),MATCH("",$4:$4,-1),1,1)))</f>
        <v/>
      </c>
      <c r="G39" s="139">
        <f>F39-K39</f>
        <v/>
      </c>
      <c r="H39" s="139">
        <f>COUNTIF($L39:INDIRECT(ADDRESS(ROW(),MATCH("",$4:$4,-1),1,1)),H$5)</f>
        <v/>
      </c>
      <c r="I39" s="139">
        <f>COUNTIF($L39:INDIRECT(ADDRESS(ROW(),MATCH("",$4:$4,-1),1,1)),I$5)</f>
        <v/>
      </c>
      <c r="J39" s="139">
        <f>COUNTIF($L39:INDIRECT(ADDRESS(ROW(),MATCH("",$4:$4,-1),1,1)),J$5)</f>
        <v/>
      </c>
      <c r="K39" s="139">
        <f>COUNTIF($L39:INDIRECT(ADDRESS(ROW(),MATCH("",$4:$4,-1),1,1)),"N/A")</f>
        <v/>
      </c>
      <c r="L39" s="149">
        <f>IFERROR(INDIRECT(ADDRESS(ROW()+22,15,1,TRUE,L$4)),"")</f>
        <v/>
      </c>
    </row>
    <row r="40" ht="16.5" customHeight="1" s="309">
      <c r="B40" s="140" t="n"/>
      <c r="C40" s="87" t="n"/>
      <c r="D40" s="128" t="n"/>
      <c r="E40" s="166">
        <f>IF(D40="상",10,IF(D40="중",8,6))</f>
        <v/>
      </c>
      <c r="F40" s="128">
        <f>COUNTA($L40:INDIRECT(ADDRESS(ROW(),MATCH("",$4:$4,-1),1,1)))</f>
        <v/>
      </c>
      <c r="G40" s="128">
        <f>F40-K40</f>
        <v/>
      </c>
      <c r="H40" s="128">
        <f>COUNTIF($L40:INDIRECT(ADDRESS(ROW(),MATCH("",$4:$4,-1),1,1)),H$5)</f>
        <v/>
      </c>
      <c r="I40" s="128">
        <f>COUNTIF($L40:INDIRECT(ADDRESS(ROW(),MATCH("",$4:$4,-1),1,1)),I$5)</f>
        <v/>
      </c>
      <c r="J40" s="128">
        <f>COUNTIF($L40:INDIRECT(ADDRESS(ROW(),MATCH("",$4:$4,-1),1,1)),J$5)</f>
        <v/>
      </c>
      <c r="K40" s="128">
        <f>COUNTIF($L40:INDIRECT(ADDRESS(ROW(),MATCH("",$4:$4,-1),1,1)),"N/A")</f>
        <v/>
      </c>
      <c r="L40" s="129">
        <f>IFERROR(INDIRECT(ADDRESS(ROW()+22,15,1,TRUE,L$4)),"")</f>
        <v/>
      </c>
    </row>
    <row r="41" ht="16.5" customHeight="1" s="309">
      <c r="B41" s="140" t="n"/>
      <c r="C41" s="87" t="n"/>
      <c r="D41" s="128" t="n"/>
      <c r="E41" s="166">
        <f>IF(D41="상",10,IF(D41="중",8,6))</f>
        <v/>
      </c>
      <c r="F41" s="128">
        <f>COUNTA($L41:INDIRECT(ADDRESS(ROW(),MATCH("",$4:$4,-1),1,1)))</f>
        <v/>
      </c>
      <c r="G41" s="128">
        <f>F41-K41</f>
        <v/>
      </c>
      <c r="H41" s="128">
        <f>COUNTIF($L41:INDIRECT(ADDRESS(ROW(),MATCH("",$4:$4,-1),1,1)),H$5)</f>
        <v/>
      </c>
      <c r="I41" s="128">
        <f>COUNTIF($L41:INDIRECT(ADDRESS(ROW(),MATCH("",$4:$4,-1),1,1)),I$5)</f>
        <v/>
      </c>
      <c r="J41" s="128">
        <f>COUNTIF($L41:INDIRECT(ADDRESS(ROW(),MATCH("",$4:$4,-1),1,1)),J$5)</f>
        <v/>
      </c>
      <c r="K41" s="128">
        <f>COUNTIF($L41:INDIRECT(ADDRESS(ROW(),MATCH("",$4:$4,-1),1,1)),"N/A")</f>
        <v/>
      </c>
      <c r="L41" s="129">
        <f>IFERROR(INDIRECT(ADDRESS(ROW()+22,15,1,TRUE,L$4)),"")</f>
        <v/>
      </c>
    </row>
    <row r="42" ht="16.5" customHeight="1" s="309">
      <c r="B42" s="140" t="n"/>
      <c r="C42" s="87" t="n"/>
      <c r="D42" s="128" t="n"/>
      <c r="E42" s="166">
        <f>IF(D42="상",10,IF(D42="중",8,6))</f>
        <v/>
      </c>
      <c r="F42" s="128">
        <f>COUNTA($L42:INDIRECT(ADDRESS(ROW(),MATCH("",$4:$4,-1),1,1)))</f>
        <v/>
      </c>
      <c r="G42" s="128">
        <f>F42-K42</f>
        <v/>
      </c>
      <c r="H42" s="128">
        <f>COUNTIF($L42:INDIRECT(ADDRESS(ROW(),MATCH("",$4:$4,-1),1,1)),H$5)</f>
        <v/>
      </c>
      <c r="I42" s="128">
        <f>COUNTIF($L42:INDIRECT(ADDRESS(ROW(),MATCH("",$4:$4,-1),1,1)),I$5)</f>
        <v/>
      </c>
      <c r="J42" s="128">
        <f>COUNTIF($L42:INDIRECT(ADDRESS(ROW(),MATCH("",$4:$4,-1),1,1)),J$5)</f>
        <v/>
      </c>
      <c r="K42" s="128">
        <f>COUNTIF($L42:INDIRECT(ADDRESS(ROW(),MATCH("",$4:$4,-1),1,1)),"N/A")</f>
        <v/>
      </c>
      <c r="L42" s="129">
        <f>IFERROR(INDIRECT(ADDRESS(ROW()+22,15,1,TRUE,L$4)),"")</f>
        <v/>
      </c>
    </row>
    <row r="43" ht="16.5" customHeight="1" s="309">
      <c r="B43" s="140" t="n"/>
      <c r="C43" s="87" t="n"/>
      <c r="D43" s="128" t="n"/>
      <c r="E43" s="166">
        <f>IF(D43="상",10,IF(D43="중",8,6))</f>
        <v/>
      </c>
      <c r="F43" s="128">
        <f>COUNTA($L43:INDIRECT(ADDRESS(ROW(),MATCH("",$4:$4,-1),1,1)))</f>
        <v/>
      </c>
      <c r="G43" s="128">
        <f>F43-K43</f>
        <v/>
      </c>
      <c r="H43" s="128">
        <f>COUNTIF($L43:INDIRECT(ADDRESS(ROW(),MATCH("",$4:$4,-1),1,1)),H$5)</f>
        <v/>
      </c>
      <c r="I43" s="128">
        <f>COUNTIF($L43:INDIRECT(ADDRESS(ROW(),MATCH("",$4:$4,-1),1,1)),I$5)</f>
        <v/>
      </c>
      <c r="J43" s="128">
        <f>COUNTIF($L43:INDIRECT(ADDRESS(ROW(),MATCH("",$4:$4,-1),1,1)),J$5)</f>
        <v/>
      </c>
      <c r="K43" s="128">
        <f>COUNTIF($L43:INDIRECT(ADDRESS(ROW(),MATCH("",$4:$4,-1),1,1)),"N/A")</f>
        <v/>
      </c>
      <c r="L43" s="129">
        <f>IFERROR(INDIRECT(ADDRESS(ROW()+22,15,1,TRUE,L$4)),"")</f>
        <v/>
      </c>
    </row>
    <row r="44" ht="16.5" customHeight="1" s="309">
      <c r="B44" s="140" t="n"/>
      <c r="C44" s="87" t="n"/>
      <c r="D44" s="128" t="n"/>
      <c r="E44" s="166">
        <f>IF(D44="상",10,IF(D44="중",8,6))</f>
        <v/>
      </c>
      <c r="F44" s="128">
        <f>COUNTA($L44:INDIRECT(ADDRESS(ROW(),MATCH("",$4:$4,-1),1,1)))</f>
        <v/>
      </c>
      <c r="G44" s="128">
        <f>F44-K44</f>
        <v/>
      </c>
      <c r="H44" s="128">
        <f>COUNTIF($L44:INDIRECT(ADDRESS(ROW(),MATCH("",$4:$4,-1),1,1)),H$5)</f>
        <v/>
      </c>
      <c r="I44" s="128">
        <f>COUNTIF($L44:INDIRECT(ADDRESS(ROW(),MATCH("",$4:$4,-1),1,1)),I$5)</f>
        <v/>
      </c>
      <c r="J44" s="128">
        <f>COUNTIF($L44:INDIRECT(ADDRESS(ROW(),MATCH("",$4:$4,-1),1,1)),J$5)</f>
        <v/>
      </c>
      <c r="K44" s="128">
        <f>COUNTIF($L44:INDIRECT(ADDRESS(ROW(),MATCH("",$4:$4,-1),1,1)),"N/A")</f>
        <v/>
      </c>
      <c r="L44" s="129">
        <f>IFERROR(INDIRECT(ADDRESS(ROW()+22,15,1,TRUE,L$4)),"")</f>
        <v/>
      </c>
    </row>
    <row r="45" ht="16.5" customHeight="1" s="309">
      <c r="B45" s="140" t="n"/>
      <c r="C45" s="87" t="n"/>
      <c r="D45" s="128" t="n"/>
      <c r="E45" s="166">
        <f>IF(D45="상",10,IF(D45="중",8,6))</f>
        <v/>
      </c>
      <c r="F45" s="128">
        <f>COUNTA($L45:INDIRECT(ADDRESS(ROW(),MATCH("",$4:$4,-1),1,1)))</f>
        <v/>
      </c>
      <c r="G45" s="128">
        <f>F45-K45</f>
        <v/>
      </c>
      <c r="H45" s="128">
        <f>COUNTIF($L45:INDIRECT(ADDRESS(ROW(),MATCH("",$4:$4,-1),1,1)),H$5)</f>
        <v/>
      </c>
      <c r="I45" s="128">
        <f>COUNTIF($L45:INDIRECT(ADDRESS(ROW(),MATCH("",$4:$4,-1),1,1)),I$5)</f>
        <v/>
      </c>
      <c r="J45" s="128">
        <f>COUNTIF($L45:INDIRECT(ADDRESS(ROW(),MATCH("",$4:$4,-1),1,1)),J$5)</f>
        <v/>
      </c>
      <c r="K45" s="128">
        <f>COUNTIF($L45:INDIRECT(ADDRESS(ROW(),MATCH("",$4:$4,-1),1,1)),"N/A")</f>
        <v/>
      </c>
      <c r="L45" s="129">
        <f>IFERROR(INDIRECT(ADDRESS(ROW()+22,15,1,TRUE,L$4)),"")</f>
        <v/>
      </c>
    </row>
    <row r="46" ht="16.5" customHeight="1" s="309">
      <c r="B46" s="140" t="n"/>
      <c r="C46" s="87" t="n"/>
      <c r="D46" s="128" t="n"/>
      <c r="E46" s="166">
        <f>IF(D46="상",10,IF(D46="중",8,6))</f>
        <v/>
      </c>
      <c r="F46" s="128">
        <f>COUNTA($L46:INDIRECT(ADDRESS(ROW(),MATCH("",$4:$4,-1),1,1)))</f>
        <v/>
      </c>
      <c r="G46" s="128">
        <f>F46-K46</f>
        <v/>
      </c>
      <c r="H46" s="128">
        <f>COUNTIF($L46:INDIRECT(ADDRESS(ROW(),MATCH("",$4:$4,-1),1,1)),H$5)</f>
        <v/>
      </c>
      <c r="I46" s="128">
        <f>COUNTIF($L46:INDIRECT(ADDRESS(ROW(),MATCH("",$4:$4,-1),1,1)),I$5)</f>
        <v/>
      </c>
      <c r="J46" s="128">
        <f>COUNTIF($L46:INDIRECT(ADDRESS(ROW(),MATCH("",$4:$4,-1),1,1)),J$5)</f>
        <v/>
      </c>
      <c r="K46" s="128">
        <f>COUNTIF($L46:INDIRECT(ADDRESS(ROW(),MATCH("",$4:$4,-1),1,1)),"N/A")</f>
        <v/>
      </c>
      <c r="L46" s="129">
        <f>IFERROR(INDIRECT(ADDRESS(ROW()+22,15,1,TRUE,L$4)),"")</f>
        <v/>
      </c>
    </row>
    <row r="47" ht="16.5" customHeight="1" s="309">
      <c r="B47" s="140" t="n"/>
      <c r="C47" s="87" t="n"/>
      <c r="D47" s="128" t="n"/>
      <c r="E47" s="166">
        <f>IF(D47="상",10,IF(D47="중",8,6))</f>
        <v/>
      </c>
      <c r="F47" s="128">
        <f>COUNTA($L47:INDIRECT(ADDRESS(ROW(),MATCH("",$4:$4,-1),1,1)))</f>
        <v/>
      </c>
      <c r="G47" s="128">
        <f>F47-K47</f>
        <v/>
      </c>
      <c r="H47" s="128">
        <f>COUNTIF($L47:INDIRECT(ADDRESS(ROW(),MATCH("",$4:$4,-1),1,1)),H$5)</f>
        <v/>
      </c>
      <c r="I47" s="128">
        <f>COUNTIF($L47:INDIRECT(ADDRESS(ROW(),MATCH("",$4:$4,-1),1,1)),I$5)</f>
        <v/>
      </c>
      <c r="J47" s="128">
        <f>COUNTIF($L47:INDIRECT(ADDRESS(ROW(),MATCH("",$4:$4,-1),1,1)),J$5)</f>
        <v/>
      </c>
      <c r="K47" s="128">
        <f>COUNTIF($L47:INDIRECT(ADDRESS(ROW(),MATCH("",$4:$4,-1),1,1)),"N/A")</f>
        <v/>
      </c>
      <c r="L47" s="129">
        <f>IFERROR(INDIRECT(ADDRESS(ROW()+22,15,1,TRUE,L$4)),"")</f>
        <v/>
      </c>
    </row>
    <row r="48" ht="16.5" customHeight="1" s="309">
      <c r="B48" s="140" t="n"/>
      <c r="C48" s="87" t="n"/>
      <c r="D48" s="128" t="n"/>
      <c r="E48" s="166">
        <f>IF(D48="상",10,IF(D48="중",8,6))</f>
        <v/>
      </c>
      <c r="F48" s="128">
        <f>COUNTA($L48:INDIRECT(ADDRESS(ROW(),MATCH("",$4:$4,-1),1,1)))</f>
        <v/>
      </c>
      <c r="G48" s="128">
        <f>F48-K48</f>
        <v/>
      </c>
      <c r="H48" s="128">
        <f>COUNTIF($L48:INDIRECT(ADDRESS(ROW(),MATCH("",$4:$4,-1),1,1)),H$5)</f>
        <v/>
      </c>
      <c r="I48" s="128">
        <f>COUNTIF($L48:INDIRECT(ADDRESS(ROW(),MATCH("",$4:$4,-1),1,1)),I$5)</f>
        <v/>
      </c>
      <c r="J48" s="128">
        <f>COUNTIF($L48:INDIRECT(ADDRESS(ROW(),MATCH("",$4:$4,-1),1,1)),J$5)</f>
        <v/>
      </c>
      <c r="K48" s="128">
        <f>COUNTIF($L48:INDIRECT(ADDRESS(ROW(),MATCH("",$4:$4,-1),1,1)),"N/A")</f>
        <v/>
      </c>
      <c r="L48" s="129">
        <f>IFERROR(INDIRECT(ADDRESS(ROW()+22,15,1,TRUE,L$4)),"")</f>
        <v/>
      </c>
    </row>
    <row r="49" ht="16.5" customHeight="1" s="309">
      <c r="B49" s="140" t="n"/>
      <c r="C49" s="87" t="n"/>
      <c r="D49" s="128" t="n"/>
      <c r="E49" s="166">
        <f>IF(D49="상",10,IF(D49="중",8,6))</f>
        <v/>
      </c>
      <c r="F49" s="128">
        <f>COUNTA($L49:INDIRECT(ADDRESS(ROW(),MATCH("",$4:$4,-1),1,1)))</f>
        <v/>
      </c>
      <c r="G49" s="128">
        <f>F49-K49</f>
        <v/>
      </c>
      <c r="H49" s="128">
        <f>COUNTIF($L49:INDIRECT(ADDRESS(ROW(),MATCH("",$4:$4,-1),1,1)),H$5)</f>
        <v/>
      </c>
      <c r="I49" s="128">
        <f>COUNTIF($L49:INDIRECT(ADDRESS(ROW(),MATCH("",$4:$4,-1),1,1)),I$5)</f>
        <v/>
      </c>
      <c r="J49" s="128">
        <f>COUNTIF($L49:INDIRECT(ADDRESS(ROW(),MATCH("",$4:$4,-1),1,1)),J$5)</f>
        <v/>
      </c>
      <c r="K49" s="128">
        <f>COUNTIF($L49:INDIRECT(ADDRESS(ROW(),MATCH("",$4:$4,-1),1,1)),"N/A")</f>
        <v/>
      </c>
      <c r="L49" s="129">
        <f>IFERROR(INDIRECT(ADDRESS(ROW()+22,15,1,TRUE,L$4)),"")</f>
        <v/>
      </c>
    </row>
    <row r="50" ht="16.5" customHeight="1" s="309">
      <c r="B50" s="140" t="n"/>
      <c r="C50" s="87" t="n"/>
      <c r="D50" s="128" t="n"/>
      <c r="E50" s="166">
        <f>IF(D50="상",10,IF(D50="중",8,6))</f>
        <v/>
      </c>
      <c r="F50" s="128">
        <f>COUNTA($L50:INDIRECT(ADDRESS(ROW(),MATCH("",$4:$4,-1),1,1)))</f>
        <v/>
      </c>
      <c r="G50" s="128">
        <f>F50-K50</f>
        <v/>
      </c>
      <c r="H50" s="128">
        <f>COUNTIF($L50:INDIRECT(ADDRESS(ROW(),MATCH("",$4:$4,-1),1,1)),H$5)</f>
        <v/>
      </c>
      <c r="I50" s="128">
        <f>COUNTIF($L50:INDIRECT(ADDRESS(ROW(),MATCH("",$4:$4,-1),1,1)),I$5)</f>
        <v/>
      </c>
      <c r="J50" s="128">
        <f>COUNTIF($L50:INDIRECT(ADDRESS(ROW(),MATCH("",$4:$4,-1),1,1)),J$5)</f>
        <v/>
      </c>
      <c r="K50" s="128">
        <f>COUNTIF($L50:INDIRECT(ADDRESS(ROW(),MATCH("",$4:$4,-1),1,1)),"N/A")</f>
        <v/>
      </c>
      <c r="L50" s="129">
        <f>IFERROR(INDIRECT(ADDRESS(ROW()+22,15,1,TRUE,L$4)),"")</f>
        <v/>
      </c>
    </row>
    <row r="51" ht="16.5" customHeight="1" s="309">
      <c r="B51" s="140" t="n"/>
      <c r="C51" s="87" t="n"/>
      <c r="D51" s="128" t="n"/>
      <c r="E51" s="166">
        <f>IF(D51="상",10,IF(D51="중",8,6))</f>
        <v/>
      </c>
      <c r="F51" s="128">
        <f>COUNTA($L51:INDIRECT(ADDRESS(ROW(),MATCH("",$4:$4,-1),1,1)))</f>
        <v/>
      </c>
      <c r="G51" s="128">
        <f>F51-K51</f>
        <v/>
      </c>
      <c r="H51" s="128">
        <f>COUNTIF($L51:INDIRECT(ADDRESS(ROW(),MATCH("",$4:$4,-1),1,1)),H$5)</f>
        <v/>
      </c>
      <c r="I51" s="128">
        <f>COUNTIF($L51:INDIRECT(ADDRESS(ROW(),MATCH("",$4:$4,-1),1,1)),I$5)</f>
        <v/>
      </c>
      <c r="J51" s="128">
        <f>COUNTIF($L51:INDIRECT(ADDRESS(ROW(),MATCH("",$4:$4,-1),1,1)),J$5)</f>
        <v/>
      </c>
      <c r="K51" s="128">
        <f>COUNTIF($L51:INDIRECT(ADDRESS(ROW(),MATCH("",$4:$4,-1),1,1)),"N/A")</f>
        <v/>
      </c>
      <c r="L51" s="129">
        <f>IFERROR(INDIRECT(ADDRESS(ROW()+22,15,1,TRUE,L$4)),"")</f>
        <v/>
      </c>
    </row>
    <row r="52" ht="16.15" customHeight="1" s="309">
      <c r="B52" s="140" t="n"/>
      <c r="C52" s="87" t="n"/>
      <c r="D52" s="128" t="n"/>
      <c r="E52" s="166">
        <f>IF(D52="상",10,IF(D52="중",8,6))</f>
        <v/>
      </c>
      <c r="F52" s="128">
        <f>COUNTA($L52:INDIRECT(ADDRESS(ROW(),MATCH("",$4:$4,-1),1,1)))</f>
        <v/>
      </c>
      <c r="G52" s="128">
        <f>F52-K52</f>
        <v/>
      </c>
      <c r="H52" s="128">
        <f>COUNTIF($L52:INDIRECT(ADDRESS(ROW(),MATCH("",$4:$4,-1),1,1)),H$5)</f>
        <v/>
      </c>
      <c r="I52" s="128">
        <f>COUNTIF($L52:INDIRECT(ADDRESS(ROW(),MATCH("",$4:$4,-1),1,1)),I$5)</f>
        <v/>
      </c>
      <c r="J52" s="128">
        <f>COUNTIF($L52:INDIRECT(ADDRESS(ROW(),MATCH("",$4:$4,-1),1,1)),J$5)</f>
        <v/>
      </c>
      <c r="K52" s="128">
        <f>COUNTIF($L52:INDIRECT(ADDRESS(ROW(),MATCH("",$4:$4,-1),1,1)),"N/A")</f>
        <v/>
      </c>
      <c r="L52" s="129">
        <f>IFERROR(INDIRECT(ADDRESS(ROW()+22,15,1,TRUE,L$4)),"")</f>
        <v/>
      </c>
    </row>
    <row r="53" ht="16.15" customHeight="1" s="309">
      <c r="B53" s="140" t="n"/>
      <c r="C53" s="87" t="n"/>
      <c r="D53" s="128" t="n"/>
      <c r="E53" s="166">
        <f>IF(D53="상",10,IF(D53="중",8,6))</f>
        <v/>
      </c>
      <c r="F53" s="128">
        <f>COUNTA($L53:INDIRECT(ADDRESS(ROW(),MATCH("",$4:$4,-1),1,1)))</f>
        <v/>
      </c>
      <c r="G53" s="128">
        <f>F53-K53</f>
        <v/>
      </c>
      <c r="H53" s="128">
        <f>COUNTIF($L53:INDIRECT(ADDRESS(ROW(),MATCH("",$4:$4,-1),1,1)),H$5)</f>
        <v/>
      </c>
      <c r="I53" s="128">
        <f>COUNTIF($L53:INDIRECT(ADDRESS(ROW(),MATCH("",$4:$4,-1),1,1)),I$5)</f>
        <v/>
      </c>
      <c r="J53" s="128">
        <f>COUNTIF($L53:INDIRECT(ADDRESS(ROW(),MATCH("",$4:$4,-1),1,1)),J$5)</f>
        <v/>
      </c>
      <c r="K53" s="128">
        <f>COUNTIF($L53:INDIRECT(ADDRESS(ROW(),MATCH("",$4:$4,-1),1,1)),"N/A")</f>
        <v/>
      </c>
      <c r="L53" s="129">
        <f>IFERROR(INDIRECT(ADDRESS(ROW()+22,15,1,TRUE,L$4)),"")</f>
        <v/>
      </c>
    </row>
    <row r="54" ht="16.15" customHeight="1" s="309">
      <c r="B54" s="140" t="n"/>
      <c r="C54" s="87" t="n"/>
      <c r="D54" s="128" t="n"/>
      <c r="E54" s="166">
        <f>IF(D54="상",10,IF(D54="중",8,6))</f>
        <v/>
      </c>
      <c r="F54" s="128">
        <f>COUNTA($L54:INDIRECT(ADDRESS(ROW(),MATCH("",$4:$4,-1),1,1)))</f>
        <v/>
      </c>
      <c r="G54" s="128">
        <f>F54-K54</f>
        <v/>
      </c>
      <c r="H54" s="128">
        <f>COUNTIF($L54:INDIRECT(ADDRESS(ROW(),MATCH("",$4:$4,-1),1,1)),H$5)</f>
        <v/>
      </c>
      <c r="I54" s="128">
        <f>COUNTIF($L54:INDIRECT(ADDRESS(ROW(),MATCH("",$4:$4,-1),1,1)),I$5)</f>
        <v/>
      </c>
      <c r="J54" s="128">
        <f>COUNTIF($L54:INDIRECT(ADDRESS(ROW(),MATCH("",$4:$4,-1),1,1)),J$5)</f>
        <v/>
      </c>
      <c r="K54" s="128">
        <f>COUNTIF($L54:INDIRECT(ADDRESS(ROW(),MATCH("",$4:$4,-1),1,1)),"N/A")</f>
        <v/>
      </c>
      <c r="L54" s="129">
        <f>IFERROR(INDIRECT(ADDRESS(ROW()+22,15,1,TRUE,L$4)),"")</f>
        <v/>
      </c>
    </row>
    <row r="55" ht="16.5" customHeight="1" s="309">
      <c r="B55" s="140" t="n"/>
      <c r="C55" s="87" t="n"/>
      <c r="D55" s="128" t="n"/>
      <c r="E55" s="166">
        <f>IF(D55="상",10,IF(D55="중",8,6))</f>
        <v/>
      </c>
      <c r="F55" s="128">
        <f>COUNTA($L55:INDIRECT(ADDRESS(ROW(),MATCH("",$4:$4,-1),1,1)))</f>
        <v/>
      </c>
      <c r="G55" s="128">
        <f>F55-K55</f>
        <v/>
      </c>
      <c r="H55" s="128">
        <f>COUNTIF($L55:INDIRECT(ADDRESS(ROW(),MATCH("",$4:$4,-1),1,1)),H$5)</f>
        <v/>
      </c>
      <c r="I55" s="128">
        <f>COUNTIF($L55:INDIRECT(ADDRESS(ROW(),MATCH("",$4:$4,-1),1,1)),I$5)</f>
        <v/>
      </c>
      <c r="J55" s="128">
        <f>COUNTIF($L55:INDIRECT(ADDRESS(ROW(),MATCH("",$4:$4,-1),1,1)),J$5)</f>
        <v/>
      </c>
      <c r="K55" s="128">
        <f>COUNTIF($L55:INDIRECT(ADDRESS(ROW(),MATCH("",$4:$4,-1),1,1)),"N/A")</f>
        <v/>
      </c>
      <c r="L55" s="129">
        <f>IFERROR(INDIRECT(ADDRESS(ROW()+22,15,1,TRUE,L$4)),"")</f>
        <v/>
      </c>
    </row>
    <row r="56" ht="16.5" customHeight="1" s="309">
      <c r="B56" s="140" t="n"/>
      <c r="C56" s="87" t="n"/>
      <c r="D56" s="128" t="n"/>
      <c r="E56" s="166">
        <f>IF(D56="상",10,IF(D56="중",8,6))</f>
        <v/>
      </c>
      <c r="F56" s="128">
        <f>COUNTA($L56:INDIRECT(ADDRESS(ROW(),MATCH("",$4:$4,-1),1,1)))</f>
        <v/>
      </c>
      <c r="G56" s="128">
        <f>F56-K56</f>
        <v/>
      </c>
      <c r="H56" s="128">
        <f>COUNTIF($L56:INDIRECT(ADDRESS(ROW(),MATCH("",$4:$4,-1),1,1)),H$5)</f>
        <v/>
      </c>
      <c r="I56" s="128">
        <f>COUNTIF($L56:INDIRECT(ADDRESS(ROW(),MATCH("",$4:$4,-1),1,1)),I$5)</f>
        <v/>
      </c>
      <c r="J56" s="128">
        <f>COUNTIF($L56:INDIRECT(ADDRESS(ROW(),MATCH("",$4:$4,-1),1,1)),J$5)</f>
        <v/>
      </c>
      <c r="K56" s="128">
        <f>COUNTIF($L56:INDIRECT(ADDRESS(ROW(),MATCH("",$4:$4,-1),1,1)),"N/A")</f>
        <v/>
      </c>
      <c r="L56" s="129">
        <f>IFERROR(INDIRECT(ADDRESS(ROW()+22,15,1,TRUE,L$4)),"")</f>
        <v/>
      </c>
    </row>
    <row r="57" ht="16.5" customHeight="1" s="309">
      <c r="B57" s="140" t="n"/>
      <c r="C57" s="87" t="n"/>
      <c r="D57" s="128" t="n"/>
      <c r="E57" s="166">
        <f>IF(D57="상",10,IF(D57="중",8,6))</f>
        <v/>
      </c>
      <c r="F57" s="128">
        <f>COUNTA($L57:INDIRECT(ADDRESS(ROW(),MATCH("",$4:$4,-1),1,1)))</f>
        <v/>
      </c>
      <c r="G57" s="128">
        <f>F57-K57</f>
        <v/>
      </c>
      <c r="H57" s="128">
        <f>COUNTIF($L57:INDIRECT(ADDRESS(ROW(),MATCH("",$4:$4,-1),1,1)),H$5)</f>
        <v/>
      </c>
      <c r="I57" s="128">
        <f>COUNTIF($L57:INDIRECT(ADDRESS(ROW(),MATCH("",$4:$4,-1),1,1)),I$5)</f>
        <v/>
      </c>
      <c r="J57" s="128">
        <f>COUNTIF($L57:INDIRECT(ADDRESS(ROW(),MATCH("",$4:$4,-1),1,1)),J$5)</f>
        <v/>
      </c>
      <c r="K57" s="128">
        <f>COUNTIF($L57:INDIRECT(ADDRESS(ROW(),MATCH("",$4:$4,-1),1,1)),"N/A")</f>
        <v/>
      </c>
      <c r="L57" s="129">
        <f>IFERROR(INDIRECT(ADDRESS(ROW()+22,15,1,TRUE,L$4)),"")</f>
        <v/>
      </c>
    </row>
    <row r="58" ht="16.5" customHeight="1" s="309">
      <c r="B58" s="140" t="n"/>
      <c r="C58" s="87" t="n"/>
      <c r="D58" s="128" t="n"/>
      <c r="E58" s="166">
        <f>IF(D58="상",10,IF(D58="중",8,6))</f>
        <v/>
      </c>
      <c r="F58" s="128">
        <f>COUNTA($L58:INDIRECT(ADDRESS(ROW(),MATCH("",$4:$4,-1),1,1)))</f>
        <v/>
      </c>
      <c r="G58" s="128">
        <f>F58-K58</f>
        <v/>
      </c>
      <c r="H58" s="128">
        <f>COUNTIF($L58:INDIRECT(ADDRESS(ROW(),MATCH("",$4:$4,-1),1,1)),H$5)</f>
        <v/>
      </c>
      <c r="I58" s="128">
        <f>COUNTIF($L58:INDIRECT(ADDRESS(ROW(),MATCH("",$4:$4,-1),1,1)),I$5)</f>
        <v/>
      </c>
      <c r="J58" s="128">
        <f>COUNTIF($L58:INDIRECT(ADDRESS(ROW(),MATCH("",$4:$4,-1),1,1)),J$5)</f>
        <v/>
      </c>
      <c r="K58" s="128">
        <f>COUNTIF($L58:INDIRECT(ADDRESS(ROW(),MATCH("",$4:$4,-1),1,1)),"N/A")</f>
        <v/>
      </c>
      <c r="L58" s="129">
        <f>IFERROR(INDIRECT(ADDRESS(ROW()+22,15,1,TRUE,L$4)),"")</f>
        <v/>
      </c>
    </row>
    <row r="59" ht="16.5" customHeight="1" s="309">
      <c r="B59" s="140" t="n"/>
      <c r="C59" s="87" t="n"/>
      <c r="D59" s="128" t="n"/>
      <c r="E59" s="166">
        <f>IF(D59="상",10,IF(D59="중",8,6))</f>
        <v/>
      </c>
      <c r="F59" s="128">
        <f>COUNTA($L59:INDIRECT(ADDRESS(ROW(),MATCH("",$4:$4,-1),1,1)))</f>
        <v/>
      </c>
      <c r="G59" s="128">
        <f>F59-K59</f>
        <v/>
      </c>
      <c r="H59" s="128">
        <f>COUNTIF($L59:INDIRECT(ADDRESS(ROW(),MATCH("",$4:$4,-1),1,1)),H$5)</f>
        <v/>
      </c>
      <c r="I59" s="128">
        <f>COUNTIF($L59:INDIRECT(ADDRESS(ROW(),MATCH("",$4:$4,-1),1,1)),I$5)</f>
        <v/>
      </c>
      <c r="J59" s="128">
        <f>COUNTIF($L59:INDIRECT(ADDRESS(ROW(),MATCH("",$4:$4,-1),1,1)),J$5)</f>
        <v/>
      </c>
      <c r="K59" s="128">
        <f>COUNTIF($L59:INDIRECT(ADDRESS(ROW(),MATCH("",$4:$4,-1),1,1)),"N/A")</f>
        <v/>
      </c>
      <c r="L59" s="129">
        <f>IFERROR(INDIRECT(ADDRESS(ROW()+22,15,1,TRUE,L$4)),"")</f>
        <v/>
      </c>
    </row>
    <row r="60">
      <c r="B60" s="140" t="n"/>
      <c r="C60" s="87" t="n"/>
      <c r="D60" s="128" t="n"/>
      <c r="E60" s="166">
        <f>IF(D60="상",10,IF(D60="중",8,6))</f>
        <v/>
      </c>
      <c r="F60" s="128">
        <f>COUNTA($L60:INDIRECT(ADDRESS(ROW(),MATCH("",$4:$4,-1),1,1)))</f>
        <v/>
      </c>
      <c r="G60" s="128">
        <f>F60-K60</f>
        <v/>
      </c>
      <c r="H60" s="128">
        <f>COUNTIF($L60:INDIRECT(ADDRESS(ROW(),MATCH("",$4:$4,-1),1,1)),H$5)</f>
        <v/>
      </c>
      <c r="I60" s="128">
        <f>COUNTIF($L60:INDIRECT(ADDRESS(ROW(),MATCH("",$4:$4,-1),1,1)),I$5)</f>
        <v/>
      </c>
      <c r="J60" s="128">
        <f>COUNTIF($L60:INDIRECT(ADDRESS(ROW(),MATCH("",$4:$4,-1),1,1)),J$5)</f>
        <v/>
      </c>
      <c r="K60" s="128">
        <f>COUNTIF($L60:INDIRECT(ADDRESS(ROW(),MATCH("",$4:$4,-1),1,1)),"N/A")</f>
        <v/>
      </c>
      <c r="L60" s="129">
        <f>IFERROR(INDIRECT(ADDRESS(ROW()+22,15,1,TRUE,L$4)),"")</f>
        <v/>
      </c>
    </row>
    <row r="61">
      <c r="B61" s="140" t="n"/>
      <c r="C61" s="87" t="n"/>
      <c r="D61" s="128" t="n"/>
      <c r="E61" s="166">
        <f>IF(D61="상",10,IF(D61="중",8,6))</f>
        <v/>
      </c>
      <c r="F61" s="128">
        <f>COUNTA($L61:INDIRECT(ADDRESS(ROW(),MATCH("",$4:$4,-1),1,1)))</f>
        <v/>
      </c>
      <c r="G61" s="128">
        <f>F61-K61</f>
        <v/>
      </c>
      <c r="H61" s="128">
        <f>COUNTIF($L61:INDIRECT(ADDRESS(ROW(),MATCH("",$4:$4,-1),1,1)),H$5)</f>
        <v/>
      </c>
      <c r="I61" s="128">
        <f>COUNTIF($L61:INDIRECT(ADDRESS(ROW(),MATCH("",$4:$4,-1),1,1)),I$5)</f>
        <v/>
      </c>
      <c r="J61" s="128">
        <f>COUNTIF($L61:INDIRECT(ADDRESS(ROW(),MATCH("",$4:$4,-1),1,1)),J$5)</f>
        <v/>
      </c>
      <c r="K61" s="128">
        <f>COUNTIF($L61:INDIRECT(ADDRESS(ROW(),MATCH("",$4:$4,-1),1,1)),"N/A")</f>
        <v/>
      </c>
      <c r="L61" s="129">
        <f>IFERROR(INDIRECT(ADDRESS(ROW()+22,15,1,TRUE,L$4)),"")</f>
        <v/>
      </c>
    </row>
    <row r="62">
      <c r="B62" s="140" t="n"/>
      <c r="C62" s="87" t="n"/>
      <c r="D62" s="128" t="n"/>
      <c r="E62" s="166">
        <f>IF(D62="상",10,IF(D62="중",8,6))</f>
        <v/>
      </c>
      <c r="F62" s="128">
        <f>COUNTA($L62:INDIRECT(ADDRESS(ROW(),MATCH("",$4:$4,-1),1,1)))</f>
        <v/>
      </c>
      <c r="G62" s="128">
        <f>F62-K62</f>
        <v/>
      </c>
      <c r="H62" s="128">
        <f>COUNTIF($L62:INDIRECT(ADDRESS(ROW(),MATCH("",$4:$4,-1),1,1)),H$5)</f>
        <v/>
      </c>
      <c r="I62" s="128">
        <f>COUNTIF($L62:INDIRECT(ADDRESS(ROW(),MATCH("",$4:$4,-1),1,1)),I$5)</f>
        <v/>
      </c>
      <c r="J62" s="128">
        <f>COUNTIF($L62:INDIRECT(ADDRESS(ROW(),MATCH("",$4:$4,-1),1,1)),J$5)</f>
        <v/>
      </c>
      <c r="K62" s="128">
        <f>COUNTIF($L62:INDIRECT(ADDRESS(ROW(),MATCH("",$4:$4,-1),1,1)),"N/A")</f>
        <v/>
      </c>
      <c r="L62" s="129">
        <f>IFERROR(INDIRECT(ADDRESS(ROW()+22,15,1,TRUE,L$4)),"")</f>
        <v/>
      </c>
    </row>
    <row r="63">
      <c r="B63" s="140" t="n"/>
      <c r="C63" s="87" t="n"/>
      <c r="D63" s="128" t="n"/>
      <c r="E63" s="166">
        <f>IF(D63="상",10,IF(D63="중",8,6))</f>
        <v/>
      </c>
      <c r="F63" s="128">
        <f>COUNTA($L63:INDIRECT(ADDRESS(ROW(),MATCH("",$4:$4,-1),1,1)))</f>
        <v/>
      </c>
      <c r="G63" s="128">
        <f>F63-K63</f>
        <v/>
      </c>
      <c r="H63" s="128">
        <f>COUNTIF($L63:INDIRECT(ADDRESS(ROW(),MATCH("",$4:$4,-1),1,1)),H$5)</f>
        <v/>
      </c>
      <c r="I63" s="128">
        <f>COUNTIF($L63:INDIRECT(ADDRESS(ROW(),MATCH("",$4:$4,-1),1,1)),I$5)</f>
        <v/>
      </c>
      <c r="J63" s="128">
        <f>COUNTIF($L63:INDIRECT(ADDRESS(ROW(),MATCH("",$4:$4,-1),1,1)),J$5)</f>
        <v/>
      </c>
      <c r="K63" s="128">
        <f>COUNTIF($L63:INDIRECT(ADDRESS(ROW(),MATCH("",$4:$4,-1),1,1)),"N/A")</f>
        <v/>
      </c>
      <c r="L63" s="129">
        <f>IFERROR(INDIRECT(ADDRESS(ROW()+22,15,1,TRUE,L$4)),"")</f>
        <v/>
      </c>
    </row>
    <row r="64">
      <c r="B64" s="140" t="n"/>
      <c r="C64" s="87" t="n"/>
      <c r="D64" s="128" t="n"/>
      <c r="E64" s="166">
        <f>IF(D64="상",10,IF(D64="중",8,6))</f>
        <v/>
      </c>
      <c r="F64" s="128">
        <f>COUNTA($L64:INDIRECT(ADDRESS(ROW(),MATCH("",$4:$4,-1),1,1)))</f>
        <v/>
      </c>
      <c r="G64" s="128">
        <f>F64-K64</f>
        <v/>
      </c>
      <c r="H64" s="128">
        <f>COUNTIF($L64:INDIRECT(ADDRESS(ROW(),MATCH("",$4:$4,-1),1,1)),H$5)</f>
        <v/>
      </c>
      <c r="I64" s="128">
        <f>COUNTIF($L64:INDIRECT(ADDRESS(ROW(),MATCH("",$4:$4,-1),1,1)),I$5)</f>
        <v/>
      </c>
      <c r="J64" s="128">
        <f>COUNTIF($L64:INDIRECT(ADDRESS(ROW(),MATCH("",$4:$4,-1),1,1)),J$5)</f>
        <v/>
      </c>
      <c r="K64" s="128">
        <f>COUNTIF($L64:INDIRECT(ADDRESS(ROW(),MATCH("",$4:$4,-1),1,1)),"N/A")</f>
        <v/>
      </c>
      <c r="L64" s="129">
        <f>IFERROR(INDIRECT(ADDRESS(ROW()+22,15,1,TRUE,L$4)),"")</f>
        <v/>
      </c>
    </row>
    <row r="65">
      <c r="B65" s="140" t="n"/>
      <c r="C65" s="87" t="n"/>
      <c r="D65" s="128" t="n"/>
      <c r="E65" s="166">
        <f>IF(D65="상",10,IF(D65="중",8,6))</f>
        <v/>
      </c>
      <c r="F65" s="128">
        <f>COUNTA($L65:INDIRECT(ADDRESS(ROW(),MATCH("",$4:$4,-1),1,1)))</f>
        <v/>
      </c>
      <c r="G65" s="128">
        <f>F65-K65</f>
        <v/>
      </c>
      <c r="H65" s="128">
        <f>COUNTIF($L65:INDIRECT(ADDRESS(ROW(),MATCH("",$4:$4,-1),1,1)),H$5)</f>
        <v/>
      </c>
      <c r="I65" s="128">
        <f>COUNTIF($L65:INDIRECT(ADDRESS(ROW(),MATCH("",$4:$4,-1),1,1)),I$5)</f>
        <v/>
      </c>
      <c r="J65" s="128">
        <f>COUNTIF($L65:INDIRECT(ADDRESS(ROW(),MATCH("",$4:$4,-1),1,1)),J$5)</f>
        <v/>
      </c>
      <c r="K65" s="128">
        <f>COUNTIF($L65:INDIRECT(ADDRESS(ROW(),MATCH("",$4:$4,-1),1,1)),"N/A")</f>
        <v/>
      </c>
      <c r="L65" s="129">
        <f>IFERROR(INDIRECT(ADDRESS(ROW()+22,15,1,TRUE,L$4)),"")</f>
        <v/>
      </c>
    </row>
    <row r="66">
      <c r="B66" s="140" t="n"/>
      <c r="C66" s="87" t="n"/>
      <c r="D66" s="128" t="n"/>
      <c r="E66" s="166">
        <f>IF(D66="상",10,IF(D66="중",8,6))</f>
        <v/>
      </c>
      <c r="F66" s="128">
        <f>COUNTA($L66:INDIRECT(ADDRESS(ROW(),MATCH("",$4:$4,-1),1,1)))</f>
        <v/>
      </c>
      <c r="G66" s="128">
        <f>F66-K66</f>
        <v/>
      </c>
      <c r="H66" s="128">
        <f>COUNTIF($L66:INDIRECT(ADDRESS(ROW(),MATCH("",$4:$4,-1),1,1)),H$5)</f>
        <v/>
      </c>
      <c r="I66" s="128">
        <f>COUNTIF($L66:INDIRECT(ADDRESS(ROW(),MATCH("",$4:$4,-1),1,1)),I$5)</f>
        <v/>
      </c>
      <c r="J66" s="128">
        <f>COUNTIF($L66:INDIRECT(ADDRESS(ROW(),MATCH("",$4:$4,-1),1,1)),J$5)</f>
        <v/>
      </c>
      <c r="K66" s="128">
        <f>COUNTIF($L66:INDIRECT(ADDRESS(ROW(),MATCH("",$4:$4,-1),1,1)),"N/A")</f>
        <v/>
      </c>
      <c r="L66" s="129">
        <f>IFERROR(INDIRECT(ADDRESS(ROW()+22,15,1,TRUE,L$4)),"")</f>
        <v/>
      </c>
    </row>
    <row r="67">
      <c r="B67" s="140" t="n"/>
      <c r="C67" s="87" t="n"/>
      <c r="D67" s="128" t="n"/>
      <c r="E67" s="166">
        <f>IF(D67="상",10,IF(D67="중",8,6))</f>
        <v/>
      </c>
      <c r="F67" s="128">
        <f>COUNTA($L67:INDIRECT(ADDRESS(ROW(),MATCH("",$4:$4,-1),1,1)))</f>
        <v/>
      </c>
      <c r="G67" s="128">
        <f>F67-K67</f>
        <v/>
      </c>
      <c r="H67" s="128">
        <f>COUNTIF($L67:INDIRECT(ADDRESS(ROW(),MATCH("",$4:$4,-1),1,1)),H$5)</f>
        <v/>
      </c>
      <c r="I67" s="128">
        <f>COUNTIF($L67:INDIRECT(ADDRESS(ROW(),MATCH("",$4:$4,-1),1,1)),I$5)</f>
        <v/>
      </c>
      <c r="J67" s="128">
        <f>COUNTIF($L67:INDIRECT(ADDRESS(ROW(),MATCH("",$4:$4,-1),1,1)),J$5)</f>
        <v/>
      </c>
      <c r="K67" s="128">
        <f>COUNTIF($L67:INDIRECT(ADDRESS(ROW(),MATCH("",$4:$4,-1),1,1)),"N/A")</f>
        <v/>
      </c>
      <c r="L67" s="129">
        <f>IFERROR(INDIRECT(ADDRESS(ROW()+22,15,1,TRUE,L$4)),"")</f>
        <v/>
      </c>
    </row>
    <row r="68" ht="17.25" customHeight="1" s="309" thickBot="1">
      <c r="B68" s="141" t="n"/>
      <c r="C68" s="134" t="n"/>
      <c r="D68" s="135" t="n"/>
      <c r="E68" s="163">
        <f>IF(D68="상",10,IF(D68="중",8,6))</f>
        <v/>
      </c>
      <c r="F68" s="135">
        <f>COUNTA($L68:INDIRECT(ADDRESS(ROW(),MATCH("",$4:$4,-1),1,1)))</f>
        <v/>
      </c>
      <c r="G68" s="135">
        <f>F68-K68</f>
        <v/>
      </c>
      <c r="H68" s="135">
        <f>COUNTIF($L68:INDIRECT(ADDRESS(ROW(),MATCH("",$4:$4,-1),1,1)),H$5)</f>
        <v/>
      </c>
      <c r="I68" s="135">
        <f>COUNTIF($L68:INDIRECT(ADDRESS(ROW(),MATCH("",$4:$4,-1),1,1)),I$5)</f>
        <v/>
      </c>
      <c r="J68" s="135">
        <f>COUNTIF($L68:INDIRECT(ADDRESS(ROW(),MATCH("",$4:$4,-1),1,1)),J$5)</f>
        <v/>
      </c>
      <c r="K68" s="135">
        <f>COUNTIF($L68:INDIRECT(ADDRESS(ROW(),MATCH("",$4:$4,-1),1,1)),"N/A")</f>
        <v/>
      </c>
      <c r="L68" s="150">
        <f>IFERROR(INDIRECT(ADDRESS(ROW()+22,15,1,TRUE,L$4)),"")</f>
        <v/>
      </c>
    </row>
    <row r="69" ht="17.25" customHeight="1" s="309" thickBot="1">
      <c r="A69" s="142" t="n"/>
      <c r="B69" s="143" t="n"/>
      <c r="C69" s="144" t="n"/>
      <c r="D69" s="145" t="n"/>
      <c r="E69" s="164">
        <f>IF(D69="상",10,IF(D69="중",8,6))</f>
        <v/>
      </c>
      <c r="F69" s="145">
        <f>COUNTA($L69:INDIRECT(ADDRESS(ROW(),MATCH("",$4:$4,-1),1,1)))</f>
        <v/>
      </c>
      <c r="G69" s="145">
        <f>F69-K69</f>
        <v/>
      </c>
      <c r="H69" s="145">
        <f>COUNTIF($L69:INDIRECT(ADDRESS(ROW(),MATCH("",$4:$4,-1),1,1)),H$5)</f>
        <v/>
      </c>
      <c r="I69" s="145">
        <f>COUNTIF($L69:INDIRECT(ADDRESS(ROW(),MATCH("",$4:$4,-1),1,1)),I$5)</f>
        <v/>
      </c>
      <c r="J69" s="145">
        <f>COUNTIF($L69:INDIRECT(ADDRESS(ROW(),MATCH("",$4:$4,-1),1,1)),J$5)</f>
        <v/>
      </c>
      <c r="K69" s="146">
        <f>COUNTIF($L69:INDIRECT(ADDRESS(ROW(),MATCH("",$4:$4,-1),1,1)),"N/A")</f>
        <v/>
      </c>
      <c r="L69" s="151">
        <f>IFERROR(INDIRECT(ADDRESS(ROW()+22,15,1,TRUE,L$4)),"")</f>
        <v/>
      </c>
    </row>
    <row r="70">
      <c r="A70" s="218" t="n"/>
      <c r="B70" s="109" t="n"/>
      <c r="C70" s="138" t="n"/>
      <c r="D70" s="139" t="n"/>
      <c r="E70" s="166">
        <f>IF(D70="상",10,IF(D70="중",8,6))</f>
        <v/>
      </c>
      <c r="F70" s="139">
        <f>COUNTA($L70:INDIRECT(ADDRESS(ROW(),MATCH("",$4:$4,-1),1,1)))</f>
        <v/>
      </c>
      <c r="G70" s="139">
        <f>F70-K70</f>
        <v/>
      </c>
      <c r="H70" s="139">
        <f>COUNTIF($L70:INDIRECT(ADDRESS(ROW(),MATCH("",$4:$4,-1),1,1)),H$5)</f>
        <v/>
      </c>
      <c r="I70" s="139">
        <f>COUNTIF($L70:INDIRECT(ADDRESS(ROW(),MATCH("",$4:$4,-1),1,1)),I$5)</f>
        <v/>
      </c>
      <c r="J70" s="139">
        <f>COUNTIF($L70:INDIRECT(ADDRESS(ROW(),MATCH("",$4:$4,-1),1,1)),J$5)</f>
        <v/>
      </c>
      <c r="K70" s="147">
        <f>COUNTIF($L70:INDIRECT(ADDRESS(ROW(),MATCH("",$4:$4,-1),1,1)),"N/A")</f>
        <v/>
      </c>
      <c r="L70" s="149">
        <f>IFERROR(INDIRECT(ADDRESS(ROW()+22,15,1,TRUE,L$4)),"")</f>
        <v/>
      </c>
    </row>
    <row r="71">
      <c r="B71" s="100" t="n"/>
      <c r="C71" s="87" t="n"/>
      <c r="D71" s="128" t="n"/>
      <c r="E71" s="166">
        <f>IF(D71="상",10,IF(D71="중",8,6))</f>
        <v/>
      </c>
      <c r="F71" s="128">
        <f>COUNTA($L71:INDIRECT(ADDRESS(ROW(),MATCH("",$4:$4,-1),1,1)))</f>
        <v/>
      </c>
      <c r="G71" s="128">
        <f>F71-K71</f>
        <v/>
      </c>
      <c r="H71" s="128">
        <f>COUNTIF($L71:INDIRECT(ADDRESS(ROW(),MATCH("",$4:$4,-1),1,1)),H$5)</f>
        <v/>
      </c>
      <c r="I71" s="128">
        <f>COUNTIF($L71:INDIRECT(ADDRESS(ROW(),MATCH("",$4:$4,-1),1,1)),I$5)</f>
        <v/>
      </c>
      <c r="J71" s="128">
        <f>COUNTIF($L71:INDIRECT(ADDRESS(ROW(),MATCH("",$4:$4,-1),1,1)),J$5)</f>
        <v/>
      </c>
      <c r="K71" s="133">
        <f>COUNTIF($L71:INDIRECT(ADDRESS(ROW(),MATCH("",$4:$4,-1),1,1)),"N/A")</f>
        <v/>
      </c>
      <c r="L71" s="129">
        <f>IFERROR(INDIRECT(ADDRESS(ROW()+22,15,1,TRUE,L$4)),"")</f>
        <v/>
      </c>
    </row>
    <row r="72" ht="17.25" customHeight="1" s="309" thickBot="1">
      <c r="B72" s="100" t="n"/>
      <c r="C72" s="134" t="n"/>
      <c r="D72" s="135" t="n"/>
      <c r="E72" s="166">
        <f>IF(D72="상",10,IF(D72="중",8,6))</f>
        <v/>
      </c>
      <c r="F72" s="135">
        <f>COUNTA($L72:INDIRECT(ADDRESS(ROW(),MATCH("",$4:$4,-1),1,1)))</f>
        <v/>
      </c>
      <c r="G72" s="135">
        <f>F72-K72</f>
        <v/>
      </c>
      <c r="H72" s="135">
        <f>COUNTIF($L72:INDIRECT(ADDRESS(ROW(),MATCH("",$4:$4,-1),1,1)),H$5)</f>
        <v/>
      </c>
      <c r="I72" s="135">
        <f>COUNTIF($L72:INDIRECT(ADDRESS(ROW(),MATCH("",$4:$4,-1),1,1)),I$5)</f>
        <v/>
      </c>
      <c r="J72" s="135">
        <f>COUNTIF($L72:INDIRECT(ADDRESS(ROW(),MATCH("",$4:$4,-1),1,1)),J$5)</f>
        <v/>
      </c>
      <c r="K72" s="136">
        <f>COUNTIF($L72:INDIRECT(ADDRESS(ROW(),MATCH("",$4:$4,-1),1,1)),"N/A")</f>
        <v/>
      </c>
      <c r="L72" s="150">
        <f>IFERROR(INDIRECT(ADDRESS(ROW()+22,15,1,TRUE,L$4)),"")</f>
        <v/>
      </c>
    </row>
    <row r="73" ht="17.25" customHeight="1" s="309" thickBot="1">
      <c r="A73" s="327" t="inlineStr">
        <is>
          <t>전체항목 합계</t>
        </is>
      </c>
      <c r="B73" s="328" t="n"/>
      <c r="C73" s="328" t="n"/>
      <c r="D73" s="329" t="n"/>
      <c r="E73" s="148">
        <f>SUM(E6:E72)</f>
        <v/>
      </c>
      <c r="F73" s="148">
        <f>SUM(F6:F72)</f>
        <v/>
      </c>
      <c r="G73" s="148">
        <f>SUM(G6:G72)</f>
        <v/>
      </c>
      <c r="H73" s="148">
        <f>SUM(H6:H72)</f>
        <v/>
      </c>
      <c r="I73" s="148">
        <f>SUM(I6:I72)</f>
        <v/>
      </c>
      <c r="J73" s="139">
        <f>SUM(J6:J72)</f>
        <v/>
      </c>
      <c r="K73" s="139">
        <f>SUM(K6:K72)</f>
        <v/>
      </c>
      <c r="L73" s="149">
        <f>COUNTIF(L6:L72,"양호")+COUNTIF(L6:L72,"취약")+COUNTIF(L6:L72,"부분만족")+COUNTIF(L6:L72,"N/A")</f>
        <v/>
      </c>
    </row>
    <row r="75" hidden="1" s="309">
      <c r="G75" s="201" t="inlineStr">
        <is>
          <t>취약점제거</t>
        </is>
      </c>
      <c r="H75" s="320" t="n"/>
      <c r="I75" s="321" t="n"/>
      <c r="J75" s="202" t="inlineStr">
        <is>
          <t>양호</t>
        </is>
      </c>
      <c r="K75" s="202">
        <f>SUM(L75:L75)</f>
        <v/>
      </c>
      <c r="L75" s="202">
        <f>COUNTIF(L$6:L$72,$J75)</f>
        <v/>
      </c>
    </row>
    <row r="76" hidden="1" s="309">
      <c r="G76" s="203" t="inlineStr">
        <is>
          <t>취약점발견</t>
        </is>
      </c>
      <c r="H76" s="317" t="n"/>
      <c r="I76" s="310" t="n"/>
      <c r="J76" s="204" t="inlineStr">
        <is>
          <t>취약</t>
        </is>
      </c>
      <c r="K76" s="202">
        <f>SUM(L76:L76)</f>
        <v/>
      </c>
      <c r="L76" s="79">
        <f>COUNTIF(L$6:L$72,$J76)</f>
        <v/>
      </c>
    </row>
    <row r="77" hidden="1" s="309">
      <c r="G77" s="205" t="inlineStr">
        <is>
          <t>일부 취약점만 제거</t>
        </is>
      </c>
      <c r="H77" s="317" t="n"/>
      <c r="I77" s="310" t="n"/>
      <c r="J77" s="206" t="inlineStr">
        <is>
          <t>부분만족</t>
        </is>
      </c>
      <c r="K77" s="202">
        <f>SUM(L77:L77)</f>
        <v/>
      </c>
      <c r="L77" s="79">
        <f>COUNTIF(L$6:L$72,$J77)</f>
        <v/>
      </c>
    </row>
    <row r="78" hidden="1" ht="17.25" customHeight="1" s="309" thickBot="1">
      <c r="G78" s="200" t="inlineStr">
        <is>
          <t>해당없음</t>
        </is>
      </c>
      <c r="H78" s="330" t="n"/>
      <c r="I78" s="331" t="n"/>
      <c r="J78" s="207" t="inlineStr">
        <is>
          <t>N/A</t>
        </is>
      </c>
      <c r="K78" s="202">
        <f>SUM(L78:L78)</f>
        <v/>
      </c>
      <c r="L78" s="207">
        <f>COUNTIF(L$6:L$72,$J78)</f>
        <v/>
      </c>
    </row>
    <row r="79" hidden="1" s="309">
      <c r="K79" s="202" t="n"/>
    </row>
    <row r="80" hidden="1" ht="16.5" customHeight="1" s="309">
      <c r="I80" s="201" t="inlineStr">
        <is>
          <t>상</t>
        </is>
      </c>
      <c r="J80" s="202" t="inlineStr">
        <is>
          <t>양호</t>
        </is>
      </c>
      <c r="K80" s="202">
        <f>SUM(L80:L80)</f>
        <v/>
      </c>
      <c r="L80" s="202">
        <f>COUNTIFS($D$6:$D$72,$I$80,L$6:L$72,$J80)</f>
        <v/>
      </c>
    </row>
    <row r="81" hidden="1" ht="16.5" customHeight="1" s="309">
      <c r="I81" s="323" t="n"/>
      <c r="J81" s="204" t="inlineStr">
        <is>
          <t>취약</t>
        </is>
      </c>
      <c r="K81" s="202">
        <f>SUM(L81:L81)</f>
        <v/>
      </c>
      <c r="L81" s="79">
        <f>COUNTIFS($D$6:$D$72,$I$80,L$6:L$72,$J81)</f>
        <v/>
      </c>
    </row>
    <row r="82" hidden="1" ht="16.5" customHeight="1" s="309">
      <c r="I82" s="323" t="n"/>
      <c r="J82" s="206" t="inlineStr">
        <is>
          <t>부분만족</t>
        </is>
      </c>
      <c r="K82" s="202">
        <f>SUM(L82:L82)</f>
        <v/>
      </c>
      <c r="L82" s="79">
        <f>COUNTIFS($D$6:$D$72,$I$80,L$6:L$72,$J82)</f>
        <v/>
      </c>
    </row>
    <row r="83" hidden="1" ht="16.5" customHeight="1" s="309">
      <c r="I83" s="325" t="n"/>
      <c r="J83" s="79" t="inlineStr">
        <is>
          <t>N/A</t>
        </is>
      </c>
      <c r="K83" s="202">
        <f>SUM(L83:L83)</f>
        <v/>
      </c>
      <c r="L83" s="79">
        <f>COUNTIFS($D$6:$D$72,$I$80,L$6:L$72,$J83)</f>
        <v/>
      </c>
    </row>
    <row r="84" hidden="1" ht="16.5" customHeight="1" s="309">
      <c r="I84" s="199" t="inlineStr">
        <is>
          <t>중</t>
        </is>
      </c>
      <c r="J84" s="79" t="inlineStr">
        <is>
          <t>양호</t>
        </is>
      </c>
      <c r="K84" s="202">
        <f>SUM(L84:L84)</f>
        <v/>
      </c>
      <c r="L84" s="79">
        <f>COUNTIFS($D$6:$D$72,$I$84,L$6:L$72,$J84)</f>
        <v/>
      </c>
    </row>
    <row r="85" hidden="1" ht="16.5" customHeight="1" s="309">
      <c r="I85" s="323" t="n"/>
      <c r="J85" s="204" t="inlineStr">
        <is>
          <t>취약</t>
        </is>
      </c>
      <c r="K85" s="202">
        <f>SUM(L85:L85)</f>
        <v/>
      </c>
      <c r="L85" s="79">
        <f>COUNTIFS($D$6:$D$72,$I$84,L$6:L$72,$J85)</f>
        <v/>
      </c>
    </row>
    <row r="86" hidden="1" ht="16.5" customHeight="1" s="309">
      <c r="I86" s="323" t="n"/>
      <c r="J86" s="206" t="inlineStr">
        <is>
          <t>부분만족</t>
        </is>
      </c>
      <c r="K86" s="202">
        <f>SUM(L86:L86)</f>
        <v/>
      </c>
      <c r="L86" s="79">
        <f>COUNTIFS($D$6:$D$72,$I$84,L$6:L$72,$J86)</f>
        <v/>
      </c>
    </row>
    <row r="87" hidden="1" ht="16.5" customHeight="1" s="309">
      <c r="I87" s="325" t="n"/>
      <c r="J87" s="79" t="inlineStr">
        <is>
          <t>N/A</t>
        </is>
      </c>
      <c r="K87" s="202">
        <f>SUM(L87:L87)</f>
        <v/>
      </c>
      <c r="L87" s="79">
        <f>COUNTIFS($D$6:$D$72,$I$84,L$6:L$72,$J87)</f>
        <v/>
      </c>
    </row>
    <row r="88" hidden="1" ht="16.5" customHeight="1" s="309">
      <c r="I88" s="199" t="inlineStr">
        <is>
          <t>하</t>
        </is>
      </c>
      <c r="J88" s="79" t="inlineStr">
        <is>
          <t>양호</t>
        </is>
      </c>
      <c r="K88" s="202">
        <f>SUM(L88:L88)</f>
        <v/>
      </c>
      <c r="L88" s="79">
        <f>COUNTIFS($D$6:$D$72,$I$88,L$6:L$72,$J88)</f>
        <v/>
      </c>
    </row>
    <row r="89" hidden="1" ht="16.5" customHeight="1" s="309">
      <c r="I89" s="323" t="n"/>
      <c r="J89" s="204" t="inlineStr">
        <is>
          <t>취약</t>
        </is>
      </c>
      <c r="K89" s="202">
        <f>SUM(L89:L89)</f>
        <v/>
      </c>
      <c r="L89" s="79">
        <f>COUNTIFS($D$6:$D$72,$I$88,L$6:L$72,$J89)</f>
        <v/>
      </c>
    </row>
    <row r="90" hidden="1" ht="16.5" customHeight="1" s="309">
      <c r="I90" s="323" t="n"/>
      <c r="J90" s="206" t="inlineStr">
        <is>
          <t>부분만족</t>
        </is>
      </c>
      <c r="K90" s="202">
        <f>SUM(L90:L90)</f>
        <v/>
      </c>
      <c r="L90" s="79">
        <f>COUNTIFS($D$6:$D$72,$I$88,L$6:L$72,$J90)</f>
        <v/>
      </c>
    </row>
    <row r="91" hidden="1" ht="16.5" customHeight="1" s="309">
      <c r="I91" s="325" t="n"/>
      <c r="J91" s="207" t="inlineStr">
        <is>
          <t>N/A</t>
        </is>
      </c>
      <c r="K91" s="202">
        <f>SUM(L91:L91)</f>
        <v/>
      </c>
      <c r="L91" s="207">
        <f>COUNTIFS($D$6:$D$72,$I$88,L$6:L$72,$J91)</f>
        <v/>
      </c>
    </row>
    <row r="92" ht="16.5" customHeight="1" s="309"/>
    <row r="93" ht="16.5" customHeight="1" s="309"/>
    <row r="94" ht="16.5" customHeight="1" s="309"/>
    <row r="95" ht="16.5" customHeight="1" s="309"/>
    <row r="96" ht="16.5" customHeight="1" s="309"/>
    <row r="97" ht="16.5" customHeight="1" s="309"/>
    <row r="98" ht="16.5" customHeight="1" s="309"/>
    <row r="99" ht="16.5" customHeight="1" s="309"/>
    <row r="100" ht="16.5" customHeight="1" s="309"/>
    <row r="101" ht="16.5" customHeight="1" s="309"/>
    <row r="102" ht="16.5" customHeight="1" s="309"/>
    <row r="103" ht="16.5" customHeight="1" s="309"/>
    <row r="104" ht="16.5" customHeight="1" s="309"/>
    <row r="105" ht="16.5" customHeight="1" s="309"/>
    <row r="106" ht="16.5" customHeight="1" s="309"/>
    <row r="107" ht="16.5" customHeight="1" s="309"/>
    <row r="108" ht="16.5" customHeight="1" s="309"/>
    <row r="109" ht="16.5" customHeight="1" s="309"/>
    <row r="110" ht="16.5" customHeight="1" s="309"/>
    <row r="111" ht="16.5" customHeight="1" s="309"/>
    <row r="112" ht="16.5" customHeight="1" s="309"/>
    <row r="113" ht="16.5" customHeight="1" s="309"/>
    <row r="114" ht="16.5" customHeight="1" s="309"/>
    <row r="115" ht="16.5" customHeight="1" s="309"/>
    <row r="116" ht="16.5" customHeight="1" s="309"/>
    <row r="117" ht="16.5" customHeight="1" s="309"/>
    <row r="118" ht="16.5" customHeight="1" s="309"/>
    <row r="119" ht="16.5" customHeight="1" s="309"/>
    <row r="120" ht="16.5" customHeight="1" s="309"/>
    <row r="121" ht="16.5" customHeight="1" s="309"/>
    <row r="122" ht="16.5" customHeight="1" s="309"/>
    <row r="123" ht="16.5" customHeight="1" s="309"/>
    <row r="124" ht="16.5" customHeight="1" s="309"/>
    <row r="125" ht="16.5" customHeight="1" s="309"/>
    <row r="126" ht="16.5" customHeight="1" s="309"/>
    <row r="127" ht="16.5" customHeight="1" s="309"/>
    <row r="128" ht="16.5" customHeight="1" s="309"/>
    <row r="129" ht="16.5" customHeight="1" s="309"/>
    <row r="130" ht="16.5" customHeight="1" s="309"/>
    <row r="131" ht="16.5" customHeight="1" s="309"/>
    <row r="132" ht="16.5" customHeight="1" s="309"/>
  </sheetData>
  <mergeCells count="17">
    <mergeCell ref="I88:I91"/>
    <mergeCell ref="A9:A14"/>
    <mergeCell ref="I84:I87"/>
    <mergeCell ref="G77:I77"/>
    <mergeCell ref="D4:D5"/>
    <mergeCell ref="E4:E5"/>
    <mergeCell ref="A17:A23"/>
    <mergeCell ref="G75:I75"/>
    <mergeCell ref="L4:L5"/>
    <mergeCell ref="A15:A16"/>
    <mergeCell ref="G78:I78"/>
    <mergeCell ref="A73:D73"/>
    <mergeCell ref="F4:K4"/>
    <mergeCell ref="A4:C4"/>
    <mergeCell ref="A6:A8"/>
    <mergeCell ref="G76:I76"/>
    <mergeCell ref="I80:I83"/>
  </mergeCells>
  <conditionalFormatting sqref="B6:B72">
    <cfRule type="cellIs" priority="1" operator="equal" dxfId="5" stopIfTrue="1">
      <formula>"N/A"</formula>
    </cfRule>
    <cfRule type="cellIs" priority="2" operator="equal" dxfId="4" stopIfTrue="1">
      <formula>"N"</formula>
    </cfRule>
  </conditionalFormatting>
  <conditionalFormatting sqref="L6:L72">
    <cfRule type="cellIs" priority="3" operator="equal" dxfId="9">
      <formula>"인터뷰"</formula>
    </cfRule>
    <cfRule type="cellIs" priority="4" operator="equal" dxfId="2" stopIfTrue="1">
      <formula>"취약"</formula>
    </cfRule>
    <cfRule type="cellIs" priority="5" operator="equal" dxfId="1" stopIfTrue="1">
      <formula>"부분만족"</formula>
    </cfRule>
    <cfRule type="cellIs" priority="6" operator="equal" dxfId="0" stopIfTrue="1">
      <formula>"N/A"</formula>
    </cfRule>
  </conditionalFormatting>
  <pageMargins left="0.3937007874015748" right="0.3937007874015748" top="0.5905511811023623" bottom="0.5905511811023623" header="0.1968503937007874" footer="0.1968503937007874"/>
  <pageSetup orientation="portrait" paperSize="9" scale="62" fitToWidth="0"/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1:K37"/>
  <sheetViews>
    <sheetView view="pageBreakPreview" zoomScale="75" zoomScaleNormal="85" zoomScaleSheetLayoutView="75" workbookViewId="0">
      <selection activeCell="B36" sqref="B36"/>
    </sheetView>
  </sheetViews>
  <sheetFormatPr baseColWidth="8" defaultColWidth="9" defaultRowHeight="13.5" customHeight="1"/>
  <cols>
    <col width="12.5" customWidth="1" style="4" min="1" max="1"/>
    <col width="18.5" bestFit="1" customWidth="1" style="4" min="2" max="2"/>
    <col width="10.75" customWidth="1" style="4" min="3" max="3"/>
    <col width="11.375" customWidth="1" style="4" min="4" max="4"/>
    <col width="9.5" customWidth="1" style="4" min="5" max="6"/>
    <col width="10.875" customWidth="1" style="4" min="7" max="7"/>
    <col width="11.25" customWidth="1" style="4" min="8" max="8"/>
    <col width="10.875" customWidth="1" style="4" min="9" max="10"/>
    <col width="12.25" customWidth="1" style="4" min="11" max="11"/>
    <col width="9" customWidth="1" style="4" min="12" max="1638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7.25" customHeight="1" s="309">
      <c r="A2" s="244" t="inlineStr">
        <is>
          <t>▣ 점검 영역별 보안수준</t>
        </is>
      </c>
    </row>
    <row r="3" ht="4.5" customHeight="1" s="309" thickBot="1">
      <c r="A3" s="230" t="n"/>
    </row>
    <row r="4">
      <c r="A4" s="246" t="inlineStr">
        <is>
          <t>구분</t>
        </is>
      </c>
      <c r="B4" s="332" t="n"/>
      <c r="C4" s="232" t="inlineStr">
        <is>
          <t>점검 결과</t>
        </is>
      </c>
      <c r="D4" s="320" t="n"/>
      <c r="E4" s="320" t="n"/>
      <c r="F4" s="320" t="n"/>
      <c r="G4" s="320" t="n"/>
      <c r="H4" s="321" t="n"/>
      <c r="I4" s="333" t="inlineStr">
        <is>
          <t>점검 점수</t>
        </is>
      </c>
      <c r="J4" s="320" t="n"/>
      <c r="K4" s="334" t="n"/>
    </row>
    <row r="5" ht="14.25" customHeight="1" s="309" thickBot="1">
      <c r="A5" s="335" t="n"/>
      <c r="B5" s="336" t="n"/>
      <c r="C5" s="161" t="inlineStr">
        <is>
          <t>전체항목</t>
        </is>
      </c>
      <c r="D5" s="161" t="inlineStr">
        <is>
          <t>점검항목</t>
        </is>
      </c>
      <c r="E5" s="162" t="inlineStr">
        <is>
          <t>양호</t>
        </is>
      </c>
      <c r="F5" s="162" t="inlineStr">
        <is>
          <t>취약</t>
        </is>
      </c>
      <c r="G5" s="162" t="inlineStr">
        <is>
          <t>부분만족</t>
        </is>
      </c>
      <c r="H5" s="162" t="inlineStr">
        <is>
          <t>해당없음</t>
        </is>
      </c>
      <c r="I5" s="162" t="inlineStr">
        <is>
          <t>전체점수</t>
        </is>
      </c>
      <c r="J5" s="162" t="inlineStr">
        <is>
          <t>취약점수</t>
        </is>
      </c>
      <c r="K5" s="160" t="inlineStr">
        <is>
          <t>보안수준</t>
        </is>
      </c>
    </row>
    <row r="6">
      <c r="A6" s="250" t="inlineStr">
        <is>
          <t>계정 관리</t>
        </is>
      </c>
      <c r="B6" s="310" t="n"/>
      <c r="C6" s="19">
        <f>SUM('sample:기준 DB'!D18)</f>
        <v/>
      </c>
      <c r="D6" s="19">
        <f>SUM('sample:기준 DB'!E18)</f>
        <v/>
      </c>
      <c r="E6" s="19">
        <f>SUM('sample:기준 DB'!F18)</f>
        <v/>
      </c>
      <c r="F6" s="19">
        <f>SUM('sample:기준 DB'!G18)</f>
        <v/>
      </c>
      <c r="G6" s="19">
        <f>SUM('sample:기준 DB'!H18)</f>
        <v/>
      </c>
      <c r="H6" s="19">
        <f>SUM('sample:기준 DB'!I18)</f>
        <v/>
      </c>
      <c r="I6" s="19">
        <f>SUM('sample:기준 DB'!J18)</f>
        <v/>
      </c>
      <c r="J6" s="19">
        <f>SUM('sample:기준 DB'!K18)</f>
        <v/>
      </c>
      <c r="K6" s="32">
        <f>IF(I6=0,"N/A",((I6-J6)/I6)*1)</f>
        <v/>
      </c>
    </row>
    <row r="7">
      <c r="A7" s="250" t="inlineStr">
        <is>
          <t>접근 관리</t>
        </is>
      </c>
      <c r="B7" s="310" t="n"/>
      <c r="C7" s="19">
        <f>SUM('sample:기준 DB'!D19)</f>
        <v/>
      </c>
      <c r="D7" s="19">
        <f>SUM('sample:기준 DB'!E19)</f>
        <v/>
      </c>
      <c r="E7" s="19">
        <f>SUM('sample:기준 DB'!F19)</f>
        <v/>
      </c>
      <c r="F7" s="19">
        <f>SUM('sample:기준 DB'!G19)</f>
        <v/>
      </c>
      <c r="G7" s="19">
        <f>SUM('sample:기준 DB'!H19)</f>
        <v/>
      </c>
      <c r="H7" s="19">
        <f>SUM('sample:기준 DB'!I19)</f>
        <v/>
      </c>
      <c r="I7" s="19">
        <f>SUM('sample:기준 DB'!J19)</f>
        <v/>
      </c>
      <c r="J7" s="19">
        <f>SUM('sample:기준 DB'!K19)</f>
        <v/>
      </c>
      <c r="K7" s="20">
        <f>IF(I7=0,"N/A",((I7-J7)/I7)*1)</f>
        <v/>
      </c>
    </row>
    <row r="8">
      <c r="A8" s="250" t="inlineStr">
        <is>
          <t>패치 관리</t>
        </is>
      </c>
      <c r="B8" s="310" t="n"/>
      <c r="C8" s="19">
        <f>SUM('sample:기준 DB'!D20)</f>
        <v/>
      </c>
      <c r="D8" s="19">
        <f>SUM('sample:기준 DB'!E20)</f>
        <v/>
      </c>
      <c r="E8" s="19">
        <f>SUM('sample:기준 DB'!F20)</f>
        <v/>
      </c>
      <c r="F8" s="19">
        <f>SUM('sample:기준 DB'!G20)</f>
        <v/>
      </c>
      <c r="G8" s="19">
        <f>SUM('sample:기준 DB'!H20)</f>
        <v/>
      </c>
      <c r="H8" s="19">
        <f>SUM('sample:기준 DB'!I20)</f>
        <v/>
      </c>
      <c r="I8" s="19">
        <f>SUM('sample:기준 DB'!J20)</f>
        <v/>
      </c>
      <c r="J8" s="19">
        <f>SUM('sample:기준 DB'!K20)</f>
        <v/>
      </c>
      <c r="K8" s="20">
        <f>IF(I8=0,"N/A",((I8-J8)/I8)*1)</f>
        <v/>
      </c>
    </row>
    <row r="9">
      <c r="A9" s="250" t="inlineStr">
        <is>
          <t>보안 관리</t>
        </is>
      </c>
      <c r="B9" s="310" t="n"/>
      <c r="C9" s="19">
        <f>SUM('sample:기준 DB'!D21)</f>
        <v/>
      </c>
      <c r="D9" s="19">
        <f>SUM('sample:기준 DB'!E21)</f>
        <v/>
      </c>
      <c r="E9" s="19">
        <f>SUM('sample:기준 DB'!F21)</f>
        <v/>
      </c>
      <c r="F9" s="19">
        <f>SUM('sample:기준 DB'!G21)</f>
        <v/>
      </c>
      <c r="G9" s="19">
        <f>SUM('sample:기준 DB'!H21)</f>
        <v/>
      </c>
      <c r="H9" s="19">
        <f>SUM('sample:기준 DB'!I21)</f>
        <v/>
      </c>
      <c r="I9" s="19">
        <f>SUM('sample:기준 DB'!J21)</f>
        <v/>
      </c>
      <c r="J9" s="19">
        <f>SUM('sample:기준 DB'!K21)</f>
        <v/>
      </c>
      <c r="K9" s="20">
        <f>IF(I9=0,"N/A",((I9-J9)/I9)*1)</f>
        <v/>
      </c>
    </row>
    <row r="10" ht="14.25" customHeight="1" s="309" thickBot="1">
      <c r="A10" s="250" t="inlineStr">
        <is>
          <t>-</t>
        </is>
      </c>
      <c r="B10" s="310" t="n"/>
      <c r="C10" s="19">
        <f>SUM('sample:기준 DB'!D22)</f>
        <v/>
      </c>
      <c r="D10" s="19">
        <f>SUM('sample:기준 DB'!E22)</f>
        <v/>
      </c>
      <c r="E10" s="19">
        <f>SUM('sample:기준 DB'!F22)</f>
        <v/>
      </c>
      <c r="F10" s="19">
        <f>SUM('sample:기준 DB'!G22)</f>
        <v/>
      </c>
      <c r="G10" s="19">
        <f>SUM('sample:기준 DB'!H22)</f>
        <v/>
      </c>
      <c r="H10" s="19">
        <f>SUM('sample:기준 DB'!I22)</f>
        <v/>
      </c>
      <c r="I10" s="19">
        <f>SUM('sample:기준 DB'!J22)</f>
        <v/>
      </c>
      <c r="J10" s="19">
        <f>SUM('sample:기준 DB'!K22)</f>
        <v/>
      </c>
      <c r="K10" s="26">
        <f>IF(I10=0,"N/A",((I10-J10)/I10)*1)</f>
        <v/>
      </c>
    </row>
    <row r="11" ht="14.25" customHeight="1" s="309" thickBot="1">
      <c r="A11" s="242" t="inlineStr">
        <is>
          <t>계</t>
        </is>
      </c>
      <c r="B11" s="329" t="n"/>
      <c r="C11" s="243">
        <f>SUM(C6:C10)</f>
        <v/>
      </c>
      <c r="D11" s="243">
        <f>SUM(D6:D10)</f>
        <v/>
      </c>
      <c r="E11" s="243">
        <f>SUM(E6:E10)</f>
        <v/>
      </c>
      <c r="F11" s="243">
        <f>SUM(F6:F10)</f>
        <v/>
      </c>
      <c r="G11" s="243">
        <f>SUM(G6:G10)</f>
        <v/>
      </c>
      <c r="H11" s="243">
        <f>SUM(H6:H10)</f>
        <v/>
      </c>
      <c r="I11" s="243">
        <f>SUM(I6:I10)</f>
        <v/>
      </c>
      <c r="J11" s="243">
        <f>SUM(J6:J10)</f>
        <v/>
      </c>
      <c r="K11" s="21">
        <f>K37</f>
        <v/>
      </c>
    </row>
    <row r="12">
      <c r="A12" s="22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</row>
    <row r="13">
      <c r="A13" s="240" t="inlineStr">
        <is>
          <t>▣ 점검 영역별 보안수준 그래프</t>
        </is>
      </c>
    </row>
    <row r="14">
      <c r="I14" s="230" t="n"/>
      <c r="J14" s="230" t="n"/>
      <c r="K14" s="230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230" t="n"/>
      <c r="J15" s="230" t="n"/>
      <c r="K15" s="230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230" t="n"/>
      <c r="J16" s="230" t="n"/>
      <c r="K16" s="230" t="n"/>
    </row>
    <row r="17">
      <c r="I17" s="230" t="n"/>
      <c r="J17" s="230" t="n"/>
      <c r="K17" s="230" t="n"/>
    </row>
    <row r="18">
      <c r="I18" s="230" t="n"/>
      <c r="J18" s="230" t="n"/>
      <c r="K18" s="230" t="n"/>
    </row>
    <row r="19">
      <c r="I19" s="230" t="n"/>
      <c r="J19" s="230" t="n"/>
      <c r="K19" s="230" t="n"/>
    </row>
    <row r="20">
      <c r="I20" s="230" t="n"/>
      <c r="J20" s="230" t="n"/>
      <c r="K20" s="230" t="n"/>
    </row>
    <row r="21">
      <c r="I21" s="230" t="n"/>
      <c r="J21" s="230" t="n"/>
      <c r="K21" s="230" t="n"/>
    </row>
    <row r="22">
      <c r="I22" s="230" t="n"/>
      <c r="J22" s="230" t="n"/>
      <c r="K22" s="230" t="n"/>
    </row>
    <row r="23">
      <c r="I23" s="230" t="n"/>
      <c r="J23" s="230" t="n"/>
      <c r="K23" s="230" t="n"/>
    </row>
    <row r="24">
      <c r="I24" s="230" t="n"/>
      <c r="J24" s="230" t="n"/>
      <c r="K24" s="230" t="n"/>
    </row>
    <row r="25">
      <c r="I25" s="230" t="n"/>
      <c r="J25" s="230" t="n"/>
      <c r="K25" s="230" t="n"/>
    </row>
    <row r="26">
      <c r="I26" s="230" t="n"/>
      <c r="J26" s="230" t="n"/>
      <c r="K26" s="230" t="n"/>
    </row>
    <row r="27">
      <c r="I27" s="230" t="n"/>
      <c r="J27" s="230" t="n"/>
      <c r="K27" s="230" t="n"/>
    </row>
    <row r="28">
      <c r="I28" s="230" t="n"/>
      <c r="J28" s="230" t="n"/>
      <c r="K28" s="230" t="n"/>
    </row>
    <row r="29">
      <c r="I29" s="230" t="n"/>
      <c r="J29" s="230" t="n"/>
      <c r="K29" s="230" t="n"/>
    </row>
    <row r="30">
      <c r="I30" s="230" t="n"/>
      <c r="J30" s="230" t="n"/>
      <c r="K30" s="230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17.25" customHeight="1" s="309">
      <c r="A32" s="241" t="inlineStr">
        <is>
          <t xml:space="preserve">▣ 장비별 보안수준 </t>
        </is>
      </c>
    </row>
    <row r="33" ht="4.5" customHeight="1" s="309" thickBot="1">
      <c r="A33" s="230" t="n"/>
    </row>
    <row r="34">
      <c r="A34" s="231" t="inlineStr">
        <is>
          <t>Host 명</t>
        </is>
      </c>
      <c r="B34" s="332" t="n"/>
      <c r="C34" s="232" t="inlineStr">
        <is>
          <t>점검 결과</t>
        </is>
      </c>
      <c r="D34" s="320" t="n"/>
      <c r="E34" s="320" t="n"/>
      <c r="F34" s="320" t="n"/>
      <c r="G34" s="320" t="n"/>
      <c r="H34" s="321" t="n"/>
      <c r="I34" s="333" t="inlineStr">
        <is>
          <t>점검 점수</t>
        </is>
      </c>
      <c r="J34" s="320" t="n"/>
      <c r="K34" s="334" t="n"/>
    </row>
    <row r="35">
      <c r="A35" s="337" t="n"/>
      <c r="B35" s="316" t="n"/>
      <c r="C35" s="184" t="inlineStr">
        <is>
          <t>전체항목</t>
        </is>
      </c>
      <c r="D35" s="184" t="inlineStr">
        <is>
          <t>점검항목</t>
        </is>
      </c>
      <c r="E35" s="184" t="inlineStr">
        <is>
          <t>양호</t>
        </is>
      </c>
      <c r="F35" s="184" t="inlineStr">
        <is>
          <t>취약</t>
        </is>
      </c>
      <c r="G35" s="184" t="inlineStr">
        <is>
          <t>부분만족</t>
        </is>
      </c>
      <c r="H35" s="184" t="inlineStr">
        <is>
          <t>해당없음</t>
        </is>
      </c>
      <c r="I35" s="184" t="inlineStr">
        <is>
          <t>전체점수</t>
        </is>
      </c>
      <c r="J35" s="184" t="inlineStr">
        <is>
          <t>취약점수</t>
        </is>
      </c>
      <c r="K35" s="24" t="inlineStr">
        <is>
          <t>보안수준</t>
        </is>
      </c>
    </row>
    <row r="36">
      <c r="A36" s="250" t="inlineStr">
        <is>
          <t>PC</t>
        </is>
      </c>
      <c r="B36" s="25">
        <f>INDIRECT(ADDRESS(ROW()-29,2,1,TRUE,"점검대상"))</f>
        <v/>
      </c>
      <c r="C36" s="19">
        <f>IFERROR(INDIRECT(ADDRESS(23,COLUMN()+1,1,TRUE,$B36)),0)</f>
        <v/>
      </c>
      <c r="D36" s="19">
        <f>IFERROR(INDIRECT(ADDRESS(23,COLUMN()+1,1,TRUE,$B36)),0)</f>
        <v/>
      </c>
      <c r="E36" s="19">
        <f>IFERROR(INDIRECT(ADDRESS(23,COLUMN()+1,1,TRUE,$B36)),0)</f>
        <v/>
      </c>
      <c r="F36" s="19">
        <f>IFERROR(INDIRECT(ADDRESS(23,COLUMN()+1,1,TRUE,$B36)),0)</f>
        <v/>
      </c>
      <c r="G36" s="19">
        <f>IFERROR(INDIRECT(ADDRESS(23,COLUMN()+1,1,TRUE,$B36)),0)</f>
        <v/>
      </c>
      <c r="H36" s="19">
        <f>IFERROR(INDIRECT(ADDRESS(23,COLUMN()+1,1,TRUE,$B36)),0)</f>
        <v/>
      </c>
      <c r="I36" s="19">
        <f>IFERROR(INDIRECT(ADDRESS(23,COLUMN()+1,1,TRUE,$B36)),0)</f>
        <v/>
      </c>
      <c r="J36" s="19">
        <f>IFERROR(INDIRECT(ADDRESS(23,COLUMN()+1,1,TRUE,$B36)),0)</f>
        <v/>
      </c>
      <c r="K36" s="20">
        <f>IF(I36=0,"N/A",((I36-J36)/I36)*1)</f>
        <v/>
      </c>
    </row>
    <row r="37" ht="14.25" customHeight="1" s="309" thickBot="1">
      <c r="A37" s="338" t="inlineStr">
        <is>
          <t>계</t>
        </is>
      </c>
      <c r="B37" s="331" t="n"/>
      <c r="C37" s="77">
        <f>SUM(C36:C36)</f>
        <v/>
      </c>
      <c r="D37" s="77">
        <f>SUM(D36:D36)</f>
        <v/>
      </c>
      <c r="E37" s="77">
        <f>SUM(E36:E36)</f>
        <v/>
      </c>
      <c r="F37" s="77">
        <f>SUM(F36:F36)</f>
        <v/>
      </c>
      <c r="G37" s="77">
        <f>SUM(G36:G36)</f>
        <v/>
      </c>
      <c r="H37" s="77">
        <f>SUM(H36:H36)</f>
        <v/>
      </c>
      <c r="I37" s="77">
        <f>SUM(I36:I36)</f>
        <v/>
      </c>
      <c r="J37" s="77">
        <f>SUM(J36:J36)</f>
        <v/>
      </c>
      <c r="K37" s="78">
        <f>SUM(K36:K36)/(COUNTA(K36:K36)-COUNTIF(K36:K36,"N/A"))</f>
        <v/>
      </c>
    </row>
  </sheetData>
  <mergeCells count="18">
    <mergeCell ref="A34:B35"/>
    <mergeCell ref="A4:B5"/>
    <mergeCell ref="A7:B7"/>
    <mergeCell ref="A3:K3"/>
    <mergeCell ref="A11:B11"/>
    <mergeCell ref="A10:B10"/>
    <mergeCell ref="A2:K2"/>
    <mergeCell ref="A33:K33"/>
    <mergeCell ref="A37:B37"/>
    <mergeCell ref="I34:K34"/>
    <mergeCell ref="C4:H4"/>
    <mergeCell ref="A32:K32"/>
    <mergeCell ref="A13:K13"/>
    <mergeCell ref="A9:B9"/>
    <mergeCell ref="I4:K4"/>
    <mergeCell ref="A8:B8"/>
    <mergeCell ref="A6:B6"/>
    <mergeCell ref="C34:H34"/>
  </mergeCells>
  <printOptions horizontalCentered="1"/>
  <pageMargins left="0.3937007874015748" right="0.3937007874015748" top="0.5905511811023623" bottom="0.5905511811023623" header="0.1968503937007874" footer="0.1968503937007874"/>
  <pageSetup orientation="portrait" paperSize="9" scale="64" fitToHeight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2"/>
    <outlinePr summaryBelow="1" summaryRight="1"/>
    <pageSetUpPr fitToPage="1"/>
  </sheetPr>
  <dimension ref="A2:W94"/>
  <sheetViews>
    <sheetView tabSelected="1" view="pageBreakPreview" topLeftCell="B16" zoomScale="75" zoomScaleNormal="85" zoomScaleSheetLayoutView="75" workbookViewId="0">
      <selection activeCell="U28" sqref="U28"/>
    </sheetView>
  </sheetViews>
  <sheetFormatPr baseColWidth="8" defaultColWidth="10" defaultRowHeight="13.5"/>
  <cols>
    <col width="6.625" customWidth="1" style="4" min="1" max="12"/>
    <col width="7" customWidth="1" style="4" min="13" max="13"/>
    <col width="6.625" customWidth="1" style="4" min="14" max="14"/>
    <col width="10" customWidth="1" style="4" min="15" max="15"/>
    <col width="43.5" customWidth="1" style="4" min="16" max="17"/>
    <col width="2.25" customWidth="1" style="4" min="18" max="18"/>
    <col width="7.5" customWidth="1" style="4" min="19" max="19"/>
    <col width="8.75" customWidth="1" style="4" min="20" max="20"/>
    <col width="11.75" customWidth="1" style="4" min="21" max="21"/>
    <col width="10" customWidth="1" style="4" min="22" max="22"/>
    <col width="10" customWidth="1" style="4" min="23" max="30"/>
    <col width="2.625" customWidth="1" style="4" min="31" max="31"/>
    <col width="10" customWidth="1" style="4" min="32" max="16384"/>
  </cols>
  <sheetData>
    <row r="2" ht="18" customHeight="1" s="309">
      <c r="A2" s="50" t="inlineStr">
        <is>
          <t>▣ 장비별 점검 상세 결과</t>
        </is>
      </c>
      <c r="B2" s="45" t="n"/>
      <c r="C2" s="45" t="n"/>
      <c r="D2" s="45" t="n"/>
      <c r="E2" s="43">
        <f>HYPERLINK("[" &amp; MID(CELL("filename"),SEARCH("[",CELL("filename"))+1, SEARCH("]",CELL("filename"))-SEARCH("[",CELL("filename"))-1) &amp; "]'" &amp; "점검대상" &amp; "'!A1","목 차")</f>
        <v/>
      </c>
      <c r="F2" s="45" t="n"/>
      <c r="G2" s="45" t="n"/>
      <c r="H2" s="45" t="n"/>
      <c r="I2" s="45" t="n"/>
      <c r="J2" s="45" t="n"/>
      <c r="K2" s="45" t="n"/>
      <c r="L2" s="45" t="n"/>
    </row>
    <row r="3" ht="18" customHeight="1" s="309">
      <c r="A3" s="46" t="n"/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Q3" s="44" t="n"/>
    </row>
    <row r="4" ht="18" customHeight="1" s="309">
      <c r="A4" s="51" t="inlineStr">
        <is>
          <t>▣ 시스템 현황</t>
        </is>
      </c>
      <c r="B4" s="47" t="n"/>
      <c r="C4" s="47" t="n"/>
      <c r="D4" s="47" t="n"/>
      <c r="E4" s="47" t="n"/>
      <c r="F4" s="47" t="n"/>
      <c r="L4" s="47" t="n"/>
    </row>
    <row r="5" ht="4.5" customHeight="1" s="309">
      <c r="A5" s="47" t="n"/>
      <c r="B5" s="47" t="n"/>
      <c r="C5" s="47" t="n"/>
      <c r="D5" s="47" t="n"/>
      <c r="E5" s="47" t="n"/>
      <c r="F5" s="47" t="n"/>
      <c r="L5" s="47" t="n"/>
    </row>
    <row r="6" ht="16.5" customHeight="1" s="309">
      <c r="A6" s="253" t="inlineStr">
        <is>
          <t>Host Name</t>
        </is>
      </c>
      <c r="B6" s="310" t="n"/>
      <c r="C6" s="260">
        <f>MID(CELL("filename",$A$1),FIND("]",CELL("filename",$A$1))+1,100)</f>
        <v/>
      </c>
      <c r="D6" s="317" t="n"/>
      <c r="E6" s="317" t="n"/>
      <c r="F6" s="310" t="n"/>
      <c r="G6" s="253" t="inlineStr">
        <is>
          <t>O/S</t>
        </is>
      </c>
      <c r="H6" s="310" t="n"/>
      <c r="I6" s="260">
        <f>IFERROR(VLOOKUP($C$6,점검대상!$B:$I,2,FALSE),"-")</f>
        <v/>
      </c>
      <c r="J6" s="317" t="n"/>
      <c r="K6" s="317" t="n"/>
      <c r="L6" s="310" t="n"/>
      <c r="P6" s="339" t="inlineStr">
        <is>
          <t>▣ 장비별 보안수준 그래프</t>
        </is>
      </c>
      <c r="Q6" s="310" t="n"/>
    </row>
    <row r="7" ht="16.5" customHeight="1" s="309">
      <c r="A7" s="253" t="inlineStr">
        <is>
          <t>IP Address</t>
        </is>
      </c>
      <c r="B7" s="310" t="n"/>
      <c r="C7" s="260">
        <f>IFERROR(VLOOKUP($C$6,점검대상!$B:$I,3,FALSE),"-")</f>
        <v/>
      </c>
      <c r="D7" s="317" t="n"/>
      <c r="E7" s="317" t="n"/>
      <c r="F7" s="310" t="n"/>
      <c r="G7" s="253" t="inlineStr">
        <is>
          <t>용도</t>
        </is>
      </c>
      <c r="H7" s="310" t="n"/>
      <c r="I7" s="260">
        <f>IFERROR(VLOOKUP($C$6,점검대상!$B:$I,4,FALSE),"-")</f>
        <v/>
      </c>
      <c r="J7" s="317" t="n"/>
      <c r="K7" s="317" t="n"/>
      <c r="L7" s="310" t="n"/>
      <c r="O7" s="48" t="n"/>
    </row>
    <row r="9" ht="17.25" customHeight="1" s="309">
      <c r="A9" s="52" t="inlineStr">
        <is>
          <t>▣ 자산평가</t>
        </is>
      </c>
    </row>
    <row r="10" ht="4.5" customHeight="1" s="309">
      <c r="A10" s="47" t="n"/>
    </row>
    <row r="11">
      <c r="A11" s="253" t="inlineStr">
        <is>
          <t>자산가치</t>
        </is>
      </c>
      <c r="B11" s="313" t="n"/>
      <c r="C11" s="253" t="inlineStr">
        <is>
          <t>C</t>
        </is>
      </c>
      <c r="D11" s="253" t="inlineStr">
        <is>
          <t>I</t>
        </is>
      </c>
      <c r="E11" s="253" t="inlineStr">
        <is>
          <t>A</t>
        </is>
      </c>
      <c r="F11" s="253" t="inlineStr">
        <is>
          <t>중요도</t>
        </is>
      </c>
      <c r="G11" s="310" t="n"/>
      <c r="H11" s="253" t="inlineStr">
        <is>
          <t>등급</t>
        </is>
      </c>
      <c r="I11" s="310" t="n"/>
      <c r="J11" s="253" t="inlineStr">
        <is>
          <t>DoA</t>
        </is>
      </c>
      <c r="K11" s="317" t="n"/>
      <c r="L11" s="310" t="n"/>
    </row>
    <row r="12">
      <c r="A12" s="314" t="n"/>
      <c r="B12" s="316" t="n"/>
      <c r="C12" s="257">
        <f>IFERROR(VLOOKUP($C$6,점검대상!$B:$I,COLUMN()+2,FALSE),"-")</f>
        <v/>
      </c>
      <c r="D12" s="257">
        <f>IFERROR(VLOOKUP($C$6,점검대상!$B:$I,COLUMN()+2,FALSE),"-")</f>
        <v/>
      </c>
      <c r="E12" s="257">
        <f>IFERROR(VLOOKUP($C$6,점검대상!$B:$I,COLUMN()+2,FALSE),"-")</f>
        <v/>
      </c>
      <c r="F12" s="257">
        <f>SUM(C12:E12)</f>
        <v/>
      </c>
      <c r="G12" s="310" t="n"/>
      <c r="H12" s="257">
        <f>IF(F12&gt;=7,"상",IF(F12&gt;=5,"중","하"))</f>
        <v/>
      </c>
      <c r="I12" s="310" t="n"/>
      <c r="J12" s="257">
        <f>점검대상!$J$4</f>
        <v/>
      </c>
      <c r="K12" s="317" t="n"/>
      <c r="L12" s="310" t="n"/>
    </row>
    <row r="14" ht="17.25" customHeight="1" s="309">
      <c r="A14" s="51" t="inlineStr">
        <is>
          <t>▣ 영역별 점검 결과</t>
        </is>
      </c>
    </row>
    <row r="15" ht="4.5" customHeight="1" s="309"/>
    <row r="16">
      <c r="A16" s="253" t="inlineStr">
        <is>
          <t>분류</t>
        </is>
      </c>
      <c r="B16" s="312" t="n"/>
      <c r="C16" s="313" t="n"/>
      <c r="D16" s="253" t="inlineStr">
        <is>
          <t>항목 통계</t>
        </is>
      </c>
      <c r="E16" s="317" t="n"/>
      <c r="F16" s="317" t="n"/>
      <c r="G16" s="317" t="n"/>
      <c r="H16" s="317" t="n"/>
      <c r="I16" s="310" t="n"/>
      <c r="J16" s="253" t="inlineStr">
        <is>
          <t>점검 점수</t>
        </is>
      </c>
      <c r="K16" s="317" t="n"/>
      <c r="L16" s="310" t="n"/>
    </row>
    <row r="17">
      <c r="A17" s="314" t="n"/>
      <c r="B17" s="315" t="n"/>
      <c r="C17" s="316" t="n"/>
      <c r="D17" s="253" t="inlineStr">
        <is>
          <t>전체</t>
        </is>
      </c>
      <c r="E17" s="253" t="inlineStr">
        <is>
          <t>점검</t>
        </is>
      </c>
      <c r="F17" s="253" t="inlineStr">
        <is>
          <t>양호</t>
        </is>
      </c>
      <c r="G17" s="253" t="inlineStr">
        <is>
          <t>취약</t>
        </is>
      </c>
      <c r="H17" s="253" t="inlineStr">
        <is>
          <t>부분만족</t>
        </is>
      </c>
      <c r="I17" s="253" t="inlineStr">
        <is>
          <t>해당없음</t>
        </is>
      </c>
      <c r="J17" s="253" t="inlineStr">
        <is>
          <t>전체점수</t>
        </is>
      </c>
      <c r="K17" s="253" t="inlineStr">
        <is>
          <t>취약점수</t>
        </is>
      </c>
      <c r="L17" s="253" t="inlineStr">
        <is>
          <t>보안수준</t>
        </is>
      </c>
    </row>
    <row r="18">
      <c r="A18" s="252" t="inlineStr">
        <is>
          <t>계정 관리</t>
        </is>
      </c>
      <c r="B18" s="317" t="n"/>
      <c r="C18" s="310" t="n"/>
      <c r="D18" s="252" t="n">
        <v>3</v>
      </c>
      <c r="E18" s="252">
        <f>$D18-I18</f>
        <v/>
      </c>
      <c r="F18" s="252">
        <f>COUNTIF(O28:O30,"양호")</f>
        <v/>
      </c>
      <c r="G18" s="252">
        <f>COUNTIF(O28:O30,"취약")</f>
        <v/>
      </c>
      <c r="H18" s="252">
        <f>COUNTIF(O28:O30,"부분만족")</f>
        <v/>
      </c>
      <c r="I18" s="252">
        <f>COUNTIF(O28:O30,"N/A")+COUNTIF(O28:O30,"인터뷰")+COUNTIF(O28:O30,"수동점검")+COUNTIF(O28:O30,"ERROR")</f>
        <v/>
      </c>
      <c r="J18" s="260">
        <f>SUM(M28:M30)</f>
        <v/>
      </c>
      <c r="K18" s="260">
        <f>SUM(N28:N30)</f>
        <v/>
      </c>
      <c r="L18" s="35">
        <f>IF(J18=0,"N/A",((J18-K18)/J18)*1)</f>
        <v/>
      </c>
    </row>
    <row r="19">
      <c r="A19" s="252" t="inlineStr">
        <is>
          <t>접근 관리</t>
        </is>
      </c>
      <c r="B19" s="317" t="n"/>
      <c r="C19" s="310" t="n"/>
      <c r="D19" s="252" t="n">
        <v>6</v>
      </c>
      <c r="E19" s="252">
        <f>$D19-I19</f>
        <v/>
      </c>
      <c r="F19" s="252">
        <f>COUNTIF(O31:O36,"양호")</f>
        <v/>
      </c>
      <c r="G19" s="252">
        <f>COUNTIF(O31:O36,"취약")</f>
        <v/>
      </c>
      <c r="H19" s="252">
        <f>COUNTIF(O31:O36,"부분만족")</f>
        <v/>
      </c>
      <c r="I19" s="252">
        <f>COUNTIF(O31:O36,"N/A")+COUNTIF(O31:O36,"인터뷰")+COUNTIF(O31:O36,"수동점검")+COUNTIF(O31:O36,"ERROR")</f>
        <v/>
      </c>
      <c r="J19" s="260">
        <f>SUM(M31:M36)</f>
        <v/>
      </c>
      <c r="K19" s="260">
        <f>SUM(N31:N36)</f>
        <v/>
      </c>
      <c r="L19" s="35">
        <f>IF(J19=0,"N/A",((J19-K19)/J19)*1)</f>
        <v/>
      </c>
    </row>
    <row r="20">
      <c r="A20" s="252" t="inlineStr">
        <is>
          <t>패치 관리</t>
        </is>
      </c>
      <c r="B20" s="317" t="n"/>
      <c r="C20" s="310" t="n"/>
      <c r="D20" s="252" t="n">
        <v>2</v>
      </c>
      <c r="E20" s="252">
        <f>$D20-I20</f>
        <v/>
      </c>
      <c r="F20" s="252">
        <f>COUNTIF(O37:O38,"양호")</f>
        <v/>
      </c>
      <c r="G20" s="252">
        <f>COUNTIF(O37:O38,"취약")</f>
        <v/>
      </c>
      <c r="H20" s="252">
        <f>COUNTIF(O37:O38,"부분만족")</f>
        <v/>
      </c>
      <c r="I20" s="252">
        <f>COUNTIF(O37:O38,"N/A")+COUNTIF(O37:O38,"인터뷰")+COUNTIF(O37:O38,"수동점검")+COUNTIF(O37:O38,"ERROR")</f>
        <v/>
      </c>
      <c r="J20" s="260">
        <f>SUM(M37:M38)</f>
        <v/>
      </c>
      <c r="K20" s="260">
        <f>SUM(N37:N38)</f>
        <v/>
      </c>
      <c r="L20" s="35">
        <f>IF(J20=0,"N/A",((J20-K20)/J20)*1)</f>
        <v/>
      </c>
    </row>
    <row r="21">
      <c r="A21" s="252" t="inlineStr">
        <is>
          <t>보안 관리</t>
        </is>
      </c>
      <c r="B21" s="317" t="n"/>
      <c r="C21" s="310" t="n"/>
      <c r="D21" s="252" t="n">
        <v>7</v>
      </c>
      <c r="E21" s="252">
        <f>$D21-I21</f>
        <v/>
      </c>
      <c r="F21" s="252">
        <f>COUNTIF(O39:O45,"양호")</f>
        <v/>
      </c>
      <c r="G21" s="252">
        <f>COUNTIF(O39:O45,"취약")</f>
        <v/>
      </c>
      <c r="H21" s="252">
        <f>COUNTIF(O39:O45,"부분만족")</f>
        <v/>
      </c>
      <c r="I21" s="252">
        <f>COUNTIF(O39:O45,"N/A")+COUNTIF(O39:O45,"인터뷰")+COUNTIF(O39:O45,"수동점검")+COUNTIF(O39:O45,"ERROR")</f>
        <v/>
      </c>
      <c r="J21" s="260">
        <f>SUM(M39:M45)</f>
        <v/>
      </c>
      <c r="K21" s="260">
        <f>SUM(N39:N45)</f>
        <v/>
      </c>
      <c r="L21" s="35">
        <f>IF(J21=0,"N/A",((J21-K21)/J21)*1)</f>
        <v/>
      </c>
    </row>
    <row r="22" ht="14.25" customHeight="1" s="309" thickBot="1">
      <c r="A22" s="252" t="inlineStr">
        <is>
          <t>-</t>
        </is>
      </c>
      <c r="B22" s="317" t="n"/>
      <c r="C22" s="310" t="n"/>
      <c r="D22" s="252" t="n">
        <v>0</v>
      </c>
      <c r="E22" s="252" t="n">
        <v>0</v>
      </c>
      <c r="F22" s="252" t="n">
        <v>0</v>
      </c>
      <c r="G22" s="252" t="n">
        <v>0</v>
      </c>
      <c r="H22" s="252" t="n">
        <v>0</v>
      </c>
      <c r="I22" s="252" t="n">
        <v>0</v>
      </c>
      <c r="J22" s="260" t="n">
        <v>0</v>
      </c>
      <c r="K22" s="260" t="n">
        <v>0</v>
      </c>
      <c r="L22" s="35">
        <f>IF(J22=0,"N/A",((J22-K22)/J22)*1)</f>
        <v/>
      </c>
    </row>
    <row r="23" ht="14.25" customHeight="1" s="309" thickTop="1">
      <c r="A23" s="270" t="inlineStr">
        <is>
          <t>전체 보안 수준</t>
        </is>
      </c>
      <c r="B23" s="340" t="n"/>
      <c r="C23" s="341" t="n"/>
      <c r="D23" s="270" t="n">
        <v>18</v>
      </c>
      <c r="E23" s="270">
        <f>SUM(E18:E22)</f>
        <v/>
      </c>
      <c r="F23" s="270">
        <f>SUM(F18:F22)</f>
        <v/>
      </c>
      <c r="G23" s="270">
        <f>SUM(G18:G22)</f>
        <v/>
      </c>
      <c r="H23" s="270">
        <f>SUM(H18:H22)</f>
        <v/>
      </c>
      <c r="I23" s="270">
        <f>SUM(I18:I22)</f>
        <v/>
      </c>
      <c r="J23" s="270">
        <f>SUM(J18:J22)</f>
        <v/>
      </c>
      <c r="K23" s="270">
        <f>SUM(K18:K22)</f>
        <v/>
      </c>
      <c r="L23" s="36">
        <f>IF(J23=0,"N/A",((J23-K23)/J23)*1)</f>
        <v/>
      </c>
    </row>
    <row r="25" ht="17.25" customHeight="1" s="309">
      <c r="A25" s="52" t="inlineStr">
        <is>
          <t>▣ 상세 점검 현황</t>
        </is>
      </c>
      <c r="Q25" s="49" t="inlineStr">
        <is>
          <t>(취약점제거: '양호', 취약점발견: '취약', 일부 취약점만 제거: '부분만족', 해당사항없음: 'N/A')</t>
        </is>
      </c>
    </row>
    <row r="26" ht="4.5" customHeight="1" s="309" thickBot="1"/>
    <row r="27" ht="45" customHeight="1" s="309" thickBot="1">
      <c r="A27" s="342" t="inlineStr">
        <is>
          <t>구분</t>
        </is>
      </c>
      <c r="B27" s="343" t="n"/>
      <c r="C27" s="53" t="inlineStr">
        <is>
          <t>점검 항목</t>
        </is>
      </c>
      <c r="D27" s="344" t="n"/>
      <c r="E27" s="344" t="n"/>
      <c r="F27" s="344" t="n"/>
      <c r="G27" s="344" t="n"/>
      <c r="H27" s="344" t="n"/>
      <c r="I27" s="344" t="n"/>
      <c r="J27" s="344" t="n"/>
      <c r="K27" s="343" t="n"/>
      <c r="L27" s="53" t="inlineStr">
        <is>
          <t>중요도</t>
        </is>
      </c>
      <c r="M27" s="63" t="inlineStr">
        <is>
          <t>중요도 값</t>
        </is>
      </c>
      <c r="N27" s="63" t="inlineStr">
        <is>
          <t>점검
결과 값</t>
        </is>
      </c>
      <c r="O27" s="63" t="inlineStr">
        <is>
          <t>점검결과</t>
        </is>
      </c>
      <c r="P27" s="63" t="inlineStr">
        <is>
          <t>점검현황</t>
        </is>
      </c>
      <c r="Q27" s="64" t="inlineStr">
        <is>
          <t>운영현황</t>
        </is>
      </c>
      <c r="U27" s="60" t="inlineStr">
        <is>
          <t>점검 현황 
사항 입력 란</t>
        </is>
      </c>
    </row>
    <row r="28" ht="69" customHeight="1" s="309">
      <c r="A28" s="357" t="inlineStr">
        <is>
          <t>계정 관리</t>
        </is>
      </c>
      <c r="B28" s="332" t="n"/>
      <c r="C28" s="100" t="inlineStr">
        <is>
          <t>PC-01</t>
        </is>
      </c>
      <c r="D28" s="345" t="inlineStr">
        <is>
          <t>비밀번호의 주기적 변경</t>
        </is>
      </c>
      <c r="E28" s="320" t="n"/>
      <c r="F28" s="320" t="n"/>
      <c r="G28" s="320" t="n"/>
      <c r="H28" s="320" t="n"/>
      <c r="I28" s="320" t="n"/>
      <c r="J28" s="320" t="n"/>
      <c r="K28" s="321" t="n"/>
      <c r="L28" s="101" t="inlineStr">
        <is>
          <t>상</t>
        </is>
      </c>
      <c r="M28" s="128">
        <f>IF(L28="상", 10, IF(L28="중", 8, IF(L28="하", 6, "-")))</f>
        <v/>
      </c>
      <c r="N28" s="153">
        <f>IF(OR(O28="", O28="N/A"), "-", IF(O28="양호", 0, IF(O28="부분만족", M28/2, M28)))</f>
        <v/>
      </c>
      <c r="O28" s="103" t="inlineStr">
        <is>
          <t>N/A</t>
        </is>
      </c>
      <c r="P28" s="159">
        <f>IF(O28="양호",'기준 DB'!C2&amp;U28,IF(O28="취약",'기준 DB'!D2&amp;V28,IF(OR(O28="N/A",O28="수동점검"),'기준 DB'!E2,"-")))</f>
        <v/>
      </c>
      <c r="Q28" s="104" t="n"/>
      <c r="U28" s="61" t="inlineStr"/>
      <c r="V28" s="0" t="inlineStr"/>
      <c r="W28" s="55" t="n"/>
    </row>
    <row r="29" ht="69" customHeight="1" s="309">
      <c r="A29" s="335" t="n"/>
      <c r="B29" s="336" t="n"/>
      <c r="C29" s="100" t="inlineStr">
        <is>
          <t>PC-02</t>
        </is>
      </c>
      <c r="D29" s="346" t="inlineStr">
        <is>
          <t>비밀번호 관리정책 설정</t>
        </is>
      </c>
      <c r="E29" s="317" t="n"/>
      <c r="F29" s="317" t="n"/>
      <c r="G29" s="317" t="n"/>
      <c r="H29" s="317" t="n"/>
      <c r="I29" s="317" t="n"/>
      <c r="J29" s="317" t="n"/>
      <c r="K29" s="310" t="n"/>
      <c r="L29" s="105" t="inlineStr">
        <is>
          <t>상</t>
        </is>
      </c>
      <c r="M29" s="128">
        <f>IF(L29="상", 10, IF(L29="중", 8, IF(L29="하", 6, "-")))</f>
        <v/>
      </c>
      <c r="N29" s="153">
        <f>IF(OR(O29="", O29="N/A"), "-", IF(O29="양호", 0, IF(O29="부분만족", M29/2, M29)))</f>
        <v/>
      </c>
      <c r="O29" s="103" t="inlineStr">
        <is>
          <t>N/A</t>
        </is>
      </c>
      <c r="P29" s="159">
        <f>IF(O29="양호",'기준 DB'!C3&amp;U29,IF(O29="취약",'기준 DB'!D3&amp;V29,IF(OR(O29="N/A",O29="수동점검"),'기준 DB'!E3,"-")))</f>
        <v/>
      </c>
      <c r="Q29" s="104" t="n"/>
      <c r="U29" s="61" t="inlineStr"/>
      <c r="V29" s="0" t="inlineStr"/>
      <c r="W29" s="55" t="n"/>
    </row>
    <row r="30" ht="69" customHeight="1" s="309">
      <c r="A30" s="337" t="n"/>
      <c r="B30" s="316" t="n"/>
      <c r="C30" s="100" t="inlineStr">
        <is>
          <t>PC-03</t>
        </is>
      </c>
      <c r="D30" s="346" t="inlineStr">
        <is>
          <t>복구 콘솔에서 자동 로그온을 금지하도록 설정</t>
        </is>
      </c>
      <c r="E30" s="317" t="n"/>
      <c r="F30" s="317" t="n"/>
      <c r="G30" s="317" t="n"/>
      <c r="H30" s="317" t="n"/>
      <c r="I30" s="317" t="n"/>
      <c r="J30" s="317" t="n"/>
      <c r="K30" s="310" t="n"/>
      <c r="L30" s="105" t="inlineStr">
        <is>
          <t>중</t>
        </is>
      </c>
      <c r="M30" s="128">
        <f>IF(L30="상", 10, IF(L30="중", 8, IF(L30="하", 6, "-")))</f>
        <v/>
      </c>
      <c r="N30" s="153">
        <f>IF(OR(O30="", O30="N/A"), "-", IF(O30="양호", 0, IF(O30="부분만족", M30/2, M30)))</f>
        <v/>
      </c>
      <c r="O30" s="103" t="inlineStr">
        <is>
          <t>N/A</t>
        </is>
      </c>
      <c r="P30" s="159">
        <f>IF(O30="양호",'기준 DB'!C4&amp;U30,IF(O30="취약",'기준 DB'!D4&amp;V30,IF(OR(O30="N/A",O30="수동점검"),'기준 DB'!E4,"-")))</f>
        <v/>
      </c>
      <c r="Q30" s="104" t="n"/>
      <c r="S30" s="65" t="n"/>
      <c r="U30" s="61" t="inlineStr"/>
      <c r="V30" s="0" t="inlineStr"/>
      <c r="W30" s="55" t="n"/>
    </row>
    <row r="31" ht="69" customHeight="1" s="309">
      <c r="A31" s="358" t="inlineStr">
        <is>
          <t>접근 관리</t>
        </is>
      </c>
      <c r="C31" s="100" t="inlineStr">
        <is>
          <t>PC-04</t>
        </is>
      </c>
      <c r="D31" s="346" t="inlineStr">
        <is>
          <t>공유 폴더 제거</t>
        </is>
      </c>
      <c r="E31" s="317" t="n"/>
      <c r="F31" s="317" t="n"/>
      <c r="G31" s="317" t="n"/>
      <c r="H31" s="317" t="n"/>
      <c r="I31" s="317" t="n"/>
      <c r="J31" s="317" t="n"/>
      <c r="K31" s="310" t="n"/>
      <c r="L31" s="105" t="inlineStr">
        <is>
          <t>상</t>
        </is>
      </c>
      <c r="M31" s="128">
        <f>IF(L31="상", 10, IF(L31="중", 8, IF(L31="하", 6, "-")))</f>
        <v/>
      </c>
      <c r="N31" s="153">
        <f>IF(OR(O31="", O31="N/A"), "-", IF(O31="양호", 0, IF(O31="부분만족", M31/2, M31)))</f>
        <v/>
      </c>
      <c r="O31" s="103" t="inlineStr">
        <is>
          <t>N/A</t>
        </is>
      </c>
      <c r="P31" s="159">
        <f>IF(O31="양호",'기준 DB'!C5&amp;U31,IF(O31="취약",'기준 DB'!D5&amp;V31,IF(OR(O31="N/A",O31="수동점검"),'기준 DB'!E5,"-")))</f>
        <v/>
      </c>
      <c r="Q31" s="104" t="n"/>
      <c r="U31" s="62" t="inlineStr"/>
      <c r="V31" s="0" t="inlineStr"/>
      <c r="W31" s="55" t="n"/>
    </row>
    <row r="32" ht="69" customHeight="1" s="309">
      <c r="C32" s="100" t="inlineStr">
        <is>
          <t>PC-05</t>
        </is>
      </c>
      <c r="D32" s="346" t="inlineStr">
        <is>
          <t>불필요한 서비스 제거</t>
        </is>
      </c>
      <c r="E32" s="317" t="n"/>
      <c r="F32" s="317" t="n"/>
      <c r="G32" s="317" t="n"/>
      <c r="H32" s="317" t="n"/>
      <c r="I32" s="317" t="n"/>
      <c r="J32" s="317" t="n"/>
      <c r="K32" s="310" t="n"/>
      <c r="L32" s="105" t="inlineStr">
        <is>
          <t>상</t>
        </is>
      </c>
      <c r="M32" s="128">
        <f>IF(L32="상", 10, IF(L32="중", 8, IF(L32="하", 6, "-")))</f>
        <v/>
      </c>
      <c r="N32" s="153">
        <f>IF(OR(O32="", O32="N/A"), "-", IF(O32="양호", 0, IF(O32="부분만족", M32/2, M32)))</f>
        <v/>
      </c>
      <c r="O32" s="103" t="inlineStr">
        <is>
          <t>N/A</t>
        </is>
      </c>
      <c r="P32" s="159">
        <f>IF(O32="양호",'기준 DB'!C6&amp;U32,IF(O32="취약",'기준 DB'!D6&amp;V32,IF(OR(O32="N/A",O32="수동점검"),'기준 DB'!E6,"-")))</f>
        <v/>
      </c>
      <c r="Q32" s="104" t="n"/>
      <c r="U32" s="62" t="inlineStr"/>
      <c r="V32" s="0" t="inlineStr"/>
      <c r="W32" s="55" t="n"/>
    </row>
    <row r="33" ht="69" customHeight="1" s="309">
      <c r="C33" s="100" t="inlineStr">
        <is>
          <t>PC-06</t>
        </is>
      </c>
      <c r="D33" s="346" t="inlineStr">
        <is>
          <t>비인가 상용 메신저 사용 금지</t>
        </is>
      </c>
      <c r="E33" s="317" t="n"/>
      <c r="F33" s="317" t="n"/>
      <c r="G33" s="317" t="n"/>
      <c r="H33" s="317" t="n"/>
      <c r="I33" s="317" t="n"/>
      <c r="J33" s="317" t="n"/>
      <c r="K33" s="310" t="n"/>
      <c r="L33" s="105" t="inlineStr">
        <is>
          <t>하</t>
        </is>
      </c>
      <c r="M33" s="128">
        <f>IF(L33="상", 10, IF(L33="중", 8, IF(L33="하", 6, "-")))</f>
        <v/>
      </c>
      <c r="N33" s="153">
        <f>IF(OR(O33="", O33="N/A"), "-", IF(O33="양호", 0, IF(O33="부분만족", M33/2, M33)))</f>
        <v/>
      </c>
      <c r="O33" s="103" t="inlineStr">
        <is>
          <t>N/A</t>
        </is>
      </c>
      <c r="P33" s="159">
        <f>IF(O33="양호",'기준 DB'!C7&amp;U33,IF(O33="취약",'기준 DB'!D7&amp;V33,IF(OR(O33="N/A",O33="수동점검"),'기준 DB'!E7,"-")))</f>
        <v/>
      </c>
      <c r="Q33" s="104" t="n"/>
      <c r="U33" s="62" t="inlineStr"/>
      <c r="V33" s="0" t="inlineStr"/>
      <c r="W33" s="55" t="n"/>
    </row>
    <row r="34" ht="69" customHeight="1" s="309">
      <c r="C34" s="100" t="inlineStr">
        <is>
          <t>PC-07</t>
        </is>
      </c>
      <c r="D34" s="347" t="inlineStr">
        <is>
          <t>파일 시스템이 NTFS 포맷으로 설정</t>
        </is>
      </c>
      <c r="E34" s="317" t="n"/>
      <c r="F34" s="317" t="n"/>
      <c r="G34" s="317" t="n"/>
      <c r="H34" s="317" t="n"/>
      <c r="I34" s="317" t="n"/>
      <c r="J34" s="317" t="n"/>
      <c r="K34" s="310" t="n"/>
      <c r="L34" s="105" t="inlineStr">
        <is>
          <t>상</t>
        </is>
      </c>
      <c r="M34" s="128">
        <f>IF(L34="상", 10, IF(L34="중", 8, IF(L34="하", 6, "-")))</f>
        <v/>
      </c>
      <c r="N34" s="153">
        <f>IF(OR(O34="", O34="N/A"), "-", IF(O34="양호", 0, IF(O34="부분만족", M34/2, M34)))</f>
        <v/>
      </c>
      <c r="O34" s="103" t="inlineStr">
        <is>
          <t>N/A</t>
        </is>
      </c>
      <c r="P34" s="159">
        <f>IF(O34="양호",'기준 DB'!C8&amp;U34,IF(O34="취약",'기준 DB'!D8&amp;V34,IF(OR(O34="N/A",O34="수동점검"),'기준 DB'!E8,"-")))</f>
        <v/>
      </c>
      <c r="Q34" s="104" t="n"/>
      <c r="U34" s="62" t="inlineStr"/>
      <c r="V34" s="0" t="inlineStr"/>
      <c r="W34" s="55" t="n"/>
    </row>
    <row r="35" ht="69" customHeight="1" s="309">
      <c r="C35" s="100" t="inlineStr">
        <is>
          <t>PC-08</t>
        </is>
      </c>
      <c r="D35" s="347" t="inlineStr">
        <is>
          <t>PC 내 하나의 OS만 설치(멀티 부팅 미사용)</t>
        </is>
      </c>
      <c r="E35" s="317" t="n"/>
      <c r="F35" s="317" t="n"/>
      <c r="G35" s="317" t="n"/>
      <c r="H35" s="317" t="n"/>
      <c r="I35" s="317" t="n"/>
      <c r="J35" s="317" t="n"/>
      <c r="K35" s="310" t="n"/>
      <c r="L35" s="105" t="inlineStr">
        <is>
          <t>중</t>
        </is>
      </c>
      <c r="M35" s="128">
        <f>IF(L35="상", 10, IF(L35="중", 8, IF(L35="하", 6, "-")))</f>
        <v/>
      </c>
      <c r="N35" s="153">
        <f>IF(OR(O35="", O35="N/A"), "-", IF(O35="양호", 0, IF(O35="부분만족", M35/2, M35)))</f>
        <v/>
      </c>
      <c r="O35" s="103" t="inlineStr">
        <is>
          <t>N/A</t>
        </is>
      </c>
      <c r="P35" s="159">
        <f>IF(O35="양호",'기준 DB'!C9&amp;U35,IF(O35="취약",'기준 DB'!D9&amp;V35,IF(OR(O35="N/A",O35="수동점검"),'기준 DB'!E9,"-")))</f>
        <v/>
      </c>
      <c r="Q35" s="104" t="n"/>
      <c r="U35" s="61" t="inlineStr"/>
      <c r="V35" s="0" t="inlineStr"/>
      <c r="W35" s="55" t="n"/>
    </row>
    <row r="36" ht="69" customHeight="1" s="309">
      <c r="C36" s="100" t="inlineStr">
        <is>
          <t>PC-09</t>
        </is>
      </c>
      <c r="D36" s="347" t="inlineStr">
        <is>
          <t>브라우저 종료 시 임시 인터넷 파일 폴더의 내용을 삭제하도록 설정</t>
        </is>
      </c>
      <c r="E36" s="317" t="n"/>
      <c r="F36" s="317" t="n"/>
      <c r="G36" s="317" t="n"/>
      <c r="H36" s="317" t="n"/>
      <c r="I36" s="317" t="n"/>
      <c r="J36" s="317" t="n"/>
      <c r="K36" s="310" t="n"/>
      <c r="L36" s="105" t="inlineStr">
        <is>
          <t>중</t>
        </is>
      </c>
      <c r="M36" s="128">
        <f>IF(L36="상", 10, IF(L36="중", 8, IF(L36="하", 6, "-")))</f>
        <v/>
      </c>
      <c r="N36" s="153">
        <f>IF(OR(O36="", O36="N/A"), "-", IF(O36="양호", 0, IF(O36="부분만족", M36/2, M36)))</f>
        <v/>
      </c>
      <c r="O36" s="103" t="inlineStr">
        <is>
          <t>N/A</t>
        </is>
      </c>
      <c r="P36" s="159">
        <f>IF(O36="양호",'기준 DB'!C10&amp;U36,IF(O36="취약",'기준 DB'!D10&amp;V36,IF(OR(O36="N/A",O36="수동점검"),'기준 DB'!E10,"-")))</f>
        <v/>
      </c>
      <c r="Q36" s="104" t="n"/>
      <c r="U36" s="61" t="inlineStr"/>
      <c r="V36" s="0" t="inlineStr"/>
      <c r="W36" s="55" t="n"/>
    </row>
    <row r="37" ht="69" customHeight="1" s="309">
      <c r="A37" s="358" t="inlineStr">
        <is>
          <t>패치 관리</t>
        </is>
      </c>
      <c r="C37" s="100" t="inlineStr">
        <is>
          <t>PC-10</t>
        </is>
      </c>
      <c r="D37" s="347" t="inlineStr">
        <is>
          <t>주기적 보안 패치 및 벤더 권고사항 적용</t>
        </is>
      </c>
      <c r="E37" s="317" t="n"/>
      <c r="F37" s="317" t="n"/>
      <c r="G37" s="317" t="n"/>
      <c r="H37" s="317" t="n"/>
      <c r="I37" s="317" t="n"/>
      <c r="J37" s="317" t="n"/>
      <c r="K37" s="310" t="n"/>
      <c r="L37" s="105" t="inlineStr">
        <is>
          <t>상</t>
        </is>
      </c>
      <c r="M37" s="128">
        <f>IF(L37="상", 10, IF(L37="중", 8, IF(L37="하", 6, "-")))</f>
        <v/>
      </c>
      <c r="N37" s="153">
        <f>IF(OR(O37="", O37="N/A"), "-", IF(O37="양호", 0, IF(O37="부분만족", M37/2, M37)))</f>
        <v/>
      </c>
      <c r="O37" s="103" t="inlineStr">
        <is>
          <t>N/A</t>
        </is>
      </c>
      <c r="P37" s="159">
        <f>IF(O37="양호",'기준 DB'!C11&amp;U37,IF(O37="취약",'기준 DB'!D11&amp;V37,IF(OR(O37="N/A",O37="수동점검"),'기준 DB'!E11,"-")))</f>
        <v/>
      </c>
      <c r="Q37" s="104" t="n"/>
      <c r="U37" s="61" t="inlineStr"/>
      <c r="V37" s="0" t="inlineStr"/>
      <c r="W37" s="55" t="n"/>
    </row>
    <row r="38" ht="69" customHeight="1" s="309">
      <c r="C38" s="100" t="inlineStr">
        <is>
          <t>PC-11</t>
        </is>
      </c>
      <c r="D38" s="347" t="inlineStr">
        <is>
          <t>지원이 종료되지 않은 Windows OS Build 적용</t>
        </is>
      </c>
      <c r="E38" s="317" t="n"/>
      <c r="F38" s="317" t="n"/>
      <c r="G38" s="317" t="n"/>
      <c r="H38" s="317" t="n"/>
      <c r="I38" s="317" t="n"/>
      <c r="J38" s="317" t="n"/>
      <c r="K38" s="310" t="n"/>
      <c r="L38" s="105" t="inlineStr">
        <is>
          <t>상</t>
        </is>
      </c>
      <c r="M38" s="128">
        <f>IF(L38="상", 10, IF(L38="중", 8, IF(L38="하", 6, "-")))</f>
        <v/>
      </c>
      <c r="N38" s="153">
        <f>IF(OR(O38="", O38="N/A"), "-", IF(O38="양호", 0, IF(O38="부분만족", M38/2, M38)))</f>
        <v/>
      </c>
      <c r="O38" s="103" t="inlineStr">
        <is>
          <t>N/A</t>
        </is>
      </c>
      <c r="P38" s="159">
        <f>IF(O38="양호",'기준 DB'!C12&amp;U38,IF(O38="취약",'기준 DB'!D12&amp;V38,IF(OR(O38="N/A",O38="수동점검"),'기준 DB'!E12,"-")))</f>
        <v/>
      </c>
      <c r="Q38" s="104" t="n"/>
      <c r="U38" s="62" t="inlineStr"/>
      <c r="V38" s="0" t="inlineStr"/>
      <c r="W38" s="55" t="n"/>
    </row>
    <row r="39" ht="69" customHeight="1" s="309">
      <c r="A39" s="358" t="inlineStr">
        <is>
          <t>보안 관리</t>
        </is>
      </c>
      <c r="C39" s="100" t="inlineStr">
        <is>
          <t>PC-12</t>
        </is>
      </c>
      <c r="D39" s="347" t="inlineStr">
        <is>
          <t>Windows 자동 로그인 점검</t>
        </is>
      </c>
      <c r="E39" s="317" t="n"/>
      <c r="F39" s="317" t="n"/>
      <c r="G39" s="317" t="n"/>
      <c r="H39" s="317" t="n"/>
      <c r="I39" s="317" t="n"/>
      <c r="J39" s="317" t="n"/>
      <c r="K39" s="310" t="n"/>
      <c r="L39" s="105" t="inlineStr">
        <is>
          <t>상</t>
        </is>
      </c>
      <c r="M39" s="128">
        <f>IF(L39="상", 10, IF(L39="중", 8, IF(L39="하", 6, "-")))</f>
        <v/>
      </c>
      <c r="N39" s="153">
        <f>IF(OR(O39="", O39="N/A"), "-", IF(O39="양호", 0, IF(O39="부분만족", M39/2, M39)))</f>
        <v/>
      </c>
      <c r="O39" s="103" t="inlineStr">
        <is>
          <t>N/A</t>
        </is>
      </c>
      <c r="P39" s="159">
        <f>IF(O39="양호",'기준 DB'!C13&amp;U39,IF(O39="취약",'기준 DB'!D13&amp;V39,IF(OR(O39="N/A",O39="수동점검"),'기준 DB'!E13,"-")))</f>
        <v/>
      </c>
      <c r="Q39" s="104" t="n"/>
      <c r="U39" s="62" t="inlineStr"/>
      <c r="V39" s="0" t="inlineStr"/>
      <c r="W39" s="55" t="n"/>
    </row>
    <row r="40" ht="69" customHeight="1" s="309" thickBot="1">
      <c r="C40" s="106" t="inlineStr">
        <is>
          <t>PC-13</t>
        </is>
      </c>
      <c r="D40" s="347" t="inlineStr">
        <is>
          <t>바이러스 백신 프로그램 설치 및 주기적 업데이트</t>
        </is>
      </c>
      <c r="E40" s="317" t="n"/>
      <c r="F40" s="317" t="n"/>
      <c r="G40" s="317" t="n"/>
      <c r="H40" s="317" t="n"/>
      <c r="I40" s="317" t="n"/>
      <c r="J40" s="317" t="n"/>
      <c r="K40" s="310" t="n"/>
      <c r="L40" s="105" t="inlineStr">
        <is>
          <t>상</t>
        </is>
      </c>
      <c r="M40" s="135">
        <f>IF(L40="상", 10, IF(L40="중", 8, IF(L40="하", 6, "-")))</f>
        <v/>
      </c>
      <c r="N40" s="154">
        <f>IF(OR(O40="", O40="N/A"), "-", IF(O40="양호", 0, IF(O40="부분만족", M40/2, M40)))</f>
        <v/>
      </c>
      <c r="O40" s="107" t="inlineStr">
        <is>
          <t>N/A</t>
        </is>
      </c>
      <c r="P40" s="159">
        <f>IF(O40="양호",'기준 DB'!C14&amp;U40,IF(O40="취약",'기준 DB'!D14&amp;V40,IF(OR(O40="N/A",O40="수동점검"),'기준 DB'!E14,"-")))</f>
        <v/>
      </c>
      <c r="Q40" s="108" t="n"/>
      <c r="U40" s="61" t="inlineStr"/>
      <c r="V40" s="0" t="inlineStr"/>
      <c r="W40" s="55" t="n"/>
    </row>
    <row r="41" ht="69" customHeight="1" s="309">
      <c r="C41" s="109" t="inlineStr">
        <is>
          <t>PC-14</t>
        </is>
      </c>
      <c r="D41" s="349" t="inlineStr">
        <is>
          <t>바이러스 백신 프로그램에서 제공하는 실시간 감시 기능 활성화</t>
        </is>
      </c>
      <c r="E41" s="320" t="n"/>
      <c r="F41" s="320" t="n"/>
      <c r="G41" s="320" t="n"/>
      <c r="H41" s="320" t="n"/>
      <c r="I41" s="320" t="n"/>
      <c r="J41" s="320" t="n"/>
      <c r="K41" s="321" t="n"/>
      <c r="L41" s="101" t="inlineStr">
        <is>
          <t>상</t>
        </is>
      </c>
      <c r="M41" s="139">
        <f>IF(L41="상", 10, IF(L41="중", 8, IF(L41="하", 6, "-")))</f>
        <v/>
      </c>
      <c r="N41" s="152">
        <f>IF(OR(O41="", O41="N/A"), "-", IF(O41="양호", 0, IF(O41="부분만족", M41/2, M41)))</f>
        <v/>
      </c>
      <c r="O41" s="110" t="inlineStr">
        <is>
          <t>N/A</t>
        </is>
      </c>
      <c r="P41" s="159">
        <f>IF(O41="양호",'기준 DB'!C15&amp;U41,IF(O41="취약",'기준 DB'!D15&amp;V41,IF(OR(O41="N/A",O41="수동점검"),'기준 DB'!E15,"-")))</f>
        <v/>
      </c>
      <c r="Q41" s="111" t="n"/>
      <c r="U41" s="61" t="inlineStr"/>
      <c r="V41" s="0" t="inlineStr"/>
      <c r="W41" s="55" t="n"/>
    </row>
    <row r="42" ht="69" customHeight="1" s="309">
      <c r="C42" s="109" t="inlineStr">
        <is>
          <t>PC-15</t>
        </is>
      </c>
      <c r="D42" s="347" t="inlineStr">
        <is>
          <t>OS에서 제공하는 침입차단 기능 활성화</t>
        </is>
      </c>
      <c r="E42" s="317" t="n"/>
      <c r="F42" s="317" t="n"/>
      <c r="G42" s="317" t="n"/>
      <c r="H42" s="317" t="n"/>
      <c r="I42" s="317" t="n"/>
      <c r="J42" s="317" t="n"/>
      <c r="K42" s="310" t="n"/>
      <c r="L42" s="105" t="inlineStr">
        <is>
          <t>상</t>
        </is>
      </c>
      <c r="M42" s="128">
        <f>IF(L42="상", 10, IF(L42="중", 8, IF(L42="하", 6, "-")))</f>
        <v/>
      </c>
      <c r="N42" s="153">
        <f>IF(OR(O42="", O42="N/A"), "-", IF(O42="양호", 0, IF(O42="부분만족", M42/2, M42)))</f>
        <v/>
      </c>
      <c r="O42" s="103" t="inlineStr">
        <is>
          <t>N/A</t>
        </is>
      </c>
      <c r="P42" s="159">
        <f>IF(O42="양호",'기준 DB'!C16&amp;U42,IF(O42="취약",'기준 DB'!D16&amp;V42,IF(OR(O42="N/A",O42="수동점검"),'기준 DB'!E16,"-")))</f>
        <v/>
      </c>
      <c r="Q42" s="104" t="n"/>
      <c r="U42" s="61" t="inlineStr"/>
      <c r="V42" s="0" t="inlineStr"/>
      <c r="W42" s="55" t="n"/>
    </row>
    <row r="43" ht="69" customHeight="1" s="309">
      <c r="C43" s="109" t="inlineStr">
        <is>
          <t>PC-16</t>
        </is>
      </c>
      <c r="D43" s="347" t="inlineStr">
        <is>
          <t>화면보호기 대기 시간 설정 및 재시작 시 암호 보호 설정</t>
        </is>
      </c>
      <c r="E43" s="317" t="n"/>
      <c r="F43" s="317" t="n"/>
      <c r="G43" s="317" t="n"/>
      <c r="H43" s="317" t="n"/>
      <c r="I43" s="317" t="n"/>
      <c r="J43" s="317" t="n"/>
      <c r="K43" s="310" t="n"/>
      <c r="L43" s="105" t="inlineStr">
        <is>
          <t>중</t>
        </is>
      </c>
      <c r="M43" s="128">
        <f>IF(L43="상", 10, IF(L43="중", 8, IF(L43="하", 6, "-")))</f>
        <v/>
      </c>
      <c r="N43" s="153">
        <f>IF(OR(O43="", O43="N/A"), "-", IF(O43="양호", 0, IF(O43="부분만족", M43/2, M43)))</f>
        <v/>
      </c>
      <c r="O43" s="103" t="inlineStr">
        <is>
          <t>N/A</t>
        </is>
      </c>
      <c r="P43" s="159">
        <f>IF(O43="양호",'기준 DB'!C17&amp;U43,IF(O43="취약",'기준 DB'!D17&amp;V43,IF(OR(O43="N/A",O43="수동점검"),'기준 DB'!E17,"-")))</f>
        <v/>
      </c>
      <c r="Q43" s="104" t="n"/>
      <c r="S43" s="65" t="n"/>
      <c r="U43" s="61" t="inlineStr"/>
      <c r="V43" s="0" t="inlineStr"/>
      <c r="W43" s="55" t="n"/>
    </row>
    <row r="44" ht="69" customHeight="1" s="309">
      <c r="C44" s="109" t="inlineStr">
        <is>
          <t>PC-17</t>
        </is>
      </c>
      <c r="D44" s="350" t="inlineStr">
        <is>
          <t>CD, DVD, USB 메모리 등 이동식 미디어의 자동 실행 방지</t>
        </is>
      </c>
      <c r="E44" s="317" t="n"/>
      <c r="F44" s="317" t="n"/>
      <c r="G44" s="317" t="n"/>
      <c r="H44" s="317" t="n"/>
      <c r="I44" s="317" t="n"/>
      <c r="J44" s="317" t="n"/>
      <c r="K44" s="310" t="n"/>
      <c r="L44" s="105" t="inlineStr">
        <is>
          <t>상</t>
        </is>
      </c>
      <c r="M44" s="128">
        <f>IF(L44="상", 10, IF(L44="중", 8, IF(L44="하", 6, "-")))</f>
        <v/>
      </c>
      <c r="N44" s="153">
        <f>IF(OR(O44="", O44="N/A"), "-", IF(O44="양호", 0, IF(O44="부분만족", M44/2, M44)))</f>
        <v/>
      </c>
      <c r="O44" s="103" t="inlineStr">
        <is>
          <t>N/A</t>
        </is>
      </c>
      <c r="P44" s="159">
        <f>IF(O44="양호",'기준 DB'!C18&amp;U44,IF(O44="취약",'기준 DB'!D18&amp;V44,IF(OR(O44="N/A",O44="수동점검"),'기준 DB'!E18,"-")))</f>
        <v/>
      </c>
      <c r="Q44" s="104" t="n"/>
      <c r="S44" s="65" t="n"/>
      <c r="U44" s="61" t="inlineStr"/>
      <c r="V44" s="0" t="inlineStr"/>
      <c r="W44" s="55" t="n"/>
    </row>
    <row r="45" ht="69" customHeight="1" s="309">
      <c r="C45" s="109" t="inlineStr">
        <is>
          <t>PC-18</t>
        </is>
      </c>
      <c r="D45" s="347" t="inlineStr">
        <is>
          <t>원격 지원을 금지하도록 정책이 설정</t>
        </is>
      </c>
      <c r="E45" s="317" t="n"/>
      <c r="F45" s="317" t="n"/>
      <c r="G45" s="317" t="n"/>
      <c r="H45" s="317" t="n"/>
      <c r="I45" s="317" t="n"/>
      <c r="J45" s="317" t="n"/>
      <c r="K45" s="310" t="n"/>
      <c r="L45" s="105" t="inlineStr">
        <is>
          <t>중</t>
        </is>
      </c>
      <c r="M45" s="128">
        <f>IF(L45="상", 10, IF(L45="중", 8, IF(L45="하", 6, "-")))</f>
        <v/>
      </c>
      <c r="N45" s="153">
        <f>IF(OR(O45="", O45="N/A"), "-", IF(O45="양호", 0, IF(O45="부분만족", M45/2, M45)))</f>
        <v/>
      </c>
      <c r="O45" s="103" t="inlineStr">
        <is>
          <t>N/A</t>
        </is>
      </c>
      <c r="P45" s="159">
        <f>IF(O45="양호",'기준 DB'!C19&amp;U45,IF(O45="취약",'기준 DB'!D19&amp;V45,IF(OR(O45="N/A",O45="수동점검"),'기준 DB'!E19,"-")))</f>
        <v/>
      </c>
      <c r="Q45" s="104" t="n"/>
      <c r="S45" s="65" t="n"/>
      <c r="U45" s="61" t="inlineStr"/>
      <c r="V45" s="0" t="inlineStr"/>
      <c r="W45" s="55" t="n"/>
    </row>
    <row r="46" ht="69" customHeight="1" s="309">
      <c r="A46" s="348" t="n"/>
      <c r="C46" s="109" t="n"/>
      <c r="D46" s="347" t="n"/>
      <c r="L46" s="105" t="n"/>
      <c r="M46" s="128">
        <f>IF(L46="상", 10, IF(L46="중", 8, IF(L46="하", 6, "-")))</f>
        <v/>
      </c>
      <c r="N46" s="153">
        <f>IF(OR(O46="", O46="N/A"), "-", IF(O46="양호", 0, IF(O46="부분만족", M46/2, M46)))</f>
        <v/>
      </c>
      <c r="O46" s="110" t="n"/>
      <c r="P46" s="159" t="n"/>
      <c r="Q46" s="104" t="n"/>
      <c r="U46" s="61" t="inlineStr"/>
      <c r="V46" s="0" t="inlineStr"/>
      <c r="W46" s="55" t="n"/>
    </row>
    <row r="47" ht="69" customHeight="1" s="309">
      <c r="C47" s="109" t="n"/>
      <c r="D47" s="347" t="n"/>
      <c r="L47" s="105" t="n"/>
      <c r="M47" s="128">
        <f>IF(L47="상", 10, IF(L47="중", 8, IF(L47="하", 6, "-")))</f>
        <v/>
      </c>
      <c r="N47" s="153">
        <f>IF(OR(O47="", O47="N/A"), "-", IF(O47="양호", 0, IF(O47="부분만족", M47/2, M47)))</f>
        <v/>
      </c>
      <c r="O47" s="103" t="n"/>
      <c r="P47" s="159" t="n"/>
      <c r="Q47" s="104" t="n"/>
      <c r="S47" s="65" t="n"/>
      <c r="U47" s="61" t="inlineStr"/>
      <c r="V47" s="0" t="inlineStr"/>
      <c r="W47" s="55" t="n"/>
    </row>
    <row r="48" ht="69" customHeight="1" s="309">
      <c r="C48" s="109" t="n"/>
      <c r="D48" s="347" t="n"/>
      <c r="L48" s="105" t="n"/>
      <c r="M48" s="128">
        <f>IF(L48="상", 10, IF(L48="중", 8, IF(L48="하", 6, "-")))</f>
        <v/>
      </c>
      <c r="N48" s="153">
        <f>IF(OR(O48="", O48="N/A"), "-", IF(O48="양호", 0, IF(O48="부분만족", M48/2, M48)))</f>
        <v/>
      </c>
      <c r="O48" s="103" t="n"/>
      <c r="P48" s="159" t="n"/>
      <c r="Q48" s="104" t="n"/>
      <c r="U48" s="61" t="inlineStr"/>
      <c r="V48" s="0" t="inlineStr"/>
      <c r="W48" s="55" t="n"/>
    </row>
    <row r="49" ht="69" customHeight="1" s="309">
      <c r="C49" s="109" t="n"/>
      <c r="D49" s="347" t="n"/>
      <c r="L49" s="105" t="n"/>
      <c r="M49" s="128">
        <f>IF(L49="상", 10, IF(L49="중", 8, IF(L49="하", 6, "-")))</f>
        <v/>
      </c>
      <c r="N49" s="153">
        <f>IF(OR(O49="", O49="N/A"), "-", IF(O49="양호", 0, IF(O49="부분만족", M49/2, M49)))</f>
        <v/>
      </c>
      <c r="O49" s="103" t="n"/>
      <c r="P49" s="159" t="n"/>
      <c r="Q49" s="104" t="n"/>
      <c r="U49" s="61" t="inlineStr"/>
      <c r="V49" s="0" t="inlineStr"/>
      <c r="W49" s="55" t="n"/>
    </row>
    <row r="50" ht="69" customHeight="1" s="309">
      <c r="C50" s="109" t="n"/>
      <c r="D50" s="347" t="n"/>
      <c r="L50" s="105" t="n"/>
      <c r="M50" s="128">
        <f>IF(L50="상", 10, IF(L50="중", 8, IF(L50="하", 6, "-")))</f>
        <v/>
      </c>
      <c r="N50" s="153">
        <f>IF(OR(O50="", O50="N/A"), "-", IF(O50="양호", 0, IF(O50="부분만족", M50/2, M50)))</f>
        <v/>
      </c>
      <c r="O50" s="103" t="n"/>
      <c r="P50" s="159" t="n"/>
      <c r="Q50" s="104" t="n"/>
      <c r="U50" s="61" t="inlineStr"/>
      <c r="V50" s="0" t="inlineStr"/>
      <c r="W50" s="55" t="n"/>
    </row>
    <row r="51" ht="69" customHeight="1" s="309">
      <c r="C51" s="109" t="n"/>
      <c r="D51" s="350" t="n"/>
      <c r="L51" s="105" t="n"/>
      <c r="M51" s="128">
        <f>IF(L51="상", 10, IF(L51="중", 8, IF(L51="하", 6, "-")))</f>
        <v/>
      </c>
      <c r="N51" s="153">
        <f>IF(OR(O51="", O51="N/A"), "-", IF(O51="양호", 0, IF(O51="부분만족", M51/2, M51)))</f>
        <v/>
      </c>
      <c r="O51" s="103" t="n"/>
      <c r="P51" s="159" t="n"/>
      <c r="Q51" s="104" t="n"/>
      <c r="U51" s="61" t="inlineStr"/>
      <c r="V51" s="0" t="inlineStr"/>
      <c r="W51" s="55" t="n"/>
    </row>
    <row r="52" ht="69" customHeight="1" s="309">
      <c r="A52" s="348" t="n"/>
      <c r="C52" s="109" t="n"/>
      <c r="D52" s="347" t="n"/>
      <c r="L52" s="105" t="n"/>
      <c r="M52" s="128">
        <f>IF(L52="상", 10, IF(L52="중", 8, IF(L52="하", 6, "-")))</f>
        <v/>
      </c>
      <c r="N52" s="153">
        <f>IF(OR(O52="", O52="N/A"), "-", IF(O52="양호", 0, IF(O52="부분만족", M52/2, M52)))</f>
        <v/>
      </c>
      <c r="O52" s="103" t="n"/>
      <c r="P52" s="159" t="n"/>
      <c r="Q52" s="104" t="n"/>
      <c r="U52" s="61" t="inlineStr"/>
      <c r="V52" s="0" t="inlineStr"/>
      <c r="W52" s="55" t="n"/>
    </row>
    <row r="53" ht="69" customHeight="1" s="309">
      <c r="C53" s="109" t="n"/>
      <c r="D53" s="347" t="n"/>
      <c r="L53" s="105" t="n"/>
      <c r="M53" s="128">
        <f>IF(L53="상", 10, IF(L53="중", 8, IF(L53="하", 6, "-")))</f>
        <v/>
      </c>
      <c r="N53" s="153">
        <f>IF(OR(O53="", O53="N/A"), "-", IF(O53="양호", 0, IF(O53="부분만족", M53/2, M53)))</f>
        <v/>
      </c>
      <c r="O53" s="103" t="n"/>
      <c r="P53" s="159" t="n"/>
      <c r="Q53" s="104" t="n"/>
      <c r="U53" s="61" t="inlineStr"/>
      <c r="V53" s="0" t="inlineStr"/>
      <c r="W53" s="55" t="n"/>
    </row>
    <row r="54" ht="69" customHeight="1" s="309">
      <c r="C54" s="109" t="n"/>
      <c r="D54" s="351" t="n"/>
      <c r="L54" s="105" t="n"/>
      <c r="M54" s="128" t="n"/>
      <c r="N54" s="153" t="n"/>
      <c r="O54" s="103" t="n"/>
      <c r="P54" s="159" t="n"/>
      <c r="Q54" s="104" t="n"/>
      <c r="U54" s="75" t="n"/>
      <c r="W54" s="55" t="n"/>
    </row>
    <row r="55" ht="69" customHeight="1" s="309">
      <c r="C55" s="109" t="n"/>
      <c r="D55" s="351" t="n"/>
      <c r="L55" s="105" t="n"/>
      <c r="M55" s="128" t="n"/>
      <c r="N55" s="153" t="n"/>
      <c r="O55" s="103" t="n"/>
      <c r="P55" s="159" t="n"/>
      <c r="Q55" s="104" t="n"/>
      <c r="U55" s="61" t="n"/>
      <c r="W55" s="55" t="n"/>
    </row>
    <row r="56" ht="69" customHeight="1" s="309">
      <c r="C56" s="109" t="n"/>
      <c r="D56" s="351" t="n"/>
      <c r="L56" s="105" t="n"/>
      <c r="M56" s="128" t="n"/>
      <c r="N56" s="153" t="n"/>
      <c r="O56" s="103" t="n"/>
      <c r="P56" s="159" t="n"/>
      <c r="Q56" s="104" t="n"/>
      <c r="U56" s="61" t="n"/>
      <c r="W56" s="55" t="n"/>
    </row>
    <row r="57" ht="69" customHeight="1" s="309">
      <c r="C57" s="109" t="n"/>
      <c r="D57" s="351" t="n"/>
      <c r="L57" s="105" t="n"/>
      <c r="M57" s="128" t="n"/>
      <c r="N57" s="153" t="n"/>
      <c r="O57" s="103" t="n"/>
      <c r="P57" s="159" t="n"/>
      <c r="Q57" s="104" t="n"/>
      <c r="U57" s="61" t="n"/>
      <c r="W57" s="55" t="n"/>
    </row>
    <row r="58" ht="69" customHeight="1" s="309">
      <c r="C58" s="109" t="n"/>
      <c r="D58" s="351" t="n"/>
      <c r="L58" s="105" t="n"/>
      <c r="M58" s="128" t="n"/>
      <c r="N58" s="153" t="n"/>
      <c r="O58" s="103" t="n"/>
      <c r="P58" s="159" t="n"/>
      <c r="Q58" s="104" t="n"/>
      <c r="U58" s="62" t="n"/>
      <c r="W58" s="55" t="n"/>
    </row>
    <row r="59" ht="69" customHeight="1" s="309">
      <c r="C59" s="109" t="n"/>
      <c r="D59" s="351" t="n"/>
      <c r="L59" s="105" t="n"/>
      <c r="M59" s="128" t="n"/>
      <c r="N59" s="153" t="n"/>
      <c r="O59" s="103" t="n"/>
      <c r="P59" s="159" t="n"/>
      <c r="Q59" s="104" t="n"/>
      <c r="U59" s="62" t="n"/>
      <c r="W59" s="55" t="n"/>
    </row>
    <row r="60" ht="69" customHeight="1" s="309" thickBot="1">
      <c r="C60" s="106" t="n"/>
      <c r="D60" s="352" t="n"/>
      <c r="L60" s="112" t="n"/>
      <c r="M60" s="135" t="n"/>
      <c r="N60" s="154" t="n"/>
      <c r="O60" s="107" t="n"/>
      <c r="P60" s="159" t="n"/>
      <c r="Q60" s="108" t="n"/>
      <c r="U60" s="61" t="n"/>
      <c r="W60" s="55" t="n"/>
    </row>
    <row r="61" ht="69" customHeight="1" s="309">
      <c r="A61" s="292" t="n"/>
      <c r="C61" s="109" t="n"/>
      <c r="D61" s="353" t="n"/>
      <c r="L61" s="113" t="n"/>
      <c r="M61" s="139" t="n"/>
      <c r="N61" s="152" t="n"/>
      <c r="O61" s="110" t="n"/>
      <c r="P61" s="159" t="n"/>
      <c r="Q61" s="111" t="n"/>
      <c r="U61" s="61" t="n"/>
      <c r="W61" s="55" t="n"/>
    </row>
    <row r="62" ht="69" customHeight="1" s="309">
      <c r="C62" s="109" t="n"/>
      <c r="D62" s="354" t="n"/>
      <c r="L62" s="105" t="n"/>
      <c r="M62" s="128" t="n"/>
      <c r="N62" s="153" t="n"/>
      <c r="O62" s="103" t="n"/>
      <c r="P62" s="159" t="n"/>
      <c r="Q62" s="104" t="n"/>
      <c r="U62" s="61" t="n"/>
      <c r="W62" s="55" t="n"/>
    </row>
    <row r="63" ht="69" customHeight="1" s="309">
      <c r="C63" s="109" t="n"/>
      <c r="D63" s="354" t="n"/>
      <c r="L63" s="105" t="n"/>
      <c r="M63" s="155" t="n"/>
      <c r="N63" s="156" t="n"/>
      <c r="O63" s="103" t="n"/>
      <c r="P63" s="159" t="n"/>
      <c r="Q63" s="104" t="n"/>
      <c r="U63" s="61" t="n"/>
      <c r="W63" s="55" t="n"/>
    </row>
    <row r="64" ht="69" customHeight="1" s="309">
      <c r="C64" s="109" t="n"/>
      <c r="D64" s="354" t="n"/>
      <c r="L64" s="105" t="n"/>
      <c r="M64" s="128" t="n"/>
      <c r="N64" s="153" t="n"/>
      <c r="O64" s="103" t="n"/>
      <c r="P64" s="159" t="n"/>
      <c r="Q64" s="104" t="n"/>
      <c r="U64" s="61" t="n"/>
      <c r="W64" s="55" t="n"/>
    </row>
    <row r="65" ht="69" customHeight="1" s="309">
      <c r="C65" s="109" t="n"/>
      <c r="D65" s="354" t="n"/>
      <c r="L65" s="105" t="n"/>
      <c r="M65" s="128" t="n"/>
      <c r="N65" s="153" t="n"/>
      <c r="O65" s="103" t="n"/>
      <c r="P65" s="159" t="n"/>
      <c r="Q65" s="104" t="n"/>
      <c r="S65" s="65" t="n"/>
      <c r="U65" s="61" t="n"/>
      <c r="W65" s="55" t="n"/>
    </row>
    <row r="66" ht="69" customHeight="1" s="309">
      <c r="C66" s="109" t="n"/>
      <c r="D66" s="354" t="n"/>
      <c r="L66" s="105" t="n"/>
      <c r="M66" s="128" t="n"/>
      <c r="N66" s="153" t="n"/>
      <c r="O66" s="103" t="n"/>
      <c r="P66" s="159" t="n"/>
      <c r="Q66" s="104" t="n"/>
      <c r="U66" s="61" t="n"/>
      <c r="W66" s="55" t="n"/>
    </row>
    <row r="67" ht="69" customHeight="1" s="309">
      <c r="C67" s="109" t="n"/>
      <c r="D67" s="354" t="n"/>
      <c r="L67" s="105" t="n"/>
      <c r="M67" s="128" t="n"/>
      <c r="N67" s="153" t="n"/>
      <c r="O67" s="103" t="n"/>
      <c r="P67" s="159" t="n"/>
      <c r="Q67" s="104" t="n"/>
      <c r="U67" s="61" t="n"/>
      <c r="W67" s="55" t="n"/>
    </row>
    <row r="68" ht="69" customHeight="1" s="309">
      <c r="C68" s="109" t="n"/>
      <c r="D68" s="354" t="n"/>
      <c r="L68" s="105" t="n"/>
      <c r="M68" s="128" t="n"/>
      <c r="N68" s="153" t="n"/>
      <c r="O68" s="103" t="n"/>
      <c r="P68" s="159" t="n"/>
      <c r="Q68" s="104" t="n"/>
      <c r="U68" s="61" t="n"/>
      <c r="W68" s="55" t="n"/>
    </row>
    <row r="69" ht="69" customHeight="1" s="309">
      <c r="C69" s="109" t="n"/>
      <c r="D69" s="354" t="n"/>
      <c r="L69" s="105" t="n"/>
      <c r="M69" s="128" t="n"/>
      <c r="N69" s="153" t="n"/>
      <c r="O69" s="103" t="n"/>
      <c r="P69" s="159" t="n"/>
      <c r="Q69" s="104" t="n"/>
      <c r="U69" s="61" t="n"/>
      <c r="W69" s="55" t="n"/>
    </row>
    <row r="70" ht="69" customHeight="1" s="309">
      <c r="C70" s="109" t="n"/>
      <c r="D70" s="354" t="n"/>
      <c r="L70" s="105" t="n"/>
      <c r="M70" s="128" t="n"/>
      <c r="N70" s="153" t="n"/>
      <c r="O70" s="103" t="n"/>
      <c r="P70" s="159" t="n"/>
      <c r="Q70" s="104" t="n"/>
      <c r="U70" s="61" t="n"/>
      <c r="W70" s="55" t="n"/>
    </row>
    <row r="71" ht="69" customHeight="1" s="309">
      <c r="C71" s="109" t="n"/>
      <c r="D71" s="354" t="n"/>
      <c r="L71" s="105" t="n"/>
      <c r="M71" s="128" t="n"/>
      <c r="N71" s="153" t="n"/>
      <c r="O71" s="103" t="n"/>
      <c r="P71" s="159" t="n"/>
      <c r="Q71" s="104" t="n"/>
      <c r="U71" s="61" t="n"/>
      <c r="W71" s="55" t="n"/>
    </row>
    <row r="72" ht="69" customHeight="1" s="309">
      <c r="C72" s="109" t="n"/>
      <c r="D72" s="354" t="n"/>
      <c r="L72" s="105" t="n"/>
      <c r="M72" s="128" t="n"/>
      <c r="N72" s="153" t="n"/>
      <c r="O72" s="103" t="n"/>
      <c r="P72" s="159" t="n"/>
      <c r="Q72" s="104" t="n"/>
      <c r="U72" s="61" t="n"/>
      <c r="W72" s="55" t="n"/>
    </row>
    <row r="73" ht="69" customHeight="1" s="309">
      <c r="C73" s="109" t="n"/>
      <c r="D73" s="354" t="n"/>
      <c r="L73" s="105" t="n"/>
      <c r="M73" s="128" t="n"/>
      <c r="N73" s="153" t="n"/>
      <c r="O73" s="103" t="n"/>
      <c r="P73" s="159" t="n"/>
      <c r="Q73" s="104" t="n"/>
      <c r="U73" s="61" t="n"/>
      <c r="W73" s="55" t="n"/>
    </row>
    <row r="74" ht="69" customHeight="1" s="309">
      <c r="C74" s="109" t="n"/>
      <c r="D74" s="351" t="n"/>
      <c r="L74" s="105" t="n"/>
      <c r="M74" s="128" t="n"/>
      <c r="N74" s="153" t="n"/>
      <c r="O74" s="103" t="n"/>
      <c r="P74" s="159" t="n"/>
      <c r="Q74" s="104" t="n"/>
      <c r="U74" s="61" t="n"/>
      <c r="W74" s="55" t="n"/>
    </row>
    <row r="75" ht="69" customHeight="1" s="309">
      <c r="C75" s="109" t="n"/>
      <c r="D75" s="351" t="n"/>
      <c r="L75" s="105" t="n"/>
      <c r="M75" s="128" t="n"/>
      <c r="N75" s="153" t="n"/>
      <c r="O75" s="103" t="n"/>
      <c r="P75" s="159" t="n"/>
      <c r="Q75" s="104" t="n"/>
      <c r="U75" s="61" t="n"/>
      <c r="W75" s="55" t="n"/>
    </row>
    <row r="76" ht="69" customHeight="1" s="309">
      <c r="C76" s="109" t="n"/>
      <c r="D76" s="351" t="n"/>
      <c r="L76" s="105" t="n"/>
      <c r="M76" s="128" t="n"/>
      <c r="N76" s="153" t="n"/>
      <c r="O76" s="103" t="n"/>
      <c r="P76" s="159" t="n"/>
      <c r="Q76" s="104" t="n"/>
      <c r="U76" s="61" t="n"/>
      <c r="W76" s="55" t="n"/>
    </row>
    <row r="77" ht="69" customHeight="1" s="309">
      <c r="C77" s="109" t="n"/>
      <c r="D77" s="351" t="n"/>
      <c r="L77" s="105" t="n"/>
      <c r="M77" s="128" t="n"/>
      <c r="N77" s="153" t="n"/>
      <c r="O77" s="103" t="n"/>
      <c r="P77" s="159" t="n"/>
      <c r="Q77" s="104" t="n"/>
      <c r="U77" s="61" t="n"/>
      <c r="W77" s="55" t="n"/>
    </row>
    <row r="78" ht="69" customHeight="1" s="309">
      <c r="C78" s="109" t="n"/>
      <c r="D78" s="354" t="n"/>
      <c r="L78" s="105" t="n"/>
      <c r="M78" s="128" t="n"/>
      <c r="N78" s="153" t="n"/>
      <c r="O78" s="103" t="n"/>
      <c r="P78" s="159" t="n"/>
      <c r="Q78" s="104" t="n"/>
      <c r="U78" s="61" t="n"/>
      <c r="W78" s="55" t="n"/>
    </row>
    <row r="79" ht="69" customHeight="1" s="309">
      <c r="C79" s="109" t="n"/>
      <c r="D79" s="354" t="n"/>
      <c r="L79" s="105" t="n"/>
      <c r="M79" s="128" t="n"/>
      <c r="N79" s="153" t="n"/>
      <c r="O79" s="103" t="n"/>
      <c r="P79" s="159" t="n"/>
      <c r="Q79" s="104" t="n"/>
      <c r="S79" s="65" t="n"/>
      <c r="U79" s="61" t="n"/>
      <c r="W79" s="55" t="n"/>
    </row>
    <row r="80" ht="69" customHeight="1" s="309">
      <c r="C80" s="109" t="n"/>
      <c r="D80" s="354" t="n"/>
      <c r="L80" s="105" t="n"/>
      <c r="M80" s="128" t="n"/>
      <c r="N80" s="153" t="n"/>
      <c r="O80" s="103" t="n"/>
      <c r="P80" s="159" t="n"/>
      <c r="Q80" s="104" t="n"/>
      <c r="U80" s="61" t="n"/>
      <c r="W80" s="55" t="n"/>
    </row>
    <row r="81" ht="69" customHeight="1" s="309">
      <c r="C81" s="109" t="n"/>
      <c r="D81" s="354" t="n"/>
      <c r="L81" s="105" t="n"/>
      <c r="M81" s="128" t="n"/>
      <c r="N81" s="153" t="n"/>
      <c r="O81" s="103" t="n"/>
      <c r="P81" s="159" t="n"/>
      <c r="Q81" s="104" t="n"/>
      <c r="U81" s="61" t="n"/>
      <c r="W81" s="55" t="n"/>
    </row>
    <row r="82" ht="69" customHeight="1" s="309">
      <c r="C82" s="109" t="n"/>
      <c r="D82" s="354" t="n"/>
      <c r="L82" s="105" t="n"/>
      <c r="M82" s="128" t="n"/>
      <c r="N82" s="153" t="n"/>
      <c r="O82" s="103" t="n"/>
      <c r="P82" s="159" t="n"/>
      <c r="Q82" s="104" t="n"/>
      <c r="S82" s="65" t="n"/>
      <c r="U82" s="61" t="n"/>
      <c r="W82" s="55" t="n"/>
    </row>
    <row r="83" ht="69" customHeight="1" s="309">
      <c r="C83" s="109" t="n"/>
      <c r="D83" s="354" t="n"/>
      <c r="L83" s="105" t="n"/>
      <c r="M83" s="128" t="n"/>
      <c r="N83" s="153" t="n"/>
      <c r="O83" s="103" t="n"/>
      <c r="P83" s="159" t="n"/>
      <c r="Q83" s="104" t="n"/>
      <c r="U83" s="61" t="n"/>
      <c r="W83" s="55" t="n"/>
    </row>
    <row r="84" ht="69" customHeight="1" s="309">
      <c r="C84" s="109" t="n"/>
      <c r="D84" s="354" t="n"/>
      <c r="L84" s="105" t="n"/>
      <c r="M84" s="128" t="n"/>
      <c r="N84" s="153" t="n"/>
      <c r="O84" s="103" t="n"/>
      <c r="P84" s="159" t="n"/>
      <c r="Q84" s="104" t="n"/>
      <c r="U84" s="61" t="n"/>
      <c r="W84" s="55" t="n"/>
    </row>
    <row r="85" ht="69" customHeight="1" s="309">
      <c r="C85" s="109" t="n"/>
      <c r="D85" s="354" t="n"/>
      <c r="L85" s="105" t="n"/>
      <c r="M85" s="128" t="n"/>
      <c r="N85" s="153" t="n"/>
      <c r="O85" s="103" t="n"/>
      <c r="P85" s="159" t="n"/>
      <c r="Q85" s="104" t="n"/>
      <c r="U85" s="62" t="n"/>
      <c r="W85" s="55" t="n"/>
    </row>
    <row r="86" ht="69" customHeight="1" s="309">
      <c r="C86" s="109" t="n"/>
      <c r="D86" s="354" t="n"/>
      <c r="L86" s="105" t="n"/>
      <c r="M86" s="128" t="n"/>
      <c r="N86" s="153" t="n"/>
      <c r="O86" s="103" t="n"/>
      <c r="P86" s="159" t="n"/>
      <c r="Q86" s="104" t="n"/>
      <c r="U86" s="61" t="n"/>
      <c r="W86" s="55" t="n"/>
    </row>
    <row r="87" ht="69" customHeight="1" s="309">
      <c r="C87" s="109" t="n"/>
      <c r="D87" s="354" t="n"/>
      <c r="L87" s="105" t="n"/>
      <c r="M87" s="128" t="n"/>
      <c r="N87" s="153" t="n"/>
      <c r="O87" s="103" t="n"/>
      <c r="P87" s="159" t="n"/>
      <c r="Q87" s="104" t="n"/>
      <c r="U87" s="61" t="n"/>
      <c r="W87" s="55" t="n"/>
    </row>
    <row r="88" ht="69" customHeight="1" s="309">
      <c r="C88" s="109" t="n"/>
      <c r="D88" s="354" t="n"/>
      <c r="L88" s="105" t="n"/>
      <c r="M88" s="128" t="n"/>
      <c r="N88" s="153" t="n"/>
      <c r="O88" s="103" t="n"/>
      <c r="P88" s="159" t="n"/>
      <c r="Q88" s="104" t="n"/>
      <c r="U88" s="61" t="n"/>
      <c r="W88" s="55" t="n"/>
    </row>
    <row r="89" ht="69" customHeight="1" s="309">
      <c r="C89" s="109" t="n"/>
      <c r="D89" s="354" t="n"/>
      <c r="L89" s="105" t="n"/>
      <c r="M89" s="128" t="n"/>
      <c r="N89" s="153" t="n"/>
      <c r="O89" s="103" t="n"/>
      <c r="P89" s="159" t="n"/>
      <c r="Q89" s="104" t="n"/>
      <c r="U89" s="61" t="n"/>
      <c r="W89" s="55" t="n"/>
    </row>
    <row r="90" ht="69" customHeight="1" s="309" thickBot="1">
      <c r="C90" s="106" t="n"/>
      <c r="D90" s="355" t="n"/>
      <c r="L90" s="112" t="n"/>
      <c r="M90" s="139" t="n"/>
      <c r="N90" s="152" t="n"/>
      <c r="O90" s="107" t="n"/>
      <c r="P90" s="159" t="n"/>
      <c r="Q90" s="108" t="n"/>
      <c r="U90" s="61" t="n"/>
      <c r="W90" s="55" t="n"/>
    </row>
    <row r="91" ht="69" customHeight="1" s="309" thickBot="1">
      <c r="A91" s="304" t="n"/>
      <c r="C91" s="114" t="n"/>
      <c r="D91" s="306" t="n"/>
      <c r="L91" s="115" t="n"/>
      <c r="M91" s="145" t="n"/>
      <c r="N91" s="157" t="n"/>
      <c r="O91" s="158" t="n"/>
      <c r="P91" s="159" t="n"/>
      <c r="Q91" s="116" t="n"/>
      <c r="U91" s="62" t="n"/>
      <c r="W91" s="55" t="n"/>
    </row>
    <row r="92" ht="69" customHeight="1" s="309">
      <c r="A92" s="292" t="n"/>
      <c r="C92" s="109" t="n"/>
      <c r="D92" s="356" t="n"/>
      <c r="L92" s="117" t="n"/>
      <c r="M92" s="139" t="n"/>
      <c r="N92" s="152" t="n"/>
      <c r="O92" s="110" t="n"/>
      <c r="P92" s="159" t="n"/>
      <c r="Q92" s="118" t="n"/>
      <c r="U92" s="61" t="n"/>
      <c r="W92" s="55" t="n"/>
    </row>
    <row r="93" ht="69" customHeight="1" s="309">
      <c r="C93" s="100" t="n"/>
      <c r="D93" s="354" t="n"/>
      <c r="L93" s="119" t="n"/>
      <c r="M93" s="128" t="n"/>
      <c r="N93" s="153" t="n"/>
      <c r="O93" s="110" t="n"/>
      <c r="P93" s="159" t="n"/>
      <c r="Q93" s="120" t="n"/>
      <c r="U93" s="61" t="n"/>
      <c r="W93" s="55" t="n"/>
    </row>
    <row r="94" ht="69" customHeight="1" s="309" thickBot="1">
      <c r="C94" s="100" t="n"/>
      <c r="D94" s="355" t="n"/>
      <c r="L94" s="115" t="n"/>
      <c r="M94" s="139" t="n"/>
      <c r="N94" s="152" t="n"/>
      <c r="O94" s="103" t="n"/>
      <c r="P94" s="159" t="n"/>
      <c r="Q94" s="121" t="n"/>
      <c r="U94" s="61" t="n"/>
      <c r="W94" s="55" t="n"/>
    </row>
    <row r="105" ht="16.5" customHeight="1" s="309"/>
    <row r="106" ht="16.5" customHeight="1" s="309"/>
    <row r="107" ht="16.5" customHeight="1" s="309"/>
    <row r="108" ht="16.5" customHeight="1" s="309"/>
    <row r="109" ht="16.5" customHeight="1" s="309"/>
    <row r="110" ht="16.5" customHeight="1" s="309"/>
    <row r="111" ht="16.5" customHeight="1" s="309"/>
    <row r="112" ht="16.5" customHeight="1" s="309"/>
    <row r="113" ht="16.5" customHeight="1" s="309"/>
    <row r="114" ht="16.5" customHeight="1" s="309"/>
    <row r="115" ht="16.5" customHeight="1" s="309"/>
    <row r="116" ht="16.5" customHeight="1" s="309"/>
    <row r="117" ht="16.5" customHeight="1" s="309"/>
    <row r="118" ht="16.5" customHeight="1" s="309"/>
    <row r="119" ht="16.5" customHeight="1" s="309"/>
    <row r="120" ht="16.5" customHeight="1" s="309"/>
    <row r="121" ht="16.5" customHeight="1" s="309"/>
    <row r="122" ht="16.5" customHeight="1" s="309"/>
    <row r="123" ht="16.5" customHeight="1" s="309"/>
    <row r="124" ht="16.5" customHeight="1" s="309"/>
    <row r="125" ht="16.5" customHeight="1" s="309"/>
    <row r="126" ht="16.5" customHeight="1" s="309"/>
    <row r="127" ht="16.5" customHeight="1" s="309"/>
    <row r="128" ht="16.5" customHeight="1" s="309"/>
    <row r="129" ht="16.5" customHeight="1" s="309"/>
    <row r="130" ht="16.5" customHeight="1" s="309"/>
    <row r="131" ht="16.5" customHeight="1" s="309"/>
    <row r="132" ht="16.5" customHeight="1" s="309"/>
    <row r="133" ht="16.5" customHeight="1" s="309"/>
    <row r="134" ht="16.5" customHeight="1" s="309"/>
    <row r="135" ht="16.5" customHeight="1" s="309"/>
    <row r="136" ht="16.5" customHeight="1" s="309"/>
    <row r="137" ht="16.5" customHeight="1" s="309"/>
    <row r="138" ht="16.5" customHeight="1" s="309"/>
    <row r="139" ht="16.5" customHeight="1" s="309"/>
    <row r="140" ht="16.5" customHeight="1" s="309"/>
    <row r="141" ht="16.5" customHeight="1" s="309"/>
    <row r="142" ht="16.5" customHeight="1" s="309"/>
    <row r="143" ht="16.5" customHeight="1" s="309"/>
    <row r="144" ht="16.5" customHeight="1" s="309"/>
    <row r="145" ht="16.5" customHeight="1" s="309"/>
    <row r="146" ht="16.5" customHeight="1" s="309"/>
    <row r="147" ht="16.5" customHeight="1" s="309"/>
    <row r="148" ht="16.5" customHeight="1" s="309"/>
    <row r="149" ht="16.5" customHeight="1" s="309"/>
    <row r="150" ht="16.5" customHeight="1" s="309"/>
    <row r="151" ht="16.5" customHeight="1" s="309"/>
    <row r="152" ht="16.5" customHeight="1" s="309"/>
    <row r="153" ht="16.5" customHeight="1" s="309"/>
    <row r="154" ht="16.5" customHeight="1" s="309"/>
    <row r="155" ht="16.5" customHeight="1" s="309"/>
    <row r="156" ht="16.5" customHeight="1" s="309"/>
    <row r="157" ht="16.5" customHeight="1" s="309"/>
    <row r="158" ht="16.5" customHeight="1" s="309"/>
    <row r="159" ht="16.5" customHeight="1" s="309"/>
    <row r="160" ht="16.5" customHeight="1" s="309"/>
    <row r="161" ht="16.5" customHeight="1" s="309"/>
    <row r="162" ht="16.5" customHeight="1" s="309"/>
    <row r="163" ht="16.5" customHeight="1" s="309"/>
    <row r="164" ht="16.5" customHeight="1" s="309"/>
    <row r="165" ht="16.5" customHeight="1" s="309"/>
    <row r="166" ht="16.5" customHeight="1" s="309"/>
    <row r="167" ht="16.5" customHeight="1" s="309"/>
  </sheetData>
  <mergeCells count="49">
    <mergeCell ref="D44:K44"/>
    <mergeCell ref="F11:G11"/>
    <mergeCell ref="A28:B30"/>
    <mergeCell ref="A37:B38"/>
    <mergeCell ref="D34:K34"/>
    <mergeCell ref="A18:C18"/>
    <mergeCell ref="C7:F7"/>
    <mergeCell ref="A21:C21"/>
    <mergeCell ref="D16:I16"/>
    <mergeCell ref="D31:K31"/>
    <mergeCell ref="A6:B6"/>
    <mergeCell ref="J11:L11"/>
    <mergeCell ref="D40:K40"/>
    <mergeCell ref="D36:K36"/>
    <mergeCell ref="J16:L16"/>
    <mergeCell ref="F12:G12"/>
    <mergeCell ref="D45:K45"/>
    <mergeCell ref="C27:K27"/>
    <mergeCell ref="A7:B7"/>
    <mergeCell ref="A23:C23"/>
    <mergeCell ref="P6:Q6"/>
    <mergeCell ref="G7:H7"/>
    <mergeCell ref="A22:C22"/>
    <mergeCell ref="C6:F6"/>
    <mergeCell ref="I6:L6"/>
    <mergeCell ref="G6:H6"/>
    <mergeCell ref="A39:B45"/>
    <mergeCell ref="D41:K41"/>
    <mergeCell ref="A27:B27"/>
    <mergeCell ref="J12:L12"/>
    <mergeCell ref="D32:K32"/>
    <mergeCell ref="A20:C20"/>
    <mergeCell ref="A16:C17"/>
    <mergeCell ref="H11:I11"/>
    <mergeCell ref="A19:C19"/>
    <mergeCell ref="D43:K43"/>
    <mergeCell ref="A11:B12"/>
    <mergeCell ref="D28:K28"/>
    <mergeCell ref="I7:L7"/>
    <mergeCell ref="D37:K37"/>
    <mergeCell ref="A31:B36"/>
    <mergeCell ref="H12:I12"/>
    <mergeCell ref="D39:K39"/>
    <mergeCell ref="D30:K30"/>
    <mergeCell ref="D33:K33"/>
    <mergeCell ref="D42:K42"/>
    <mergeCell ref="D38:K38"/>
    <mergeCell ref="D29:K29"/>
    <mergeCell ref="D35:K35"/>
  </mergeCells>
  <conditionalFormatting sqref="C28:C94">
    <cfRule type="cellIs" priority="1" operator="equal" dxfId="5" stopIfTrue="1">
      <formula>"N/A"</formula>
    </cfRule>
    <cfRule type="cellIs" priority="2" operator="equal" dxfId="4" stopIfTrue="1">
      <formula>"N"</formula>
    </cfRule>
  </conditionalFormatting>
  <conditionalFormatting sqref="O28:O94">
    <cfRule type="cellIs" priority="3" operator="equal" dxfId="3">
      <formula>"인터뷰"</formula>
    </cfRule>
    <cfRule type="cellIs" priority="4" operator="equal" dxfId="2" stopIfTrue="1">
      <formula>"취약"</formula>
    </cfRule>
    <cfRule type="cellIs" priority="5" operator="equal" dxfId="1" stopIfTrue="1">
      <formula>"부분만족"</formula>
    </cfRule>
    <cfRule type="cellIs" priority="6" operator="equal" dxfId="0" stopIfTrue="1">
      <formula>"N/A"</formula>
    </cfRule>
  </conditionalFormatting>
  <dataValidations count="4">
    <dataValidation sqref="N65558:N65630 N131094:N131166 N196630:N196702 N262166:N262238 N327702:N327774 N393238:N393310 N458774:N458846 N524310:N524382 N589846:N589918 N655382:N655454 N720918:N720990 N786454:N786526 N851990:N852062 N917526:N917598 N983062:N983134" showDropDown="0" showInputMessage="1" showErrorMessage="1" allowBlank="0" errorTitle="잘못된 입력값" error="&quot;Y&quot;, &quot;N&quot;, &quot;P&quot;, &quot;N/A&quot; 로 입력해 주세요." type="list">
      <formula1>"양호,취약,부분만족,N/A"</formula1>
    </dataValidation>
    <dataValidation sqref="O65558:O65630 O131094:O131166 O196630:O196702 O262166:O262238 O327702:O327774 O393238:O393310 O458774:O458846 O524310:O524382 O589846:O589918 O655382:O655454 O720918:O720990 O786454:O786526 O851990:O852062 O917526:O917598 O983062:O983134" showDropDown="0" showInputMessage="1" showErrorMessage="1" allowBlank="1" errorTitle="잘못된 입력값" error="&quot;Y&quot;, &quot;N&quot;, &quot;P&quot;, &quot;N/A&quot; 로 입력해 주세요."/>
    <dataValidation sqref="N28:N94" showDropDown="0" showInputMessage="1" showErrorMessage="1" allowBlank="0" errorTitle="잘못된 입력값" error="&quot;Y&quot;, &quot;N&quot;, &quot;P&quot;, &quot;N/A&quot; 로 입력해 주세요."/>
    <dataValidation sqref="O28:O94" showDropDown="0" showInputMessage="1" showErrorMessage="1" allowBlank="0" errorTitle="잘못된 입력값" error="양호, 취약, 부분만족, N/A 만 입력 가능합니다." type="list">
      <formula1>"양호,취약,부분만족,N/A,인터뷰"</formula1>
    </dataValidation>
  </dataValidations>
  <printOptions horizontalCentered="1"/>
  <pageMargins left="0.3937007874015748" right="0.3937007874015748" top="0.5905511811023623" bottom="0.5905511811023623" header="0.1968503937007874" footer="0.1968503937007874"/>
  <pageSetup orientation="portrait" paperSize="9" scale="45" fitToHeight="0"/>
  <rowBreaks count="1" manualBreakCount="1">
    <brk id="63" min="0" max="16383" man="1"/>
  </rowBreaks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8">
    <tabColor rgb="FFFFC000"/>
    <outlinePr summaryBelow="1" summaryRight="1"/>
    <pageSetUpPr/>
  </sheetPr>
  <dimension ref="A1:E78"/>
  <sheetViews>
    <sheetView view="pageBreakPreview" zoomScale="85" zoomScaleNormal="55" zoomScaleSheetLayoutView="85" workbookViewId="0">
      <pane ySplit="1" topLeftCell="A14" activePane="bottomLeft" state="frozen"/>
      <selection pane="bottomLeft" activeCell="D18" sqref="D18"/>
    </sheetView>
  </sheetViews>
  <sheetFormatPr baseColWidth="8" defaultColWidth="8.625" defaultRowHeight="13.5"/>
  <cols>
    <col width="8.625" customWidth="1" style="92" min="1" max="1"/>
    <col width="63.5" customWidth="1" style="2" min="2" max="2"/>
    <col width="46" customWidth="1" style="2" min="3" max="3"/>
    <col width="46" customWidth="1" style="59" min="4" max="4"/>
    <col width="52.25" customWidth="1" style="97" min="5" max="5"/>
    <col width="5.5" customWidth="1" style="2" min="6" max="6"/>
    <col width="8.625" customWidth="1" style="2" min="7" max="16384"/>
  </cols>
  <sheetData>
    <row r="1" ht="31.5" customHeight="1" s="309">
      <c r="A1" s="0" t="inlineStr">
        <is>
          <t>코드</t>
        </is>
      </c>
      <c r="B1" s="57" t="inlineStr">
        <is>
          <t>점검 항목</t>
        </is>
      </c>
      <c r="C1" s="57" t="inlineStr">
        <is>
          <t>양호</t>
        </is>
      </c>
      <c r="D1" s="58" t="inlineStr">
        <is>
          <t>취약</t>
        </is>
      </c>
      <c r="E1" s="58" t="inlineStr">
        <is>
          <t>N/A</t>
        </is>
      </c>
    </row>
    <row r="2" ht="90" customHeight="1" s="309">
      <c r="A2" s="359" t="inlineStr">
        <is>
          <t>PC-01</t>
        </is>
      </c>
      <c r="B2" s="359" t="inlineStr">
        <is>
          <t>비밀번호의 주기적 변경</t>
        </is>
      </c>
      <c r="C2" s="94" t="inlineStr">
        <is>
          <t xml:space="preserve">■ 기준 : 최대 암호 사용 기간이 90일 이하로 설정된 경우 "양호"
■ 현황 : </t>
        </is>
      </c>
      <c r="D2" s="94" t="inlineStr">
        <is>
          <t xml:space="preserve">■ 기준 : 최대 암호 사용 기간이 90일을 초과하거나 무제한으로 설정된 경우 "취약"
■ 현황 : </t>
        </is>
      </c>
      <c r="E2" s="94" t="inlineStr">
        <is>
          <t xml:space="preserve">■ 기준 : 해당 항목 점검 대상 아님
■ 현황 : </t>
        </is>
      </c>
    </row>
    <row r="3" ht="90" customHeight="1" s="309">
      <c r="A3" s="359" t="inlineStr">
        <is>
          <t>PC-02</t>
        </is>
      </c>
      <c r="B3" s="359" t="inlineStr">
        <is>
          <t>비밀번호 관리정책 설정</t>
        </is>
      </c>
      <c r="C3" s="94" t="inlineStr">
        <is>
          <t xml:space="preserve">■ 기준 : 최소 암호 길이가 8자 이상이고 암호 복잡성이 설정된 경우 "양호"
■ 현황 : </t>
        </is>
      </c>
      <c r="D3" s="94" t="inlineStr">
        <is>
          <t xml:space="preserve">■ 기준 : 최소 암호 길이가 8자 미만이거나 암호 복잡성이 설정되지 않은 경우 "취약"
■ 현황 : </t>
        </is>
      </c>
      <c r="E3" s="94" t="inlineStr">
        <is>
          <t xml:space="preserve">■ 기준 : 해당 항목 점검 대상 아님
■ 현황 : </t>
        </is>
      </c>
    </row>
    <row r="4" ht="90" customHeight="1" s="309">
      <c r="A4" s="359" t="inlineStr">
        <is>
          <t>PC-03</t>
        </is>
      </c>
      <c r="B4" s="359" t="inlineStr">
        <is>
          <t>복구 콘솔에서 자동 로그온을 금지하도록 설정</t>
        </is>
      </c>
      <c r="C4" s="94" t="inlineStr">
        <is>
          <t xml:space="preserve">■ 기준 : 복구 콘솔 자동 로그온이 사용 안 함으로 설정된 경우 "양호"
■ 현황 : </t>
        </is>
      </c>
      <c r="D4" s="94" t="inlineStr">
        <is>
          <t xml:space="preserve">■ 기준 : 복구 콘솔 자동 로그온이 허용된 경우 "취약"
■ 현황 : </t>
        </is>
      </c>
      <c r="E4" s="94" t="inlineStr">
        <is>
          <t xml:space="preserve">■ 기준 : 해당 항목 점검 대상 아님
■ 현황 : </t>
        </is>
      </c>
    </row>
    <row r="5" ht="90" customHeight="1" s="309">
      <c r="A5" s="359" t="inlineStr">
        <is>
          <t>PC-04</t>
        </is>
      </c>
      <c r="B5" s="359" t="inlineStr">
        <is>
          <t>공유 폴더 제거</t>
        </is>
      </c>
      <c r="C5" s="94" t="inlineStr">
        <is>
          <t xml:space="preserve">■ 기준 : 기본 공유 및 불필요한 공유 폴더가 존재하지 않는 경우 "양호"
■ 현황 : </t>
        </is>
      </c>
      <c r="D5" s="94" t="inlineStr">
        <is>
          <t xml:space="preserve">■ 기준 : 기본 공유 폴더(C$, ADMIN$ 등) 또는 불필요한 공유가 존재하는 경우 "취약"
■ 현황 : </t>
        </is>
      </c>
      <c r="E5" s="94" t="inlineStr">
        <is>
          <t xml:space="preserve">■ 기준 : 해당 항목 점검 대상 아님
■ 현황 : </t>
        </is>
      </c>
    </row>
    <row r="6" ht="90" customHeight="1" s="309">
      <c r="A6" s="359" t="inlineStr">
        <is>
          <t>PC-05</t>
        </is>
      </c>
      <c r="B6" s="359" t="inlineStr">
        <is>
          <t>불필요한 서비스 제거</t>
        </is>
      </c>
      <c r="C6" s="94" t="inlineStr">
        <is>
          <t xml:space="preserve">■ 기준 : 불필요한 서비스가 사용 안 함으로 설정된 경우 "양호"
■ 현황 : </t>
        </is>
      </c>
      <c r="D6" s="94" t="inlineStr">
        <is>
          <t xml:space="preserve">■ 기준 : 불필요한 서비스가 자동 시작으로 설정된 경우 "취약"
■ 현황 : </t>
        </is>
      </c>
      <c r="E6" s="94" t="inlineStr">
        <is>
          <t xml:space="preserve">■ 기준 : 해당 항목 점검 대상 아님
■ 현황 : </t>
        </is>
      </c>
    </row>
    <row r="7" ht="90" customHeight="1" s="309">
      <c r="A7" s="359" t="inlineStr">
        <is>
          <t>PC-06</t>
        </is>
      </c>
      <c r="B7" s="359" t="inlineStr">
        <is>
          <t>비인가 상용 메신저 사용 금지</t>
        </is>
      </c>
      <c r="C7" s="94" t="inlineStr">
        <is>
          <t xml:space="preserve">■ 기준 : 비인가 상용 메신저가 설치되지 않은 경우 "양호"
■ 현황 : </t>
        </is>
      </c>
      <c r="D7" s="94" t="inlineStr">
        <is>
          <t xml:space="preserve">■ 기준 : 비인가 상용 메신저가 설치되어 있는 경우 "취약"
■ 현황 : </t>
        </is>
      </c>
      <c r="E7" s="94" t="inlineStr">
        <is>
          <t xml:space="preserve">■ 기준 : 해당 항목 점검 대상 아님
■ 현황 : </t>
        </is>
      </c>
    </row>
    <row r="8" ht="90" customHeight="1" s="309">
      <c r="A8" s="359" t="inlineStr">
        <is>
          <t>PC-07</t>
        </is>
      </c>
      <c r="B8" s="359" t="inlineStr">
        <is>
          <t>파일 시스템이 NTFS 포맷으로 설정</t>
        </is>
      </c>
      <c r="C8" s="94" t="inlineStr">
        <is>
          <t xml:space="preserve">■ 기준 : 모든 고정 드라이브의 파일 시스템이 NTFS로 설정된 경우 "양호"
■ 현황 : </t>
        </is>
      </c>
      <c r="D8" s="94" t="inlineStr">
        <is>
          <t xml:space="preserve">■ 기준 : NTFS가 아닌 파일 시스템(FAT32 등)이 존재하는 경우 "취약"
■ 현황 : </t>
        </is>
      </c>
      <c r="E8" s="94" t="inlineStr">
        <is>
          <t xml:space="preserve">■ 기준 : 해당 항목 점검 대상 아님
■ 현황 : </t>
        </is>
      </c>
    </row>
    <row r="9" ht="90" customHeight="1" s="309">
      <c r="A9" s="359" t="inlineStr">
        <is>
          <t>PC-08</t>
        </is>
      </c>
      <c r="B9" s="359" t="inlineStr">
        <is>
          <t>PC 내 하나의 OS만 설치(멀티 부팅 미사용)</t>
        </is>
      </c>
      <c r="C9" s="94" t="inlineStr">
        <is>
          <t xml:space="preserve">■ 기준 : PC 내 하나의 OS만 설치된 경우 "양호"
■ 현황 : </t>
        </is>
      </c>
      <c r="D9" s="94" t="inlineStr">
        <is>
          <t xml:space="preserve">■ 기준 : 멀티 부팅이 설정되어 있는 경우 "취약"
■ 현황 : </t>
        </is>
      </c>
      <c r="E9" s="94" t="inlineStr">
        <is>
          <t xml:space="preserve">■ 기준 : 해당 항목 점검 대상 아님
■ 현황 : </t>
        </is>
      </c>
    </row>
    <row r="10" ht="90" customHeight="1" s="309">
      <c r="A10" s="359" t="inlineStr">
        <is>
          <t>PC-09</t>
        </is>
      </c>
      <c r="B10" s="359" t="inlineStr">
        <is>
          <t>브라우저 종료 시 임시 인터넷 파일 폴더의 내용을 삭제하도록 설정</t>
        </is>
      </c>
      <c r="C10" s="94" t="inlineStr">
        <is>
          <t xml:space="preserve">■ 기준 : 브라우저 종료 시 임시 인터넷 파일 폴더를 비우도록 설정된 경우 "양호"
■ 현황 : </t>
        </is>
      </c>
      <c r="D10" s="94" t="inlineStr">
        <is>
          <t xml:space="preserve">■ 기준 : 브라우저 종료 시 임시 인터넷 파일 폴더 비우기가 미사용인 경우 "취약"
■ 현황 : </t>
        </is>
      </c>
      <c r="E10" s="94" t="inlineStr">
        <is>
          <t xml:space="preserve">■ 기준 : 해당 항목 점검 대상 아님
■ 현황 : </t>
        </is>
      </c>
    </row>
    <row r="11" ht="90" customHeight="1" s="309">
      <c r="A11" s="359" t="inlineStr">
        <is>
          <t>PC-10</t>
        </is>
      </c>
      <c r="B11" s="360" t="inlineStr">
        <is>
          <t>주기적 보안 패치 및 벤더 권고사항 적용</t>
        </is>
      </c>
      <c r="C11" s="94" t="inlineStr">
        <is>
          <t xml:space="preserve">■ 기준 : HOT FIX가 설치되어 있고 자동 업데이트가 비활성화되지 않은 경우 "양호"
■ 현황 : </t>
        </is>
      </c>
      <c r="D11" s="94" t="inlineStr">
        <is>
          <t xml:space="preserve">■ 기준 : HOT FIX가 없거나 자동 업데이트가 비활성화된 경우 "취약"
■ 현황 : </t>
        </is>
      </c>
      <c r="E11" s="94" t="inlineStr">
        <is>
          <t xml:space="preserve">■ 기준 : 해당 항목 점검 대상 아님
■ 현황 : </t>
        </is>
      </c>
    </row>
    <row r="12" ht="90" customHeight="1" s="309">
      <c r="A12" s="359" t="inlineStr">
        <is>
          <t>PC-11</t>
        </is>
      </c>
      <c r="B12" s="360" t="inlineStr">
        <is>
          <t>지원이 종료되지 않은 Windows OS Build 적용</t>
        </is>
      </c>
      <c r="C12" s="94" t="inlineStr">
        <is>
          <t xml:space="preserve">■ 기준 : 지원이 종료되지 않은 Windows OS Build를 사용하는 경우 "양호"
■ 현황 : </t>
        </is>
      </c>
      <c r="D12" s="94" t="inlineStr">
        <is>
          <t xml:space="preserve">■ 기준 : 지원이 종료된 Windows OS Build를 사용하는 경우 "취약"
■ 현황 : </t>
        </is>
      </c>
      <c r="E12" s="94" t="inlineStr">
        <is>
          <t xml:space="preserve">■ 기준 : 해당 항목 점검 대상 아님
■ 현황 : </t>
        </is>
      </c>
    </row>
    <row r="13" ht="90" customHeight="1" s="309">
      <c r="A13" s="359" t="inlineStr">
        <is>
          <t>PC-12</t>
        </is>
      </c>
      <c r="B13" s="95" t="inlineStr">
        <is>
          <t>Windows 자동 로그인 점검</t>
        </is>
      </c>
      <c r="C13" s="94" t="inlineStr">
        <is>
          <t xml:space="preserve">■ 기준 : AutoAdminLogon이 비활성화되어 있거나 설정되지 않은 경우 "양호"
■ 현황 : </t>
        </is>
      </c>
      <c r="D13" s="94" t="inlineStr">
        <is>
          <t xml:space="preserve">■ 기준 : Windows 자동 로그온이 활성화된 경우 "취약"
■ 현황 : </t>
        </is>
      </c>
      <c r="E13" s="94" t="inlineStr">
        <is>
          <t xml:space="preserve">■ 기준 : 해당 항목 점검 대상 아님
■ 현황 : </t>
        </is>
      </c>
    </row>
    <row r="14" ht="90" customHeight="1" s="309">
      <c r="A14" s="359" t="inlineStr">
        <is>
          <t>PC-13</t>
        </is>
      </c>
      <c r="B14" s="359" t="inlineStr">
        <is>
          <t>바이러스 백신 프로그램 설치 및 주기적 업데이트</t>
        </is>
      </c>
      <c r="C14" s="94" t="inlineStr">
        <is>
          <t xml:space="preserve">■ 기준 : 바이러스 백신 프로그램이 설치되어 있는 경우 "양호"
■ 현황 : </t>
        </is>
      </c>
      <c r="D14" s="94" t="inlineStr">
        <is>
          <t xml:space="preserve">■ 기준 : 바이러스 백신 프로그램이 설치되어 있지 않은 경우 "취약"
■ 현황 : </t>
        </is>
      </c>
      <c r="E14" s="94" t="inlineStr">
        <is>
          <t xml:space="preserve">■ 기준 : 해당 항목 점검 대상 아님
■ 현황 : </t>
        </is>
      </c>
    </row>
    <row r="15" ht="90" customHeight="1" s="309">
      <c r="A15" s="359" t="inlineStr">
        <is>
          <t>PC-14</t>
        </is>
      </c>
      <c r="B15" s="359" t="inlineStr">
        <is>
          <t>바이러스 백신 프로그램에서 제공하는 실시간 감시 기능 활성화</t>
        </is>
      </c>
      <c r="C15" s="94" t="inlineStr">
        <is>
          <t xml:space="preserve">■ 기준 : 실시간 감시 기능이 활성화된 경우 "양호"
■ 현황 : </t>
        </is>
      </c>
      <c r="D15" s="94" t="inlineStr">
        <is>
          <t xml:space="preserve">■ 기준 : 실시간 감시 기능이 비활성화된 경우 "취약"
■ 현황 : </t>
        </is>
      </c>
      <c r="E15" s="94" t="inlineStr">
        <is>
          <t xml:space="preserve">■ 기준 : 해당 항목 점검 대상 아님
■ 현황 : </t>
        </is>
      </c>
    </row>
    <row r="16" ht="90" customHeight="1" s="309">
      <c r="A16" s="359" t="inlineStr">
        <is>
          <t>PC-15</t>
        </is>
      </c>
      <c r="B16" s="359" t="inlineStr">
        <is>
          <t>OS에서 제공하는 침입차단 기능 활성화</t>
        </is>
      </c>
      <c r="C16" s="94" t="inlineStr">
        <is>
          <t xml:space="preserve">■ 기준 : Windows 방화벽이 사용으로 설정된 경우 "양호"
■ 현황 : </t>
        </is>
      </c>
      <c r="D16" s="94" t="inlineStr">
        <is>
          <t xml:space="preserve">■ 기준 : Windows 방화벽이 사용 안 함으로 설정된 경우 "취약"
■ 현황 : </t>
        </is>
      </c>
      <c r="E16" s="94" t="inlineStr">
        <is>
          <t xml:space="preserve">■ 기준 : 해당 항목 점검 대상 아님
■ 현황 : </t>
        </is>
      </c>
    </row>
    <row r="17" ht="90" customHeight="1" s="309">
      <c r="A17" s="359" t="inlineStr">
        <is>
          <t>PC-16</t>
        </is>
      </c>
      <c r="B17" s="359" t="inlineStr">
        <is>
          <t>화면보호기 대기 시간 설정 및 재시작 시 암호 보호 설정</t>
        </is>
      </c>
      <c r="C17" s="94" t="inlineStr">
        <is>
          <t xml:space="preserve">■ 기준 : 화면보호기 암호 보호가 설정되고 대기 시간이 10분 이하인 경우 "양호"
■ 현황 : </t>
        </is>
      </c>
      <c r="D17" s="94" t="inlineStr">
        <is>
          <t xml:space="preserve">■ 기준 : 화면보호기 암호 보호가 없거나 대기 시간이 10분을 초과하는 경우 "취약"
■ 현황 : </t>
        </is>
      </c>
      <c r="E17" s="94" t="inlineStr">
        <is>
          <t xml:space="preserve">■ 기준 : 해당 항목 점검 대상 아님
■ 현황 : </t>
        </is>
      </c>
    </row>
    <row r="18" ht="90" customHeight="1" s="309">
      <c r="A18" s="359" t="inlineStr">
        <is>
          <t>PC-17</t>
        </is>
      </c>
      <c r="B18" s="359" t="inlineStr">
        <is>
          <t>CD, DVD, USB 메모리 등 이동식 미디어의 자동 실행 방지</t>
        </is>
      </c>
      <c r="C18" s="94" t="inlineStr">
        <is>
          <t xml:space="preserve">■ 기준 : 이동식 미디어 자동 실행이 방지된 경우 "양호"
■ 현황 : </t>
        </is>
      </c>
      <c r="D18" s="94" t="inlineStr">
        <is>
          <t xml:space="preserve">■ 기준 : 이동식 미디어 자동 실행 방지가 설정되지 않은 경우 "취약"
■ 현황 : </t>
        </is>
      </c>
      <c r="E18" s="94" t="inlineStr">
        <is>
          <t xml:space="preserve">■ 기준 : 해당 항목 점검 대상 아님
■ 현황 : </t>
        </is>
      </c>
    </row>
    <row r="19" ht="90" customHeight="1" s="309">
      <c r="A19" s="359" t="inlineStr">
        <is>
          <t>PC-18</t>
        </is>
      </c>
      <c r="B19" s="359" t="inlineStr">
        <is>
          <t>원격 지원을 금지하도록 정책이 설정</t>
        </is>
      </c>
      <c r="C19" s="94" t="inlineStr">
        <is>
          <t xml:space="preserve">■ 기준 : 원격 지원이 사용 안 함으로 설정된 경우 "양호"
■ 현황 : </t>
        </is>
      </c>
      <c r="D19" s="94" t="inlineStr">
        <is>
          <t xml:space="preserve">■ 기준 : 원격 지원이 허용된 경우 "취약"
■ 현황 : </t>
        </is>
      </c>
      <c r="E19" s="94" t="inlineStr">
        <is>
          <t xml:space="preserve">■ 기준 : 해당 항목 점검 대상 아님
■ 현황 : </t>
        </is>
      </c>
    </row>
    <row r="20" ht="90" customHeight="1" s="309">
      <c r="A20" s="93" t="n"/>
      <c r="B20" s="85" t="n"/>
      <c r="C20" s="94" t="n"/>
      <c r="D20" s="94" t="n"/>
      <c r="E20" s="94" t="n"/>
    </row>
    <row r="21" ht="90" customHeight="1" s="309">
      <c r="A21" s="93" t="n"/>
      <c r="B21" s="85" t="n"/>
      <c r="C21" s="94" t="n"/>
      <c r="D21" s="94" t="n"/>
      <c r="E21" s="94" t="n"/>
    </row>
    <row r="22" ht="90" customHeight="1" s="309">
      <c r="A22" s="93" t="n"/>
      <c r="B22" s="85" t="n"/>
      <c r="C22" s="94" t="n"/>
      <c r="D22" s="94" t="n"/>
      <c r="E22" s="94" t="n"/>
    </row>
    <row r="23" ht="90" customHeight="1" s="309">
      <c r="A23" s="93" t="n"/>
      <c r="B23" s="85" t="n"/>
      <c r="C23" s="94" t="n"/>
      <c r="D23" s="94" t="n"/>
      <c r="E23" s="94" t="n"/>
    </row>
    <row r="24" ht="90" customHeight="1" s="309">
      <c r="A24" s="93" t="n"/>
      <c r="B24" s="85" t="n"/>
      <c r="C24" s="94" t="n"/>
      <c r="D24" s="94" t="n"/>
      <c r="E24" s="94" t="n"/>
    </row>
    <row r="25" ht="90" customHeight="1" s="309">
      <c r="A25" s="93" t="n"/>
      <c r="B25" s="85" t="n"/>
      <c r="C25" s="94" t="n"/>
      <c r="D25" s="94" t="n"/>
      <c r="E25" s="94" t="n"/>
    </row>
    <row r="26" ht="90" customHeight="1" s="309">
      <c r="A26" s="93" t="n"/>
      <c r="B26" s="85" t="n"/>
      <c r="C26" s="94" t="n"/>
      <c r="D26" s="94" t="n"/>
      <c r="E26" s="94" t="n"/>
    </row>
    <row r="27" ht="90" customHeight="1" s="309">
      <c r="A27" s="93" t="n"/>
      <c r="B27" s="85" t="n"/>
      <c r="C27" s="94" t="n"/>
      <c r="D27" s="94" t="n"/>
      <c r="E27" s="94" t="n"/>
    </row>
    <row r="28" ht="90" customHeight="1" s="309">
      <c r="A28" s="93" t="n"/>
      <c r="B28" s="85" t="n"/>
      <c r="C28" s="94" t="n"/>
      <c r="D28" s="94" t="n"/>
      <c r="E28" s="94" t="n"/>
    </row>
    <row r="29" ht="90" customHeight="1" s="309">
      <c r="A29" s="93" t="n"/>
      <c r="B29" s="85" t="n"/>
      <c r="C29" s="94" t="n"/>
      <c r="D29" s="94" t="n"/>
      <c r="E29" s="94" t="n"/>
    </row>
    <row r="30" ht="90" customHeight="1" s="309">
      <c r="A30" s="93" t="n"/>
      <c r="B30" s="85" t="n"/>
      <c r="C30" s="94" t="n"/>
      <c r="D30" s="94" t="n"/>
      <c r="E30" s="94" t="n"/>
    </row>
    <row r="31" ht="90" customHeight="1" s="309">
      <c r="A31" s="93" t="n"/>
      <c r="B31" s="85" t="n"/>
      <c r="C31" s="94" t="n"/>
      <c r="D31" s="94" t="n"/>
      <c r="E31" s="94" t="n"/>
    </row>
    <row r="32" ht="90" customHeight="1" s="309">
      <c r="A32" s="93" t="n"/>
      <c r="B32" s="85" t="n"/>
      <c r="C32" s="94" t="n"/>
      <c r="D32" s="94" t="n"/>
      <c r="E32" s="94" t="n"/>
    </row>
    <row r="33" ht="90" customHeight="1" s="309">
      <c r="A33" s="93" t="n"/>
      <c r="B33" s="85" t="n"/>
      <c r="C33" s="94" t="n"/>
      <c r="D33" s="94" t="n"/>
      <c r="E33" s="95" t="n"/>
    </row>
    <row r="34" ht="90" customHeight="1" s="309">
      <c r="A34" s="93" t="n"/>
      <c r="B34" s="85" t="n"/>
      <c r="C34" s="94" t="n"/>
      <c r="D34" s="94" t="n"/>
      <c r="E34" s="95" t="n"/>
    </row>
    <row r="35" ht="90" customHeight="1" s="309">
      <c r="A35" s="93" t="n"/>
      <c r="B35" s="88" t="n"/>
      <c r="C35" s="94" t="n"/>
      <c r="D35" s="94" t="n"/>
      <c r="E35" s="95" t="n"/>
    </row>
    <row r="36" ht="90" customHeight="1" s="309">
      <c r="A36" s="93" t="n"/>
      <c r="B36" s="89" t="n"/>
      <c r="C36" s="94" t="n"/>
      <c r="D36" s="94" t="n"/>
      <c r="E36" s="95" t="n"/>
    </row>
    <row r="37" ht="90" customHeight="1" s="309">
      <c r="A37" s="93" t="n"/>
      <c r="B37" s="89" t="n"/>
      <c r="C37" s="94" t="n"/>
      <c r="D37" s="94" t="n"/>
      <c r="E37" s="95" t="n"/>
    </row>
    <row r="38" ht="90" customHeight="1" s="309">
      <c r="A38" s="93" t="n"/>
      <c r="B38" s="89" t="n"/>
      <c r="C38" s="94" t="n"/>
      <c r="D38" s="94" t="n"/>
      <c r="E38" s="95" t="n"/>
    </row>
    <row r="39" ht="90" customHeight="1" s="309">
      <c r="A39" s="93" t="n"/>
      <c r="B39" s="89" t="n"/>
      <c r="C39" s="94" t="n"/>
      <c r="D39" s="94" t="n"/>
      <c r="E39" s="95" t="n"/>
    </row>
    <row r="40" ht="90" customHeight="1" s="309">
      <c r="A40" s="93" t="n"/>
      <c r="B40" s="89" t="n"/>
      <c r="C40" s="94" t="n"/>
      <c r="D40" s="94" t="n"/>
      <c r="E40" s="95" t="n"/>
    </row>
    <row r="41" ht="90" customHeight="1" s="309">
      <c r="A41" s="93" t="n"/>
      <c r="B41" s="89" t="n"/>
      <c r="C41" s="94" t="n"/>
      <c r="D41" s="94" t="n"/>
      <c r="E41" s="95" t="n"/>
    </row>
    <row r="42" ht="90" customHeight="1" s="309">
      <c r="A42" s="93" t="n"/>
      <c r="B42" s="89" t="n"/>
      <c r="C42" s="94" t="n"/>
      <c r="D42" s="94" t="n"/>
      <c r="E42" s="94" t="n"/>
    </row>
    <row r="43" ht="90" customHeight="1" s="309">
      <c r="A43" s="93" t="n"/>
      <c r="B43" s="89" t="n"/>
      <c r="C43" s="94" t="n"/>
      <c r="D43" s="94" t="n"/>
      <c r="E43" s="94" t="n"/>
    </row>
    <row r="44" ht="90" customHeight="1" s="309">
      <c r="A44" s="93" t="n"/>
      <c r="B44" s="89" t="n"/>
      <c r="C44" s="94" t="n"/>
      <c r="D44" s="94" t="n"/>
      <c r="E44" s="94" t="n"/>
    </row>
    <row r="45" ht="90" customHeight="1" s="309">
      <c r="A45" s="93" t="n"/>
      <c r="B45" s="89" t="n"/>
      <c r="C45" s="94" t="n"/>
      <c r="D45" s="94" t="n"/>
      <c r="E45" s="94" t="n"/>
    </row>
    <row r="46" ht="90" customHeight="1" s="309">
      <c r="A46" s="93" t="n"/>
      <c r="B46" s="89" t="n"/>
      <c r="C46" s="94" t="n"/>
      <c r="D46" s="94" t="n"/>
      <c r="E46" s="94" t="n"/>
    </row>
    <row r="47" ht="90" customHeight="1" s="309">
      <c r="A47" s="93" t="n"/>
      <c r="B47" s="89" t="n"/>
      <c r="C47" s="94" t="n"/>
      <c r="D47" s="94" t="n"/>
      <c r="E47" s="94" t="n"/>
    </row>
    <row r="48" ht="90" customHeight="1" s="309">
      <c r="A48" s="93" t="n"/>
      <c r="B48" s="89" t="n"/>
      <c r="C48" s="94" t="n"/>
      <c r="D48" s="94" t="n"/>
      <c r="E48" s="94" t="n"/>
    </row>
    <row r="49" ht="90" customHeight="1" s="309">
      <c r="A49" s="93" t="n"/>
      <c r="B49" s="89" t="n"/>
      <c r="C49" s="94" t="n"/>
      <c r="D49" s="94" t="n"/>
      <c r="E49" s="94" t="n"/>
    </row>
    <row r="50" ht="90" customHeight="1" s="309">
      <c r="A50" s="93" t="n"/>
      <c r="B50" s="89" t="n"/>
      <c r="C50" s="94" t="n"/>
      <c r="D50" s="94" t="n"/>
      <c r="E50" s="94" t="n"/>
    </row>
    <row r="51" ht="90" customHeight="1" s="309">
      <c r="A51" s="93" t="n"/>
      <c r="B51" s="89" t="n"/>
      <c r="C51" s="94" t="n"/>
      <c r="D51" s="94" t="n"/>
      <c r="E51" s="94" t="n"/>
    </row>
    <row r="52" ht="90" customHeight="1" s="309">
      <c r="A52" s="93" t="n"/>
      <c r="B52" s="89" t="n"/>
      <c r="C52" s="94" t="n"/>
      <c r="D52" s="94" t="n"/>
      <c r="E52" s="94" t="n"/>
    </row>
    <row r="53" ht="90" customHeight="1" s="309">
      <c r="A53" s="93" t="n"/>
      <c r="B53" s="89" t="n"/>
      <c r="C53" s="94" t="n"/>
      <c r="D53" s="94" t="n"/>
      <c r="E53" s="94" t="n"/>
    </row>
    <row r="54" ht="90" customHeight="1" s="309">
      <c r="A54" s="93" t="n"/>
      <c r="B54" s="89" t="n"/>
      <c r="C54" s="94" t="n"/>
      <c r="D54" s="94" t="n"/>
      <c r="E54" s="94" t="n"/>
    </row>
    <row r="55" ht="90" customHeight="1" s="309">
      <c r="A55" s="93" t="n"/>
      <c r="B55" s="89" t="n"/>
      <c r="C55" s="94" t="n"/>
      <c r="D55" s="94" t="n"/>
      <c r="E55" s="94" t="n"/>
    </row>
    <row r="56" ht="90" customHeight="1" s="309">
      <c r="A56" s="93" t="n"/>
      <c r="B56" s="89" t="n"/>
      <c r="C56" s="94" t="n"/>
      <c r="D56" s="94" t="n"/>
      <c r="E56" s="94" t="n"/>
    </row>
    <row r="57" ht="90" customHeight="1" s="309">
      <c r="A57" s="93" t="n"/>
      <c r="B57" s="89" t="n"/>
      <c r="C57" s="94" t="n"/>
      <c r="D57" s="94" t="n"/>
      <c r="E57" s="94" t="n"/>
    </row>
    <row r="58" ht="90" customHeight="1" s="309">
      <c r="A58" s="93" t="n"/>
      <c r="B58" s="89" t="n"/>
      <c r="C58" s="94" t="n"/>
      <c r="D58" s="94" t="n"/>
      <c r="E58" s="94" t="n"/>
    </row>
    <row r="59" ht="90" customHeight="1" s="309">
      <c r="A59" s="93" t="n"/>
      <c r="B59" s="89" t="n"/>
      <c r="C59" s="94" t="n"/>
      <c r="D59" s="94" t="n"/>
      <c r="E59" s="94" t="n"/>
    </row>
    <row r="60" ht="90" customHeight="1" s="309">
      <c r="A60" s="93" t="n"/>
      <c r="B60" s="89" t="n"/>
      <c r="C60" s="94" t="n"/>
      <c r="D60" s="94" t="n"/>
      <c r="E60" s="94" t="n"/>
    </row>
    <row r="61" ht="90" customHeight="1" s="309">
      <c r="A61" s="93" t="n"/>
      <c r="B61" s="89" t="n"/>
      <c r="C61" s="94" t="n"/>
      <c r="D61" s="94" t="n"/>
      <c r="E61" s="94" t="n"/>
    </row>
    <row r="62" ht="90" customHeight="1" s="309">
      <c r="A62" s="93" t="n"/>
      <c r="B62" s="89" t="n"/>
      <c r="C62" s="94" t="n"/>
      <c r="D62" s="94" t="n"/>
      <c r="E62" s="94" t="n"/>
    </row>
    <row r="63" ht="90" customHeight="1" s="309">
      <c r="A63" s="93" t="n"/>
      <c r="B63" s="89" t="n"/>
      <c r="C63" s="94" t="n"/>
      <c r="D63" s="94" t="n"/>
      <c r="E63" s="94" t="n"/>
    </row>
    <row r="64" ht="90" customHeight="1" s="309">
      <c r="A64" s="93" t="n"/>
      <c r="B64" s="89" t="n"/>
      <c r="C64" s="94" t="n"/>
      <c r="D64" s="94" t="n"/>
      <c r="E64" s="94" t="n"/>
    </row>
    <row r="65" ht="90" customHeight="1" s="309">
      <c r="A65" s="93" t="n"/>
      <c r="B65" s="90" t="n"/>
      <c r="C65" s="94" t="n"/>
      <c r="D65" s="94" t="n"/>
      <c r="E65" s="94" t="n"/>
    </row>
    <row r="66" ht="90" customHeight="1" s="309">
      <c r="A66" s="93" t="n"/>
      <c r="B66" s="88" t="n"/>
      <c r="C66" s="94" t="n"/>
      <c r="D66" s="94" t="n"/>
      <c r="E66" s="94" t="n"/>
    </row>
    <row r="67" ht="90" customHeight="1" s="309">
      <c r="A67" s="93" t="n"/>
      <c r="B67" s="89" t="n"/>
      <c r="C67" s="94" t="n"/>
      <c r="D67" s="94" t="n"/>
      <c r="E67" s="94" t="n"/>
    </row>
    <row r="68" ht="90" customHeight="1" s="309" thickBot="1">
      <c r="A68" s="98" t="n"/>
      <c r="B68" s="91" t="n"/>
      <c r="C68" s="99" t="n"/>
      <c r="D68" s="99" t="n"/>
      <c r="E68" s="99" t="n"/>
    </row>
    <row r="69">
      <c r="D69" s="2" t="n"/>
      <c r="E69" s="96" t="n"/>
    </row>
    <row r="70">
      <c r="D70" s="2" t="n"/>
      <c r="E70" s="96" t="n"/>
    </row>
    <row r="71">
      <c r="D71" s="2" t="n"/>
      <c r="E71" s="96" t="n"/>
    </row>
    <row r="72">
      <c r="D72" s="2" t="n"/>
      <c r="E72" s="96" t="n"/>
    </row>
    <row r="73">
      <c r="D73" s="2" t="n"/>
      <c r="E73" s="96" t="n"/>
    </row>
    <row r="74">
      <c r="D74" s="2" t="n"/>
      <c r="E74" s="96" t="n"/>
    </row>
    <row r="75">
      <c r="D75" s="2" t="n"/>
      <c r="E75" s="96" t="n"/>
    </row>
    <row r="76">
      <c r="D76" s="2" t="n"/>
      <c r="E76" s="96" t="n"/>
    </row>
    <row r="77">
      <c r="D77" s="2" t="n"/>
      <c r="E77" s="96" t="n"/>
    </row>
    <row r="78">
      <c r="D78" s="2" t="n"/>
      <c r="E78" s="96" t="n"/>
    </row>
  </sheetData>
  <pageMargins left="0.7" right="0.7" top="0.75" bottom="0.75" header="0.3" footer="0.3"/>
  <pageSetup orientation="portrait" paperSize="9" scale="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jrseo</dc:creator>
  <dcterms:created xsi:type="dcterms:W3CDTF">2017-02-20T08:28:44Z</dcterms:created>
  <dcterms:modified xsi:type="dcterms:W3CDTF">2026-08-17T23:38:31Z</dcterms:modified>
  <cp:lastModifiedBy>주식회사 시큐와우</cp:lastModifiedBy>
</cp:coreProperties>
</file>