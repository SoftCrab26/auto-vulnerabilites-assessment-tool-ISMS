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28680" yWindow="-120" windowWidth="29040" windowHeight="17520" tabRatio="889" firstSheet="0" activeTab="0" autoFilterDateGrouping="1"/>
  </bookViews>
  <sheets>
    <sheet name="표지" sheetId="1" state="visible" r:id="rId1"/>
    <sheet name="위험관리계획기준" sheetId="2" state="hidden" r:id="rId2"/>
    <sheet name="위험분석및평가기준" sheetId="3" state="visible" r:id="rId3"/>
    <sheet name="개정이력" sheetId="4" state="visible" r:id="rId4"/>
    <sheet name="요약 통계" sheetId="5" state="visible" r:id="rId5"/>
    <sheet name="점검대상" sheetId="6" state="visible" r:id="rId6"/>
    <sheet name="보안수준 통계" sheetId="7" state="visible" r:id="rId7"/>
    <sheet name="Origin(숨김처리)" sheetId="8" state="hidden" r:id="rId8"/>
    <sheet name="sample" sheetId="9" state="visible" r:id="rId9"/>
    <sheet name="매크로" sheetId="10" state="hidden" r:id="rId10"/>
    <sheet name="잠재위험 및 대응책 DB" sheetId="11" state="visible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aa">#REF!</definedName>
    <definedName name="CASE">[1]코드!$K$35:$K$41</definedName>
    <definedName name="d">#REF!</definedName>
    <definedName name="DBMS">[1]코드!$G$35:$G$49</definedName>
    <definedName name="dd">#REF!</definedName>
    <definedName name="ddd">#REF!</definedName>
    <definedName name="dddd">#REF!</definedName>
    <definedName name="ddddd">#REF!</definedName>
    <definedName name="ddddddd">#REF!</definedName>
    <definedName name="dddfghsfthfsdh">#REF!</definedName>
    <definedName name="dddsadwed">#REF!</definedName>
    <definedName name="dfsdfsaf">#REF!</definedName>
    <definedName name="ds">#REF!</definedName>
    <definedName name="dsf">#REF!</definedName>
    <definedName name="dsfa">#REF!</definedName>
    <definedName name="dsfsf">#REF!</definedName>
    <definedName name="dssd">#REF!</definedName>
    <definedName name="d너뭔데">#REF!</definedName>
    <definedName name="ee">#REF!</definedName>
    <definedName name="EndUser">[1]코드!$D$35:$D$39</definedName>
    <definedName name="Evaluation">#REF!</definedName>
    <definedName name="fsafasdf">#REF!</definedName>
    <definedName name="HA상태">[2]코드표!$C$15:$C$16</definedName>
    <definedName name="HW">[1]코드!$I$35:$I$59</definedName>
    <definedName name="iii">#REF!</definedName>
    <definedName name="Language">[1]코드!$J$35:$J$61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Type">[1]코드!$M$35:$M$37</definedName>
    <definedName name="MW">[1]코드!$H$35:$H$49</definedName>
    <definedName name="NMS관제가능여부">[2]코드표!$C$52:$C$53</definedName>
    <definedName name="no">#REF!</definedName>
    <definedName name="OS">[1]코드!$F$35:$F$42</definedName>
    <definedName name="Platform">[1]코드!$L$35:$L$37</definedName>
    <definedName name="rr">#REF!</definedName>
    <definedName name="rrrr">#REF!</definedName>
    <definedName name="sasa">#REF!</definedName>
    <definedName name="SASDFSDF">#REF!</definedName>
    <definedName name="sddsd">#REF!</definedName>
    <definedName name="SDF">#REF!</definedName>
    <definedName name="sdkjfa">#REF!</definedName>
    <definedName name="sds">#REF!</definedName>
    <definedName name="sdsds">#REF!</definedName>
    <definedName name="sdsdsds">#REF!</definedName>
    <definedName name="sdsfa">#REF!</definedName>
    <definedName name="sf">#REF!</definedName>
    <definedName name="sfa">#REF!</definedName>
    <definedName name="sfasdfa">#REF!</definedName>
    <definedName name="sfddd">#REF!</definedName>
    <definedName name="sosos">#REF!</definedName>
    <definedName name="ss">#REF!</definedName>
    <definedName name="ssjsjks">#REF!</definedName>
    <definedName name="sss">#REF!</definedName>
    <definedName name="SW용도">[2]코드표!$B$88:$B$90</definedName>
    <definedName name="ui">#REF!</definedName>
    <definedName name="yes">#REF!</definedName>
    <definedName name="YN">'[3]점검표(재분류)'!#REF!</definedName>
    <definedName name="yy">#REF!</definedName>
    <definedName name="ㄱㄱ">#REF!</definedName>
    <definedName name="가">#REF!</definedName>
    <definedName name="가자">#REF!</definedName>
    <definedName name="개발형태">[1]코드!$C$2:$C$7</definedName>
    <definedName name="계약방식">[1]코드!$A$2:$A$10</definedName>
    <definedName name="계약형태">[1]코드!$H$2:$H$4</definedName>
    <definedName name="광전송장치제조사">[4]공통코드!$Y$2:$Y$4</definedName>
    <definedName name="국산여부">[2]코드표!$C$2:$C$3</definedName>
    <definedName name="금칙어">#REF!</definedName>
    <definedName name="기밀성">#REF!</definedName>
    <definedName name="기준반영">#REF!</definedName>
    <definedName name="기타장비타입">[2]코드표!$C$141:$C$143</definedName>
    <definedName name="기ㅣ">#REF!</definedName>
    <definedName name="ㄴㄴ">#REF!</definedName>
    <definedName name="ㄴㄴㄴ">#REF!</definedName>
    <definedName name="ㄴㅇ">#REF!</definedName>
    <definedName name="ㄴㅇㄹㄴ">#REF!</definedName>
    <definedName name="나">#REF!</definedName>
    <definedName name="낙찰구분">[1]코드!$B$2:$B$5</definedName>
    <definedName name="네트워크장비구분">[2]코드표!$C$47:$C$51</definedName>
    <definedName name="ㄷㄷㄱ">#REF!</definedName>
    <definedName name="ㄷㄷㄷ">#REF!</definedName>
    <definedName name="다">#REF!</definedName>
    <definedName name="단">#REF!</definedName>
    <definedName name="답변자">'[3]점검표(재분류)'!#REF!</definedName>
    <definedName name="더">#REF!</definedName>
    <definedName name="도덕">#REF!</definedName>
    <definedName name="도덕성">#REF!</definedName>
    <definedName name="도입형태">[2]코드표!$C$41:$C$44</definedName>
    <definedName name="동의여부">#REF!</definedName>
    <definedName name="등급">'[3]점검표(재분류)'!#REF!</definedName>
    <definedName name="라">#REF!</definedName>
    <definedName name="라우터프로토콜">[4]공통코드!$Y$15:$Y$16</definedName>
    <definedName name="라이선스유형">[2]코드표!$C$137:$C$140</definedName>
    <definedName name="레이드타입">[2]코드표!$C$71:$C$75</definedName>
    <definedName name="ㅁㄹㄴㅇㅇㅇㅇㅇㅇㅇㅇㅇㅇㅇ">#REF!</definedName>
    <definedName name="ㅁㅁㅁㅁ">#REF!</definedName>
    <definedName name="무결성">#REF!</definedName>
    <definedName name="무상유지보수">[4]공통코드!$AC$15:$AC$16</definedName>
    <definedName name="바">#REF!</definedName>
    <definedName name="방법론">[1]코드!$E$35:$E$51</definedName>
    <definedName name="백업매체종류">[2]코드표!$C$76:$C$82</definedName>
    <definedName name="백업장비구분">[2]코드표!$C$83:$C$84</definedName>
    <definedName name="보안장비구분">[2]코드표!$C$60:$C$64</definedName>
    <definedName name="사업부">[1]코드!$J$2:$J$7</definedName>
    <definedName name="사용용도">[2]코드표!$C$4:$C$6</definedName>
    <definedName name="서버구분">[2]코드표!$C$29:$C$31</definedName>
    <definedName name="서버용도">[2]코드표!$C$19:$C$28</definedName>
    <definedName name="서버크기">[2]코드표!$C$34:$C$36</definedName>
    <definedName name="서버타입">[2]코드표!$C$17:$C$18</definedName>
    <definedName name="서비스영역">[1]코드!$K$2:$K$13</definedName>
    <definedName name="선택">[5]분류!$B$27:$B$28</definedName>
    <definedName name="설명">#REF!</definedName>
    <definedName name="설명2">#REF!</definedName>
    <definedName name="소프트웨어소분류">[2]코드표!$C$97:$C$136</definedName>
    <definedName name="소프트웨어중분류">[2]코드표!$C$91:$C$96</definedName>
    <definedName name="손익">#REF!</definedName>
    <definedName name="손익현황">#REF!</definedName>
    <definedName name="스토리지구분">[2]코드표!$C$69:$C$70</definedName>
    <definedName name="ㅇ">'[3]점검표(재분류)'!#REF!</definedName>
    <definedName name="ㅇㄴㄹ">#REF!</definedName>
    <definedName name="ㅇㄴㅁㄹ">#REF!</definedName>
    <definedName name="ㅇㄴㅇ">#REF!</definedName>
    <definedName name="ㅇㅇ">#REF!</definedName>
    <definedName name="ㅇㅇㅇ">#REF!</definedName>
    <definedName name="ㅇㅇㅇㅇㅇ">#REF!</definedName>
    <definedName name="안">#REF!</definedName>
    <definedName name="안녕">#REF!</definedName>
    <definedName name="안녕하세요">#REF!</definedName>
    <definedName name="업종">[1]코드!$D$2:$D$9</definedName>
    <definedName name="업종상세">[1]코드!$E$2:$E$32</definedName>
    <definedName name="영문">#REF!</definedName>
    <definedName name="영문명">#REF!</definedName>
    <definedName name="외장디스크여부">[2]코드표!$C$32:$C$33</definedName>
    <definedName name="원격접속가능여부">[2]코드표!$C$54:$C$55</definedName>
    <definedName name="원천">#REF!</definedName>
    <definedName name="위험조치_적용시기">'[6]위험조치계획 기준'!$B$17:$B$20</definedName>
    <definedName name="유지보수계약구분">[2]코드표!$C$85:$C$87</definedName>
    <definedName name="유지보수구분">[2]코드표!$C$45:$C$46</definedName>
    <definedName name="이력관리팀">" "</definedName>
    <definedName name="이중화여부">[2]코드표!$C$13:$C$14</definedName>
    <definedName name="인락">#REF!</definedName>
    <definedName name="인터페이스타입">[2]코드표!$C$65:$C$68</definedName>
    <definedName name="자산상태">[2]코드표!$C$7:$C$9</definedName>
    <definedName name="작업">#REF!</definedName>
    <definedName name="장착아이오">[2]코드표!$C$37:$C$40</definedName>
    <definedName name="적용사이트">[1]코드!$C$35:$C$38</definedName>
    <definedName name="적정성">#REF!</definedName>
    <definedName name="전략프로젝트">[1]코드!$G$2:$G$3</definedName>
    <definedName name="전원타입">[2]코드표!$C$56:$C$57</definedName>
    <definedName name="조치계획기준점수">'[6]위험조치계획 기준'!$B$7:$B$11</definedName>
    <definedName name="찾기">#REF!</definedName>
    <definedName name="쵀닌">#REF!</definedName>
    <definedName name="쵀성춘">#REF!</definedName>
    <definedName name="침입관리보안등급">[4]공통코드!$AI$2:$AI$6</definedName>
    <definedName name="콘솔타입">[2]코드표!$C$58:$C$59</definedName>
    <definedName name="ㅌㅌㅌ">#REF!</definedName>
    <definedName name="태세">#REF!</definedName>
    <definedName name="팀">[7]코드!$B$2:$B$5</definedName>
    <definedName name="파티션서버여부">[2]코드표!$C$10:$C$12</definedName>
    <definedName name="프로덕트유형">[1]코드!$B$35:$B$39</definedName>
    <definedName name="프로덕트타입">[1]코드!$A$35:$A$49</definedName>
    <definedName name="프로젝트단계">[1]코드!$F$2:$F$7</definedName>
    <definedName name="ㅏㅇ">#REF!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가" localSheetId="1">#REF!</definedName>
    <definedName name="나" localSheetId="1">#REF!</definedName>
    <definedName name="다" localSheetId="1">#REF!</definedName>
    <definedName name="라" localSheetId="1">#REF!</definedName>
    <definedName name="_xlnm.Print_Area" localSheetId="1">'위험관리계획기준'!$A$1:$F$54</definedName>
    <definedName name="_xlnm.Print_Area" localSheetId="2">'위험분석및평가기준'!$A$1:$M$51</definedName>
    <definedName name="_xlnm.Print_Area" localSheetId="3">'개정이력'!$A$1:$G$11</definedName>
    <definedName name="_xlnm.Print_Area" localSheetId="4">'요약 통계'!$A$1:$Q$78</definedName>
    <definedName name="_xlnm.Print_Area" localSheetId="5">'점검대상'!$A$1:$L$13</definedName>
    <definedName name="_xlnm.Print_Area" localSheetId="6">'보안수준 통계'!$A$1:$K$50</definedName>
    <definedName name="LOCAL_MYSQL_DATE_FORMAT" localSheetId="7" hidden="1">REPT(LOCAL_YEAR_FORMAT,4)&amp;LOCAL_DATE_SEPARATOR&amp;REPT(LOCAL_MONTH_FORMAT,2)&amp;LOCAL_DATE_SEPARATOR&amp;REPT(LOCAL_DAY_FORMAT,2)&amp;" "&amp;REPT(LOCAL_HOUR_FORMAT,2)&amp;LOCAL_TIME_SEPARATOR&amp;REPT(LOCAL_MINUTE_FORMAT,2)&amp;LOCAL_TIME_SEPARATOR&amp;REPT([0]!LOCAL_SECOND_FORMAT,2)</definedName>
    <definedName name="_xlnm.Print_Area" localSheetId="7">'Origin(숨김처리)'!$A$1:$AH$88</definedName>
    <definedName name="LOCAL_MYSQL_DATE_FORMAT" localSheetId="8" hidden="1">REPT(LOCAL_YEAR_FORMAT,4)&amp;LOCAL_DATE_SEPARATOR&amp;REPT(LOCAL_MONTH_FORMAT,2)&amp;LOCAL_DATE_SEPARATOR&amp;REPT(LOCAL_DAY_FORMAT,2)&amp;" "&amp;REPT(LOCAL_HOUR_FORMAT,2)&amp;LOCAL_TIME_SEPARATOR&amp;REPT(LOCAL_MINUTE_FORMAT,2)&amp;LOCAL_TIME_SEPARATOR&amp;REPT([0]!LOCAL_SECOND_FORMAT,2)</definedName>
    <definedName name="_xlnm.Print_Area" localSheetId="8">'sample'!$A$1:$AH$88</definedName>
    <definedName name="_xlnm.Print_Area" localSheetId="9">'매크로'!$A$1:$C$24</definedName>
    <definedName name="LOCAL_MYSQL_DATE_FORMAT" localSheetId="1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0_);[Red]\(0\)"/>
    <numFmt numFmtId="165" formatCode="_ * #,##0.00_ ;_ * \-#,##0.00_ ;_ * &quot;-&quot;??_ ;_ @_ "/>
    <numFmt numFmtId="166" formatCode="&quot;₩&quot;#,##0;&quot;₩&quot;&quot;₩&quot;&quot;₩&quot;&quot;₩&quot;&quot;₩&quot;&quot;₩&quot;&quot;₩&quot;&quot;₩&quot;\-#,##0"/>
    <numFmt numFmtId="167" formatCode="&quot;₩&quot;#,##0.00;&quot;₩&quot;&quot;₩&quot;&quot;₩&quot;&quot;₩&quot;&quot;₩&quot;&quot;₩&quot;&quot;₩&quot;&quot;₩&quot;\-#,##0.00"/>
    <numFmt numFmtId="168" formatCode="_ * #,##0.00_ ;_ * &quot;₩&quot;&quot;₩&quot;&quot;₩&quot;&quot;₩&quot;&quot;₩&quot;&quot;₩&quot;&quot;₩&quot;&quot;₩&quot;\-#,##0.00_ ;_ * &quot;-&quot;??_ ;_ @_ "/>
    <numFmt numFmtId="169" formatCode="&quot;₩&quot;#,##0;&quot;₩&quot;\-#,##0"/>
    <numFmt numFmtId="170" formatCode="#,##0;[Red]&quot;-&quot;#,##0"/>
    <numFmt numFmtId="171" formatCode="#,##0.00;[Red]&quot;-&quot;#,##0.00"/>
  </numFmts>
  <fonts count="101">
    <font>
      <name val="돋움"/>
      <charset val="129"/>
      <family val="3"/>
      <sz val="11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color indexed="8"/>
      <sz val="11"/>
    </font>
    <font>
      <name val="Helv"/>
      <family val="2"/>
      <sz val="10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맑은 고딕"/>
      <charset val="129"/>
      <family val="3"/>
      <color indexed="8"/>
      <sz val="11"/>
    </font>
    <font>
      <name val="맑은 고딕"/>
      <charset val="129"/>
      <family val="3"/>
      <color indexed="9"/>
      <sz val="11"/>
    </font>
    <font>
      <name val="맑은 고딕"/>
      <charset val="129"/>
      <family val="3"/>
      <color indexed="10"/>
      <sz val="11"/>
    </font>
    <font>
      <name val="맑은 고딕"/>
      <charset val="129"/>
      <family val="3"/>
      <b val="1"/>
      <color indexed="52"/>
      <sz val="11"/>
    </font>
    <font>
      <name val="맑은 고딕"/>
      <charset val="129"/>
      <family val="3"/>
      <color indexed="20"/>
      <sz val="11"/>
    </font>
    <font>
      <name val="맑은 고딕"/>
      <charset val="129"/>
      <family val="3"/>
      <color indexed="60"/>
      <sz val="11"/>
    </font>
    <font>
      <name val="맑은 고딕"/>
      <charset val="129"/>
      <family val="3"/>
      <i val="1"/>
      <color indexed="23"/>
      <sz val="11"/>
    </font>
    <font>
      <name val="맑은 고딕"/>
      <charset val="129"/>
      <family val="3"/>
      <b val="1"/>
      <color indexed="9"/>
      <sz val="11"/>
    </font>
    <font>
      <name val="맑은 고딕"/>
      <charset val="129"/>
      <family val="3"/>
      <color indexed="52"/>
      <sz val="11"/>
    </font>
    <font>
      <name val="맑은 고딕"/>
      <charset val="129"/>
      <family val="3"/>
      <b val="1"/>
      <color indexed="8"/>
      <sz val="11"/>
    </font>
    <font>
      <name val="맑은 고딕"/>
      <charset val="129"/>
      <family val="3"/>
      <color indexed="62"/>
      <sz val="11"/>
    </font>
    <font>
      <name val="맑은 고딕"/>
      <charset val="129"/>
      <family val="3"/>
      <b val="1"/>
      <color indexed="56"/>
      <sz val="18"/>
    </font>
    <font>
      <name val="맑은 고딕"/>
      <charset val="129"/>
      <family val="3"/>
      <b val="1"/>
      <color indexed="56"/>
      <sz val="15"/>
    </font>
    <font>
      <name val="맑은 고딕"/>
      <charset val="129"/>
      <family val="3"/>
      <b val="1"/>
      <color indexed="56"/>
      <sz val="13"/>
    </font>
    <font>
      <name val="맑은 고딕"/>
      <charset val="129"/>
      <family val="3"/>
      <b val="1"/>
      <color indexed="56"/>
      <sz val="11"/>
    </font>
    <font>
      <name val="맑은 고딕"/>
      <charset val="129"/>
      <family val="3"/>
      <color indexed="17"/>
      <sz val="11"/>
    </font>
    <font>
      <name val="맑은 고딕"/>
      <charset val="129"/>
      <family val="3"/>
      <b val="1"/>
      <color indexed="63"/>
      <sz val="11"/>
    </font>
    <font>
      <name val="맑은 고딕"/>
      <charset val="129"/>
      <family val="3"/>
      <color indexed="8"/>
      <sz val="10"/>
    </font>
    <font>
      <name val="돋움"/>
      <charset val="129"/>
      <family val="3"/>
      <color indexed="12"/>
      <sz val="9.35"/>
      <u val="single"/>
    </font>
    <font>
      <name val="맑은 고딕"/>
      <charset val="129"/>
      <family val="3"/>
      <b val="1"/>
      <i val="1"/>
      <sz val="12"/>
      <u val="single"/>
    </font>
    <font>
      <name val="맑은 고딕"/>
      <charset val="129"/>
      <family val="3"/>
      <b val="1"/>
      <sz val="12"/>
    </font>
    <font>
      <name val="맑은 고딕"/>
      <charset val="129"/>
      <family val="3"/>
      <b val="1"/>
      <color indexed="60"/>
      <sz val="12"/>
    </font>
    <font>
      <name val="맑은 고딕"/>
      <charset val="129"/>
      <family val="3"/>
      <b val="1"/>
      <color indexed="8"/>
      <sz val="10"/>
    </font>
    <font>
      <name val="맑은 고딕"/>
      <charset val="129"/>
      <family val="3"/>
      <sz val="8"/>
    </font>
    <font>
      <name val="Arial"/>
      <family val="2"/>
      <sz val="10"/>
    </font>
    <font>
      <name val="맑은 고딕"/>
      <charset val="129"/>
      <family val="3"/>
      <b val="1"/>
      <color indexed="8"/>
      <sz val="12"/>
    </font>
    <font>
      <name val="맑은 고딕"/>
      <charset val="129"/>
      <family val="3"/>
      <b val="1"/>
      <color indexed="8"/>
      <sz val="12"/>
      <u val="single"/>
    </font>
    <font>
      <name val="맑은 고딕"/>
      <charset val="129"/>
      <family val="3"/>
      <sz val="10"/>
    </font>
    <font>
      <name val="맑은 고딕"/>
      <charset val="129"/>
      <family val="3"/>
      <sz val="11"/>
    </font>
    <font>
      <name val="맑은 고딕"/>
      <charset val="129"/>
      <family val="3"/>
      <b val="1"/>
      <sz val="11"/>
    </font>
    <font>
      <name val="맑은 고딕"/>
      <charset val="129"/>
      <family val="3"/>
      <b val="1"/>
      <color indexed="9"/>
      <sz val="10"/>
    </font>
    <font>
      <name val="맑은 고딕"/>
      <charset val="129"/>
      <family val="3"/>
      <b val="1"/>
      <sz val="10"/>
    </font>
    <font>
      <name val="맑은 고딕"/>
      <charset val="129"/>
      <family val="3"/>
      <b val="1"/>
      <i val="1"/>
      <color indexed="8"/>
      <sz val="12"/>
      <u val="single"/>
    </font>
    <font>
      <name val="맑은 고딕"/>
      <charset val="129"/>
      <family val="3"/>
      <b val="1"/>
      <color indexed="9"/>
      <sz val="12"/>
    </font>
    <font>
      <name val="맑은 고딕"/>
      <charset val="129"/>
      <family val="3"/>
      <color theme="1"/>
      <sz val="11"/>
      <scheme val="minor"/>
    </font>
    <font>
      <name val="돋움"/>
      <charset val="129"/>
      <family val="3"/>
      <color theme="10"/>
      <sz val="11"/>
      <u val="single"/>
    </font>
    <font>
      <name val="맑은 고딕"/>
      <charset val="129"/>
      <family val="3"/>
      <color theme="10"/>
      <sz val="11"/>
      <u val="single"/>
      <scheme val="minor"/>
    </font>
    <font>
      <name val="맑은 고딕"/>
      <charset val="129"/>
      <family val="3"/>
      <b val="1"/>
      <color theme="0"/>
      <sz val="10"/>
      <scheme val="minor"/>
    </font>
    <font>
      <name val="맑은 고딕"/>
      <charset val="129"/>
      <family val="3"/>
      <sz val="10"/>
      <scheme val="major"/>
    </font>
    <font>
      <name val="맑은 고딕"/>
      <charset val="129"/>
      <family val="3"/>
      <sz val="11"/>
      <scheme val="major"/>
    </font>
    <font>
      <name val="맑은 고딕"/>
      <charset val="129"/>
      <family val="3"/>
      <b val="1"/>
      <i val="1"/>
      <color theme="1"/>
      <sz val="12"/>
      <u val="single"/>
    </font>
    <font>
      <name val="맑은 고딕"/>
      <charset val="129"/>
      <family val="3"/>
      <b val="1"/>
      <i val="1"/>
      <color theme="1"/>
      <sz val="12"/>
      <u val="single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color theme="1"/>
      <sz val="10"/>
      <scheme val="major"/>
    </font>
    <font>
      <name val="맑은 고딕"/>
      <charset val="129"/>
      <family val="3"/>
      <b val="1"/>
      <color theme="1"/>
      <sz val="12"/>
    </font>
    <font>
      <name val="맑은 고딕"/>
      <charset val="129"/>
      <family val="3"/>
      <sz val="8"/>
      <scheme val="maj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sz val="12"/>
    </font>
    <font>
      <name val="맑은 고딕"/>
      <charset val="129"/>
      <family val="2"/>
      <color theme="1"/>
      <sz val="11"/>
      <scheme val="minor"/>
    </font>
    <font>
      <name val="바탕체"/>
      <charset val="129"/>
      <family val="1"/>
      <sz val="12"/>
    </font>
    <font>
      <name val="바탕체"/>
      <charset val="129"/>
      <family val="1"/>
      <color indexed="24"/>
      <sz val="12"/>
    </font>
    <font>
      <name val="바탕체"/>
      <charset val="129"/>
      <family val="1"/>
      <b val="1"/>
      <color indexed="24"/>
      <sz val="18"/>
    </font>
    <font>
      <name val="바탕체"/>
      <charset val="129"/>
      <family val="1"/>
      <b val="1"/>
      <color indexed="24"/>
      <sz val="15"/>
    </font>
    <font>
      <name val="뼻뮝"/>
      <charset val="129"/>
      <family val="3"/>
      <sz val="14"/>
    </font>
    <font>
      <name val="뼻뮝"/>
      <charset val="129"/>
      <family val="1"/>
      <sz val="12"/>
    </font>
    <font>
      <name val="명조"/>
      <charset val="129"/>
      <family val="3"/>
      <sz val="10"/>
    </font>
    <font>
      <name val="Arial"/>
      <family val="2"/>
      <b val="1"/>
      <sz val="12"/>
    </font>
    <font>
      <name val="MS Sans Serif"/>
      <family val="2"/>
      <b val="1"/>
      <sz val="10"/>
    </font>
    <font>
      <name val="명조"/>
      <charset val="129"/>
      <family val="3"/>
      <sz val="12"/>
    </font>
    <font>
      <name val="맑은 고딕"/>
      <charset val="129"/>
      <family val="2"/>
      <color theme="1"/>
      <sz val="10"/>
    </font>
    <font>
      <name val="Verdana"/>
      <family val="2"/>
      <color theme="1"/>
      <sz val="9"/>
    </font>
    <font>
      <name val="맑은 고딕"/>
      <charset val="129"/>
      <family val="3"/>
      <color theme="10"/>
      <sz val="11"/>
      <u val="single"/>
    </font>
    <font>
      <name val="맑은 고딕"/>
      <charset val="129"/>
      <family val="3"/>
      <color rgb="FF9C0006"/>
      <sz val="11"/>
      <scheme val="minor"/>
    </font>
    <font>
      <name val="맑은 고딕"/>
      <charset val="129"/>
      <family val="3"/>
      <b val="1"/>
      <color indexed="10"/>
      <sz val="10"/>
    </font>
    <font>
      <name val="맑은 고딕"/>
      <charset val="129"/>
      <family val="3"/>
      <b val="1"/>
      <color indexed="10"/>
      <sz val="11"/>
    </font>
    <font>
      <name val="맑은 고딕"/>
      <charset val="129"/>
      <family val="3"/>
      <color theme="0"/>
      <sz val="12"/>
    </font>
    <font>
      <name val="맑은 고딕"/>
      <charset val="129"/>
      <family val="3"/>
      <color theme="0"/>
      <sz val="10"/>
      <scheme val="maj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b val="1"/>
      <color theme="1"/>
      <sz val="16"/>
      <scheme val="minor"/>
    </font>
    <font>
      <name val="맑은 고딕"/>
      <charset val="129"/>
      <family val="3"/>
      <b val="1"/>
      <color theme="1"/>
      <sz val="24"/>
      <scheme val="minor"/>
    </font>
    <font>
      <name val="맑은 고딕"/>
      <family val="3"/>
      <color indexed="8"/>
      <sz val="11"/>
    </font>
    <font>
      <name val="맑은 고딕"/>
      <charset val="129"/>
      <family val="3"/>
      <b val="1"/>
      <color theme="0"/>
      <sz val="10"/>
      <scheme val="major"/>
    </font>
    <font>
      <name val="맑은 고딕"/>
      <charset val="129"/>
      <family val="3"/>
      <color indexed="8"/>
      <sz val="10"/>
      <scheme val="major"/>
    </font>
    <font>
      <name val="돋움"/>
      <charset val="129"/>
      <family val="3"/>
      <b val="1"/>
      <color rgb="FF000000"/>
      <sz val="24"/>
    </font>
    <font>
      <name val="돋움"/>
      <charset val="129"/>
      <family val="3"/>
      <color rgb="FF000000"/>
      <sz val="24"/>
    </font>
    <font>
      <name val="맑은 고딕"/>
      <charset val="129"/>
      <family val="3"/>
      <b val="1"/>
      <sz val="22"/>
    </font>
    <font>
      <name val="맑은 고딕"/>
      <charset val="129"/>
      <family val="3"/>
      <sz val="8"/>
      <scheme val="minor"/>
    </font>
    <font>
      <name val="맑은 고딕"/>
      <charset val="129"/>
      <family val="3"/>
      <b val="1"/>
      <sz val="18"/>
      <scheme val="major"/>
    </font>
    <font>
      <name val="맑은 고딕"/>
      <charset val="129"/>
      <family val="3"/>
      <color indexed="8"/>
      <sz val="9"/>
    </font>
    <font>
      <name val="맑은 고딕"/>
      <charset val="129"/>
      <family val="3"/>
      <color indexed="8"/>
      <sz val="12"/>
      <scheme val="major"/>
    </font>
    <font>
      <name val="맑은 고딕"/>
      <charset val="129"/>
      <family val="3"/>
      <color theme="1"/>
      <sz val="12"/>
      <scheme val="major"/>
    </font>
    <font>
      <name val="맑은 고딕"/>
      <charset val="129"/>
      <family val="3"/>
      <b val="1"/>
      <color indexed="8"/>
      <sz val="12"/>
      <scheme val="major"/>
    </font>
    <font>
      <name val="맑은 고딕"/>
      <charset val="129"/>
      <family val="3"/>
      <b val="1"/>
      <color indexed="9"/>
      <sz val="12"/>
      <scheme val="major"/>
    </font>
    <font>
      <name val="맑은 고딕"/>
      <charset val="129"/>
      <family val="3"/>
      <color indexed="9"/>
      <sz val="12"/>
      <scheme val="major"/>
    </font>
    <font>
      <name val="맑은 고딕"/>
      <charset val="129"/>
      <family val="3"/>
      <color rgb="FF000000"/>
      <sz val="10"/>
    </font>
    <font>
      <name val="맑은 고딕"/>
      <charset val="129"/>
      <family val="3"/>
      <b val="1"/>
      <color theme="0"/>
      <sz val="10"/>
    </font>
    <font>
      <name val="맑은 고딕"/>
      <charset val="129"/>
      <family val="3"/>
      <color theme="1"/>
      <sz val="10"/>
    </font>
    <font>
      <name val="맑은 고딕"/>
      <charset val="129"/>
      <family val="3"/>
      <color theme="0"/>
      <sz val="10"/>
    </font>
    <font>
      <name val="맑은 고딕"/>
      <charset val="129"/>
      <family val="3"/>
      <color theme="1"/>
      <sz val="11"/>
    </font>
    <font>
      <name val="맑은 고딕"/>
      <family val="1"/>
      <b val="1"/>
      <sz val="11"/>
      <scheme val="major"/>
    </font>
  </fonts>
  <fills count="4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7CE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 tint="0.7999816888943144"/>
        <bgColor rgb="FF000000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rgb="FFFFFFFF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764">
    <xf numFmtId="0" fontId="6" fillId="0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32" fillId="0" borderId="0"/>
    <xf numFmtId="165" fontId="32" fillId="0" borderId="0"/>
    <xf numFmtId="166" fontId="32" fillId="0" borderId="0"/>
    <xf numFmtId="167" fontId="32" fillId="0" borderId="0"/>
    <xf numFmtId="0" fontId="32" fillId="0" borderId="0"/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9" fontId="6" fillId="0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43" fontId="42" fillId="0" borderId="0" applyAlignment="1">
      <alignment vertical="center"/>
    </xf>
    <xf numFmtId="43" fontId="42" fillId="0" borderId="0" applyAlignment="1">
      <alignment vertical="center"/>
    </xf>
    <xf numFmtId="0" fontId="5" fillId="0" borderId="0"/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9" fillId="0" borderId="0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44" fontId="42" fillId="0" borderId="0" applyAlignment="1">
      <alignment vertical="center"/>
    </xf>
    <xf numFmtId="44" fontId="42" fillId="0" borderId="0" applyAlignment="1">
      <alignment vertical="center"/>
    </xf>
    <xf numFmtId="0" fontId="42" fillId="0" borderId="0"/>
    <xf numFmtId="0" fontId="42" fillId="0" borderId="0"/>
    <xf numFmtId="0" fontId="6" fillId="0" borderId="0" applyAlignment="1">
      <alignment vertical="center"/>
    </xf>
    <xf numFmtId="0" fontId="42" fillId="0" borderId="0" applyAlignment="1">
      <alignment vertical="center"/>
    </xf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42" fillId="0" borderId="0"/>
    <xf numFmtId="0" fontId="42" fillId="0" borderId="0"/>
    <xf numFmtId="0" fontId="6" fillId="0" borderId="0"/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6" fillId="0" borderId="0"/>
    <xf numFmtId="0" fontId="42" fillId="0" borderId="0" applyAlignment="1">
      <alignment vertical="center"/>
    </xf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/>
    <xf numFmtId="0" fontId="42" fillId="0" borderId="0"/>
    <xf numFmtId="0" fontId="6" fillId="0" borderId="0" applyAlignment="1">
      <alignment vertical="center"/>
    </xf>
    <xf numFmtId="0" fontId="43" fillId="0" borderId="0" applyAlignment="1" applyProtection="1">
      <alignment vertical="top"/>
      <protection locked="0" hidden="0"/>
    </xf>
    <xf numFmtId="0" fontId="26" fillId="0" borderId="0" applyAlignment="1" applyProtection="1">
      <alignment vertical="top"/>
      <protection locked="0" hidden="0"/>
    </xf>
    <xf numFmtId="0" fontId="44" fillId="0" borderId="0" applyAlignment="1">
      <alignment vertical="center"/>
    </xf>
    <xf numFmtId="0" fontId="44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58" fillId="0" borderId="0"/>
    <xf numFmtId="2" fontId="59" fillId="0" borderId="0"/>
    <xf numFmtId="0" fontId="60" fillId="0" borderId="0"/>
    <xf numFmtId="0" fontId="61" fillId="0" borderId="0"/>
    <xf numFmtId="0" fontId="59" fillId="0" borderId="0"/>
    <xf numFmtId="0" fontId="59" fillId="0" borderId="0"/>
    <xf numFmtId="40" fontId="62" fillId="0" borderId="0"/>
    <xf numFmtId="38" fontId="62" fillId="0" borderId="0"/>
    <xf numFmtId="0" fontId="62" fillId="0" borderId="0"/>
    <xf numFmtId="0" fontId="62" fillId="0" borderId="0"/>
    <xf numFmtId="0" fontId="63" fillId="0" borderId="0"/>
    <xf numFmtId="0" fontId="32" fillId="0" borderId="0"/>
    <xf numFmtId="0" fontId="64" fillId="0" borderId="36"/>
    <xf numFmtId="4" fontId="59" fillId="0" borderId="0"/>
    <xf numFmtId="3" fontId="59" fillId="0" borderId="0"/>
    <xf numFmtId="10" fontId="59" fillId="0" borderId="0"/>
    <xf numFmtId="0" fontId="59" fillId="0" borderId="37"/>
    <xf numFmtId="168" fontId="6" fillId="0" borderId="0"/>
    <xf numFmtId="169" fontId="59" fillId="0" borderId="0"/>
    <xf numFmtId="0" fontId="6" fillId="0" borderId="0"/>
    <xf numFmtId="0" fontId="65" fillId="0" borderId="28" applyAlignment="1">
      <alignment horizontal="left" vertical="center"/>
    </xf>
    <xf numFmtId="0" fontId="65" fillId="0" borderId="20" applyAlignment="1">
      <alignment horizontal="left" vertical="center"/>
    </xf>
    <xf numFmtId="0" fontId="66" fillId="0" borderId="0"/>
    <xf numFmtId="0" fontId="57" fillId="0" borderId="0" applyAlignment="1">
      <alignment vertical="center"/>
    </xf>
    <xf numFmtId="0" fontId="6" fillId="0" borderId="0"/>
    <xf numFmtId="41" fontId="6" fillId="0" borderId="0"/>
    <xf numFmtId="41" fontId="6" fillId="0" borderId="0"/>
    <xf numFmtId="0" fontId="58" fillId="0" borderId="0"/>
    <xf numFmtId="0" fontId="6" fillId="0" borderId="0"/>
    <xf numFmtId="41" fontId="6" fillId="0" borderId="0"/>
    <xf numFmtId="170" fontId="67" fillId="0" borderId="0"/>
    <xf numFmtId="171" fontId="67" fillId="0" borderId="0"/>
    <xf numFmtId="0" fontId="6" fillId="0" borderId="0"/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" fillId="0" borderId="0" applyAlignment="1">
      <alignment vertical="center"/>
    </xf>
    <xf numFmtId="0" fontId="32" fillId="0" borderId="0"/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5" fillId="0" borderId="0"/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8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8" fillId="20" borderId="0" applyAlignment="1">
      <alignment vertical="center"/>
    </xf>
    <xf numFmtId="0" fontId="8" fillId="21" borderId="2" applyAlignment="1">
      <alignment vertical="center"/>
    </xf>
    <xf numFmtId="0" fontId="18" fillId="20" borderId="1" applyAlignment="1">
      <alignment vertical="center"/>
    </xf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8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42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41" fontId="6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43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70" fillId="0" borderId="0" applyAlignment="1" applyProtection="1">
      <alignment vertical="top"/>
      <protection locked="0" hidden="0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71" fillId="29" borderId="0" applyAlignment="1">
      <alignment vertical="center"/>
    </xf>
    <xf numFmtId="0" fontId="42" fillId="0" borderId="0" applyAlignment="1">
      <alignment vertical="center"/>
    </xf>
    <xf numFmtId="0" fontId="70" fillId="0" borderId="0" applyAlignment="1" applyProtection="1">
      <alignment vertical="top"/>
      <protection locked="0" hidden="0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81" fillId="0" borderId="0" applyAlignment="1">
      <alignment vertical="center"/>
    </xf>
    <xf numFmtId="0" fontId="57" fillId="0" borderId="0" applyAlignment="1">
      <alignment vertical="center"/>
    </xf>
    <xf numFmtId="0" fontId="89" fillId="0" borderId="0" applyAlignment="1">
      <alignment vertical="center"/>
    </xf>
    <xf numFmtId="0" fontId="57" fillId="0" borderId="0" applyAlignment="1">
      <alignment vertical="center"/>
    </xf>
  </cellStyleXfs>
  <cellXfs count="468">
    <xf numFmtId="0" fontId="0" fillId="0" borderId="0" applyAlignment="1" pivotButton="0" quotePrefix="0" xfId="0">
      <alignment vertical="center"/>
    </xf>
    <xf numFmtId="0" fontId="47" fillId="26" borderId="0" applyAlignment="1" pivotButton="0" quotePrefix="0" xfId="0">
      <alignment vertical="center"/>
    </xf>
    <xf numFmtId="0" fontId="42" fillId="26" borderId="0" applyAlignment="1" pivotButton="0" quotePrefix="0" xfId="157">
      <alignment vertical="center"/>
    </xf>
    <xf numFmtId="0" fontId="0" fillId="26" borderId="0" applyAlignment="1" pivotButton="0" quotePrefix="0" xfId="0">
      <alignment vertical="center"/>
    </xf>
    <xf numFmtId="0" fontId="48" fillId="26" borderId="0" applyAlignment="1" pivotButton="0" quotePrefix="0" xfId="157">
      <alignment vertical="center"/>
    </xf>
    <xf numFmtId="0" fontId="49" fillId="26" borderId="0" applyAlignment="1" pivotButton="0" quotePrefix="0" xfId="157">
      <alignment vertical="center"/>
    </xf>
    <xf numFmtId="0" fontId="51" fillId="26" borderId="0" applyAlignment="1" pivotButton="0" quotePrefix="0" xfId="0">
      <alignment vertical="center"/>
    </xf>
    <xf numFmtId="0" fontId="27" fillId="26" borderId="0" applyAlignment="1" pivotButton="0" quotePrefix="0" xfId="157">
      <alignment horizontal="left" vertical="center"/>
    </xf>
    <xf numFmtId="0" fontId="46" fillId="26" borderId="0" applyAlignment="1" pivotButton="0" quotePrefix="0" xfId="0">
      <alignment vertical="center"/>
    </xf>
    <xf numFmtId="0" fontId="54" fillId="26" borderId="0" applyAlignment="1" pivotButton="0" quotePrefix="0" xfId="0">
      <alignment vertical="center"/>
    </xf>
    <xf numFmtId="0" fontId="53" fillId="26" borderId="0" applyAlignment="1" pivotButton="0" quotePrefix="0" xfId="0">
      <alignment vertical="center"/>
    </xf>
    <xf numFmtId="0" fontId="46" fillId="26" borderId="13" applyAlignment="1" pivotButton="0" quotePrefix="0" xfId="0">
      <alignment horizontal="center" vertical="center"/>
    </xf>
    <xf numFmtId="0" fontId="51" fillId="26" borderId="0" applyAlignment="1" pivotButton="0" quotePrefix="0" xfId="157">
      <alignment vertical="center"/>
    </xf>
    <xf numFmtId="0" fontId="47" fillId="26" borderId="0" applyAlignment="1" pivotButton="0" quotePrefix="0" xfId="0">
      <alignment horizontal="center" vertical="center"/>
    </xf>
    <xf numFmtId="0" fontId="46" fillId="26" borderId="10" applyAlignment="1" pivotButton="0" quotePrefix="0" xfId="0">
      <alignment horizontal="center" vertical="center"/>
    </xf>
    <xf numFmtId="0" fontId="52" fillId="26" borderId="22" applyAlignment="1" pivotButton="0" quotePrefix="0" xfId="157">
      <alignment horizontal="center" vertical="center" wrapText="1"/>
    </xf>
    <xf numFmtId="14" fontId="46" fillId="26" borderId="10" applyAlignment="1" pivotButton="0" quotePrefix="0" xfId="0">
      <alignment horizontal="center" vertical="center"/>
    </xf>
    <xf numFmtId="0" fontId="46" fillId="26" borderId="10" applyAlignment="1" pivotButton="0" quotePrefix="0" xfId="0">
      <alignment horizontal="center" vertical="center" wrapText="1"/>
    </xf>
    <xf numFmtId="0" fontId="25" fillId="24" borderId="0" applyAlignment="1" pivotButton="0" quotePrefix="0" xfId="157">
      <alignment vertical="center"/>
    </xf>
    <xf numFmtId="0" fontId="36" fillId="24" borderId="0" applyAlignment="1" pivotButton="0" quotePrefix="0" xfId="0">
      <alignment vertical="center"/>
    </xf>
    <xf numFmtId="0" fontId="36" fillId="24" borderId="0" applyAlignment="1" pivotButton="0" quotePrefix="0" xfId="410">
      <alignment horizontal="left" vertical="center"/>
    </xf>
    <xf numFmtId="0" fontId="36" fillId="24" borderId="0" applyAlignment="1" pivotButton="0" quotePrefix="0" xfId="410">
      <alignment vertical="center"/>
    </xf>
    <xf numFmtId="0" fontId="36" fillId="24" borderId="30" applyAlignment="1" pivotButton="0" quotePrefix="0" xfId="410">
      <alignment horizontal="left" vertical="center"/>
    </xf>
    <xf numFmtId="0" fontId="36" fillId="24" borderId="25" applyAlignment="1" pivotButton="0" quotePrefix="0" xfId="410">
      <alignment horizontal="left" vertical="center"/>
    </xf>
    <xf numFmtId="0" fontId="36" fillId="24" borderId="34" applyAlignment="1" pivotButton="0" quotePrefix="0" xfId="0">
      <alignment vertical="center"/>
    </xf>
    <xf numFmtId="0" fontId="36" fillId="24" borderId="29" applyAlignment="1" pivotButton="0" quotePrefix="0" xfId="410">
      <alignment horizontal="left" vertical="center"/>
    </xf>
    <xf numFmtId="0" fontId="36" fillId="24" borderId="31" applyAlignment="1" pivotButton="0" quotePrefix="0" xfId="0">
      <alignment vertical="center"/>
    </xf>
    <xf numFmtId="0" fontId="36" fillId="24" borderId="27" applyAlignment="1" pivotButton="0" quotePrefix="0" xfId="410">
      <alignment horizontal="left" vertical="center"/>
    </xf>
    <xf numFmtId="0" fontId="36" fillId="24" borderId="32" applyAlignment="1" pivotButton="0" quotePrefix="0" xfId="0">
      <alignment vertical="center"/>
    </xf>
    <xf numFmtId="0" fontId="36" fillId="24" borderId="33" applyAlignment="1" pivotButton="0" quotePrefix="0" xfId="410">
      <alignment horizontal="left" vertical="center"/>
    </xf>
    <xf numFmtId="0" fontId="37" fillId="24" borderId="0" applyAlignment="1" pivotButton="0" quotePrefix="0" xfId="0">
      <alignment horizontal="left" vertical="center"/>
    </xf>
    <xf numFmtId="0" fontId="4" fillId="24" borderId="0" applyAlignment="1" pivotButton="0" quotePrefix="0" xfId="157">
      <alignment vertical="center"/>
    </xf>
    <xf numFmtId="0" fontId="33" fillId="24" borderId="0" applyAlignment="1" pivotButton="0" quotePrefix="0" xfId="157">
      <alignment vertical="center"/>
    </xf>
    <xf numFmtId="14" fontId="35" fillId="24" borderId="10" applyAlignment="1" pivotButton="0" quotePrefix="0" xfId="0">
      <alignment horizontal="center" vertical="center"/>
    </xf>
    <xf numFmtId="0" fontId="35" fillId="24" borderId="10" applyAlignment="1" pivotButton="0" quotePrefix="0" xfId="0">
      <alignment horizontal="center" vertical="center"/>
    </xf>
    <xf numFmtId="0" fontId="35" fillId="24" borderId="10" applyAlignment="1" pivotButton="0" quotePrefix="0" xfId="0">
      <alignment horizontal="center" vertical="center" wrapText="1"/>
    </xf>
    <xf numFmtId="0" fontId="53" fillId="26" borderId="0" applyAlignment="1" pivotButton="0" quotePrefix="0" xfId="157">
      <alignment horizontal="left" vertical="center"/>
    </xf>
    <xf numFmtId="0" fontId="35" fillId="24" borderId="0" applyAlignment="1" pivotButton="0" quotePrefix="0" xfId="0">
      <alignment vertical="center"/>
    </xf>
    <xf numFmtId="0" fontId="25" fillId="24" borderId="10" applyAlignment="1" pivotButton="0" quotePrefix="0" xfId="171">
      <alignment horizontal="center" vertical="center" wrapText="1"/>
    </xf>
    <xf numFmtId="164" fontId="25" fillId="24" borderId="10" applyAlignment="1" pivotButton="0" quotePrefix="0" xfId="171">
      <alignment horizontal="center" vertical="center" wrapText="1"/>
    </xf>
    <xf numFmtId="0" fontId="25" fillId="24" borderId="0" applyAlignment="1" pivotButton="0" quotePrefix="0" xfId="157">
      <alignment horizontal="center" vertical="center"/>
    </xf>
    <xf numFmtId="0" fontId="33" fillId="24" borderId="0" applyAlignment="1" pivotButton="0" quotePrefix="0" xfId="0">
      <alignment horizontal="left" vertical="center"/>
    </xf>
    <xf numFmtId="0" fontId="34" fillId="24" borderId="0" applyAlignment="1" pivotButton="0" quotePrefix="0" xfId="0">
      <alignment horizontal="left" vertical="center"/>
    </xf>
    <xf numFmtId="0" fontId="40" fillId="24" borderId="0" applyAlignment="1" pivotButton="0" quotePrefix="0" xfId="0">
      <alignment vertical="center"/>
    </xf>
    <xf numFmtId="0" fontId="41" fillId="24" borderId="0" applyAlignment="1" pivotButton="0" quotePrefix="0" xfId="157">
      <alignment vertical="center"/>
    </xf>
    <xf numFmtId="0" fontId="31" fillId="24" borderId="0" applyAlignment="1" pivotButton="0" quotePrefix="0" xfId="0">
      <alignment vertical="center"/>
    </xf>
    <xf numFmtId="0" fontId="35" fillId="24" borderId="10" applyAlignment="1" pivotButton="0" quotePrefix="0" xfId="409">
      <alignment horizontal="center" vertical="center"/>
    </xf>
    <xf numFmtId="0" fontId="46" fillId="24" borderId="10" applyAlignment="1" pivotButton="0" quotePrefix="0" xfId="0">
      <alignment horizontal="center" vertical="center"/>
    </xf>
    <xf numFmtId="9" fontId="35" fillId="24" borderId="10" applyAlignment="1" pivotButton="0" quotePrefix="0" xfId="409">
      <alignment horizontal="center" vertical="center"/>
    </xf>
    <xf numFmtId="9" fontId="39" fillId="25" borderId="15" applyAlignment="1" pivotButton="0" quotePrefix="0" xfId="409">
      <alignment horizontal="center" vertical="center"/>
    </xf>
    <xf numFmtId="0" fontId="45" fillId="28" borderId="10" applyAlignment="1" pivotButton="0" quotePrefix="0" xfId="157">
      <alignment horizontal="center" vertical="center"/>
    </xf>
    <xf numFmtId="0" fontId="45" fillId="28" borderId="23" applyAlignment="1" pivotButton="0" quotePrefix="0" xfId="157">
      <alignment horizontal="center" vertical="center"/>
    </xf>
    <xf numFmtId="0" fontId="45" fillId="28" borderId="11" applyAlignment="1" pivotButton="0" quotePrefix="0" xfId="157">
      <alignment horizontal="center" vertical="center"/>
    </xf>
    <xf numFmtId="0" fontId="45" fillId="28" borderId="19" applyAlignment="1" pivotButton="0" quotePrefix="0" xfId="157">
      <alignment horizontal="center" vertical="center"/>
    </xf>
    <xf numFmtId="0" fontId="38" fillId="28" borderId="10" applyAlignment="1" pivotButton="0" quotePrefix="0" xfId="171">
      <alignment horizontal="center" vertical="center" wrapText="1"/>
    </xf>
    <xf numFmtId="0" fontId="42" fillId="26" borderId="38" applyAlignment="1" pivotButton="0" quotePrefix="0" xfId="157">
      <alignment vertical="center"/>
    </xf>
    <xf numFmtId="0" fontId="55" fillId="26" borderId="38" applyAlignment="1" pivotButton="0" quotePrefix="0" xfId="157">
      <alignment horizontal="center" vertical="center"/>
    </xf>
    <xf numFmtId="0" fontId="39" fillId="25" borderId="35" applyAlignment="1" pivotButton="0" quotePrefix="0" xfId="0">
      <alignment horizontal="center" vertical="center"/>
    </xf>
    <xf numFmtId="0" fontId="39" fillId="26" borderId="35" applyAlignment="1" pivotButton="0" quotePrefix="0" xfId="0">
      <alignment horizontal="center" vertical="center"/>
    </xf>
    <xf numFmtId="0" fontId="72" fillId="25" borderId="10" applyAlignment="1" pivotButton="0" quotePrefix="0" xfId="0">
      <alignment horizontal="center" vertical="center"/>
    </xf>
    <xf numFmtId="0" fontId="39" fillId="25" borderId="10" applyAlignment="1" pivotButton="0" quotePrefix="0" xfId="0">
      <alignment horizontal="center" vertical="center"/>
    </xf>
    <xf numFmtId="0" fontId="39" fillId="26" borderId="10" applyAlignment="1" pivotButton="0" quotePrefix="0" xfId="0">
      <alignment horizontal="center" vertical="center"/>
    </xf>
    <xf numFmtId="9" fontId="30" fillId="25" borderId="10" applyAlignment="1" pivotButton="0" quotePrefix="0" xfId="171">
      <alignment horizontal="center" vertical="center" wrapText="1"/>
    </xf>
    <xf numFmtId="0" fontId="39" fillId="25" borderId="10" applyAlignment="1" pivotButton="0" quotePrefix="0" xfId="171">
      <alignment horizontal="center" vertical="center" wrapText="1"/>
    </xf>
    <xf numFmtId="164" fontId="39" fillId="25" borderId="10" applyAlignment="1" pivotButton="0" quotePrefix="0" xfId="171">
      <alignment horizontal="center" vertical="center" wrapText="1"/>
    </xf>
    <xf numFmtId="0" fontId="46" fillId="0" borderId="0" applyAlignment="1" pivotButton="0" quotePrefix="0" xfId="0">
      <alignment vertical="center"/>
    </xf>
    <xf numFmtId="0" fontId="36" fillId="24" borderId="0" applyAlignment="1" pivotButton="0" quotePrefix="0" xfId="0">
      <alignment horizontal="left" vertical="center" wrapText="1"/>
    </xf>
    <xf numFmtId="0" fontId="15" fillId="28" borderId="11" applyAlignment="1" pivotButton="0" quotePrefix="0" xfId="171">
      <alignment horizontal="center" vertical="center" wrapText="1"/>
    </xf>
    <xf numFmtId="0" fontId="36" fillId="24" borderId="10" applyAlignment="1" pivotButton="0" quotePrefix="0" xfId="410">
      <alignment horizontal="center" vertical="center"/>
    </xf>
    <xf numFmtId="0" fontId="36" fillId="24" borderId="12" applyAlignment="1" pivotButton="0" quotePrefix="0" xfId="410">
      <alignment horizontal="center" vertical="center"/>
    </xf>
    <xf numFmtId="0" fontId="37" fillId="24" borderId="0" applyAlignment="1" pivotButton="0" quotePrefix="0" xfId="410">
      <alignment horizontal="left" vertical="center"/>
    </xf>
    <xf numFmtId="0" fontId="36" fillId="24" borderId="25" applyAlignment="1" pivotButton="0" quotePrefix="0" xfId="410">
      <alignment vertical="center"/>
    </xf>
    <xf numFmtId="0" fontId="36" fillId="24" borderId="33" applyAlignment="1" pivotButton="0" quotePrefix="0" xfId="410">
      <alignment vertical="center"/>
    </xf>
    <xf numFmtId="0" fontId="36" fillId="24" borderId="32" applyAlignment="1" pivotButton="0" quotePrefix="0" xfId="410">
      <alignment vertical="center"/>
    </xf>
    <xf numFmtId="0" fontId="36" fillId="24" borderId="27" applyAlignment="1" pivotButton="0" quotePrefix="0" xfId="410">
      <alignment vertical="center"/>
    </xf>
    <xf numFmtId="0" fontId="36" fillId="24" borderId="31" applyAlignment="1" pivotButton="0" quotePrefix="0" xfId="410">
      <alignment vertical="center"/>
    </xf>
    <xf numFmtId="0" fontId="36" fillId="24" borderId="30" applyAlignment="1" pivotButton="0" quotePrefix="0" xfId="410">
      <alignment vertical="center"/>
    </xf>
    <xf numFmtId="0" fontId="36" fillId="24" borderId="29" applyAlignment="1" pivotButton="0" quotePrefix="0" xfId="410">
      <alignment vertical="center"/>
    </xf>
    <xf numFmtId="0" fontId="37" fillId="24" borderId="0" applyAlignment="1" pivotButton="0" quotePrefix="0" xfId="410">
      <alignment vertical="center"/>
    </xf>
    <xf numFmtId="0" fontId="74" fillId="26" borderId="0" applyAlignment="1" pivotButton="0" quotePrefix="0" xfId="157">
      <alignment horizontal="center" vertical="center"/>
    </xf>
    <xf numFmtId="0" fontId="3" fillId="26" borderId="0" applyAlignment="1" pivotButton="0" quotePrefix="0" xfId="8759">
      <alignment vertical="center"/>
    </xf>
    <xf numFmtId="0" fontId="3" fillId="0" borderId="0" applyAlignment="1" pivotButton="0" quotePrefix="0" xfId="8759">
      <alignment vertical="center"/>
    </xf>
    <xf numFmtId="0" fontId="78" fillId="26" borderId="47" applyAlignment="1" pivotButton="0" quotePrefix="0" xfId="8759">
      <alignment horizontal="center" vertical="center"/>
    </xf>
    <xf numFmtId="0" fontId="50" fillId="26" borderId="10" applyAlignment="1" pivotButton="0" quotePrefix="0" xfId="157">
      <alignment horizontal="center" vertical="center"/>
    </xf>
    <xf numFmtId="0" fontId="33" fillId="24" borderId="0" applyAlignment="1" pivotButton="0" quotePrefix="0" xfId="0">
      <alignment vertical="center"/>
    </xf>
    <xf numFmtId="0" fontId="31" fillId="24" borderId="10" applyAlignment="1" pivotButton="0" quotePrefix="0" xfId="0">
      <alignment horizontal="center" vertical="center"/>
    </xf>
    <xf numFmtId="0" fontId="47" fillId="26" borderId="10" applyAlignment="1" pivotButton="0" quotePrefix="0" xfId="0">
      <alignment horizontal="center" vertical="center"/>
    </xf>
    <xf numFmtId="0" fontId="50" fillId="26" borderId="0" applyAlignment="1" pivotButton="0" quotePrefix="0" xfId="8761">
      <alignment vertical="center"/>
    </xf>
    <xf numFmtId="0" fontId="35" fillId="0" borderId="10" applyAlignment="1" pivotButton="0" quotePrefix="1" xfId="415">
      <alignment horizontal="left" vertical="center" wrapText="1"/>
    </xf>
    <xf numFmtId="0" fontId="36" fillId="24" borderId="0" applyAlignment="1" pivotButton="0" quotePrefix="0" xfId="0">
      <alignment horizontal="center" vertical="center"/>
    </xf>
    <xf numFmtId="9" fontId="30" fillId="32" borderId="10" applyAlignment="1" pivotButton="0" quotePrefix="0" xfId="171">
      <alignment horizontal="center" vertical="center" wrapText="1"/>
    </xf>
    <xf numFmtId="0" fontId="86" fillId="24" borderId="0" applyAlignment="1" pivotButton="0" quotePrefix="0" xfId="0">
      <alignment vertical="center"/>
    </xf>
    <xf numFmtId="0" fontId="35" fillId="33" borderId="10" applyAlignment="1" pivotButton="0" quotePrefix="1" xfId="415">
      <alignment horizontal="center" vertical="center" wrapText="1"/>
    </xf>
    <xf numFmtId="0" fontId="75" fillId="0" borderId="0" applyAlignment="1" pivotButton="0" quotePrefix="0" xfId="0">
      <alignment vertical="center"/>
    </xf>
    <xf numFmtId="0" fontId="39" fillId="25" borderId="15" applyAlignment="1" pivotButton="0" quotePrefix="0" xfId="409">
      <alignment horizontal="center" vertical="center"/>
    </xf>
    <xf numFmtId="0" fontId="38" fillId="28" borderId="10" applyAlignment="1" applyProtection="1" pivotButton="0" quotePrefix="0" xfId="171">
      <alignment horizontal="center" vertical="center" wrapText="1"/>
      <protection locked="0" hidden="0"/>
    </xf>
    <xf numFmtId="0" fontId="38" fillId="28" borderId="10" applyAlignment="1" pivotButton="0" quotePrefix="0" xfId="0">
      <alignment horizontal="center" vertical="center"/>
    </xf>
    <xf numFmtId="0" fontId="35" fillId="33" borderId="35" applyAlignment="1" pivotButton="0" quotePrefix="1" xfId="415">
      <alignment horizontal="left" vertical="center" wrapText="1"/>
    </xf>
    <xf numFmtId="0" fontId="36" fillId="24" borderId="12" applyAlignment="1" pivotButton="0" quotePrefix="0" xfId="410">
      <alignment horizontal="center" vertical="center" wrapText="1"/>
    </xf>
    <xf numFmtId="0" fontId="36" fillId="24" borderId="16" applyAlignment="1" pivotButton="0" quotePrefix="0" xfId="410">
      <alignment horizontal="center" vertical="center" wrapText="1"/>
    </xf>
    <xf numFmtId="0" fontId="36" fillId="24" borderId="10" applyAlignment="1" pivotButton="0" quotePrefix="0" xfId="410">
      <alignment horizontal="center" vertical="center" wrapText="1"/>
    </xf>
    <xf numFmtId="0" fontId="36" fillId="24" borderId="13" applyAlignment="1" pivotButton="0" quotePrefix="0" xfId="410">
      <alignment horizontal="center" vertical="center" wrapText="1"/>
    </xf>
    <xf numFmtId="0" fontId="35" fillId="0" borderId="10" applyAlignment="1" pivotButton="0" quotePrefix="0" xfId="8760">
      <alignment horizontal="center" vertical="center" wrapText="1"/>
    </xf>
    <xf numFmtId="0" fontId="82" fillId="34" borderId="14" applyAlignment="1" pivotButton="0" quotePrefix="0" xfId="0">
      <alignment horizontal="center" vertical="center" wrapText="1"/>
    </xf>
    <xf numFmtId="0" fontId="47" fillId="33" borderId="10" applyAlignment="1" pivotButton="0" quotePrefix="0" xfId="0">
      <alignment horizontal="center" vertical="center"/>
    </xf>
    <xf numFmtId="0" fontId="47" fillId="0" borderId="0" applyAlignment="1" pivotButton="0" quotePrefix="0" xfId="171">
      <alignment vertical="center"/>
    </xf>
    <xf numFmtId="0" fontId="83" fillId="35" borderId="0" applyAlignment="1" pivotButton="0" quotePrefix="0" xfId="8762">
      <alignment vertical="center"/>
    </xf>
    <xf numFmtId="0" fontId="52" fillId="0" borderId="0" applyAlignment="1" pivotButton="0" quotePrefix="0" xfId="8763">
      <alignment vertical="center"/>
    </xf>
    <xf numFmtId="0" fontId="90" fillId="35" borderId="0" applyAlignment="1" pivotButton="0" quotePrefix="0" xfId="8762">
      <alignment vertical="top" wrapText="1" readingOrder="1"/>
    </xf>
    <xf numFmtId="0" fontId="91" fillId="0" borderId="0" applyAlignment="1" pivotButton="0" quotePrefix="0" xfId="8763">
      <alignment vertical="center"/>
    </xf>
    <xf numFmtId="0" fontId="92" fillId="35" borderId="0" applyAlignment="1" pivotButton="0" quotePrefix="0" xfId="8762">
      <alignment horizontal="left" vertical="center"/>
    </xf>
    <xf numFmtId="0" fontId="90" fillId="35" borderId="0" applyAlignment="1" pivotButton="0" quotePrefix="0" xfId="8762">
      <alignment vertical="center"/>
    </xf>
    <xf numFmtId="0" fontId="94" fillId="35" borderId="0" applyAlignment="1" pivotButton="0" quotePrefix="0" xfId="8762">
      <alignment vertical="center"/>
    </xf>
    <xf numFmtId="0" fontId="92" fillId="35" borderId="0" applyAlignment="1" pivotButton="0" quotePrefix="0" xfId="8762">
      <alignment vertical="center"/>
    </xf>
    <xf numFmtId="49" fontId="93" fillId="36" borderId="52" applyAlignment="1" pivotButton="0" quotePrefix="0" xfId="8762">
      <alignment horizontal="center" vertical="center" wrapText="1"/>
    </xf>
    <xf numFmtId="49" fontId="93" fillId="36" borderId="53" applyAlignment="1" pivotButton="0" quotePrefix="0" xfId="8762">
      <alignment horizontal="center" vertical="center" wrapText="1"/>
    </xf>
    <xf numFmtId="0" fontId="90" fillId="0" borderId="18" applyAlignment="1" pivotButton="0" quotePrefix="0" xfId="8762">
      <alignment horizontal="center" vertical="center"/>
    </xf>
    <xf numFmtId="0" fontId="92" fillId="35" borderId="0" applyAlignment="1" pivotButton="0" quotePrefix="0" xfId="8762">
      <alignment horizontal="center" vertical="center"/>
    </xf>
    <xf numFmtId="0" fontId="90" fillId="35" borderId="0" applyAlignment="1" pivotButton="0" quotePrefix="0" xfId="8762">
      <alignment horizontal="center" vertical="center"/>
    </xf>
    <xf numFmtId="0" fontId="90" fillId="35" borderId="0" applyAlignment="1" pivotButton="0" quotePrefix="0" xfId="8762">
      <alignment horizontal="left" vertical="center"/>
    </xf>
    <xf numFmtId="0" fontId="92" fillId="0" borderId="10" applyAlignment="1" pivotButton="0" quotePrefix="0" xfId="8762">
      <alignment horizontal="center" vertical="center"/>
    </xf>
    <xf numFmtId="0" fontId="90" fillId="0" borderId="10" applyAlignment="1" pivotButton="0" quotePrefix="0" xfId="8762">
      <alignment horizontal="center" vertical="center"/>
    </xf>
    <xf numFmtId="0" fontId="91" fillId="0" borderId="0" applyAlignment="1" pivotButton="0" quotePrefix="0" xfId="8763">
      <alignment horizontal="center" vertical="center"/>
    </xf>
    <xf numFmtId="0" fontId="90" fillId="0" borderId="0" applyAlignment="1" pivotButton="0" quotePrefix="0" xfId="8762">
      <alignment vertical="center"/>
    </xf>
    <xf numFmtId="0" fontId="52" fillId="0" borderId="0" applyAlignment="1" pivotButton="0" quotePrefix="0" xfId="8763">
      <alignment horizontal="center" vertical="center"/>
    </xf>
    <xf numFmtId="0" fontId="95" fillId="37" borderId="10" applyAlignment="1" pivotButton="0" quotePrefix="0" xfId="385">
      <alignment horizontal="center" vertical="center" wrapText="1"/>
    </xf>
    <xf numFmtId="0" fontId="95" fillId="38" borderId="10" applyAlignment="1" pivotButton="0" quotePrefix="0" xfId="385">
      <alignment horizontal="center" vertical="center" wrapText="1"/>
    </xf>
    <xf numFmtId="0" fontId="36" fillId="37" borderId="10" applyAlignment="1" pivotButton="0" quotePrefix="0" xfId="0">
      <alignment vertical="center" wrapText="1"/>
    </xf>
    <xf numFmtId="0" fontId="36" fillId="38" borderId="10" applyAlignment="1" pivotButton="0" quotePrefix="0" xfId="0">
      <alignment vertical="center" wrapText="1"/>
    </xf>
    <xf numFmtId="0" fontId="36" fillId="30" borderId="10" applyAlignment="1" pivotButton="0" quotePrefix="0" xfId="0">
      <alignment horizontal="center" vertical="center"/>
    </xf>
    <xf numFmtId="0" fontId="38" fillId="28" borderId="14" applyAlignment="1" applyProtection="1" pivotButton="0" quotePrefix="0" xfId="171">
      <alignment horizontal="center" vertical="center" wrapText="1"/>
      <protection locked="0" hidden="0"/>
    </xf>
    <xf numFmtId="0" fontId="97" fillId="26" borderId="10" applyAlignment="1" pivotButton="0" quotePrefix="0" xfId="0">
      <alignment horizontal="center" vertical="center"/>
    </xf>
    <xf numFmtId="0" fontId="97" fillId="26" borderId="10" applyAlignment="1" pivotButton="0" quotePrefix="0" xfId="385">
      <alignment horizontal="center" vertical="center" wrapText="1"/>
    </xf>
    <xf numFmtId="0" fontId="35" fillId="26" borderId="10" applyAlignment="1" pivotButton="0" quotePrefix="0" xfId="1716">
      <alignment horizontal="center" vertical="center"/>
    </xf>
    <xf numFmtId="0" fontId="97" fillId="26" borderId="10" applyAlignment="1" pivotButton="0" quotePrefix="0" xfId="385">
      <alignment horizontal="center" vertical="center"/>
    </xf>
    <xf numFmtId="0" fontId="36" fillId="26" borderId="10" applyAlignment="1" pivotButton="0" quotePrefix="0" xfId="0">
      <alignment horizontal="center" vertical="center"/>
    </xf>
    <xf numFmtId="0" fontId="97" fillId="33" borderId="10" applyAlignment="1" pivotButton="0" quotePrefix="0" xfId="0">
      <alignment horizontal="center" vertical="center"/>
    </xf>
    <xf numFmtId="0" fontId="97" fillId="33" borderId="10" applyAlignment="1" pivotButton="0" quotePrefix="0" xfId="385">
      <alignment horizontal="center" vertical="center" wrapText="1"/>
    </xf>
    <xf numFmtId="0" fontId="35" fillId="33" borderId="10" applyAlignment="1" pivotButton="0" quotePrefix="0" xfId="1716">
      <alignment horizontal="center" vertical="center"/>
    </xf>
    <xf numFmtId="0" fontId="97" fillId="33" borderId="10" applyAlignment="1" pivotButton="0" quotePrefix="0" xfId="385">
      <alignment horizontal="center" vertical="center"/>
    </xf>
    <xf numFmtId="0" fontId="36" fillId="33" borderId="10" applyAlignment="1" pivotButton="0" quotePrefix="0" xfId="0">
      <alignment horizontal="center" vertical="center"/>
    </xf>
    <xf numFmtId="0" fontId="97" fillId="33" borderId="35" applyAlignment="1" pivotButton="0" quotePrefix="0" xfId="0">
      <alignment horizontal="center" vertical="center"/>
    </xf>
    <xf numFmtId="0" fontId="97" fillId="33" borderId="35" applyAlignment="1" pivotButton="0" quotePrefix="0" xfId="385">
      <alignment horizontal="center" vertical="center" wrapText="1"/>
    </xf>
    <xf numFmtId="0" fontId="35" fillId="33" borderId="35" applyAlignment="1" pivotButton="0" quotePrefix="0" xfId="1716">
      <alignment horizontal="center" vertical="center"/>
    </xf>
    <xf numFmtId="0" fontId="95" fillId="37" borderId="35" applyAlignment="1" pivotButton="0" quotePrefix="0" xfId="385">
      <alignment horizontal="center" vertical="center" wrapText="1"/>
    </xf>
    <xf numFmtId="0" fontId="97" fillId="33" borderId="35" applyAlignment="1" pivotButton="0" quotePrefix="0" xfId="385">
      <alignment horizontal="center" vertical="center"/>
    </xf>
    <xf numFmtId="0" fontId="36" fillId="38" borderId="35" applyAlignment="1" pivotButton="0" quotePrefix="0" xfId="0">
      <alignment vertical="center" wrapText="1"/>
    </xf>
    <xf numFmtId="0" fontId="36" fillId="33" borderId="35" applyAlignment="1" pivotButton="0" quotePrefix="0" xfId="0">
      <alignment horizontal="center" vertical="center"/>
    </xf>
    <xf numFmtId="0" fontId="35" fillId="33" borderId="35" applyAlignment="1" pivotButton="0" quotePrefix="1" xfId="415">
      <alignment horizontal="center" vertical="center" wrapText="1"/>
    </xf>
    <xf numFmtId="0" fontId="97" fillId="26" borderId="12" applyAlignment="1" pivotButton="0" quotePrefix="0" xfId="0">
      <alignment horizontal="center" vertical="center"/>
    </xf>
    <xf numFmtId="0" fontId="97" fillId="26" borderId="12" applyAlignment="1" pivotButton="0" quotePrefix="0" xfId="385">
      <alignment horizontal="center" vertical="center" wrapText="1"/>
    </xf>
    <xf numFmtId="0" fontId="35" fillId="26" borderId="12" applyAlignment="1" pivotButton="0" quotePrefix="0" xfId="1716">
      <alignment horizontal="center" vertical="center"/>
    </xf>
    <xf numFmtId="0" fontId="95" fillId="37" borderId="12" applyAlignment="1" pivotButton="0" quotePrefix="0" xfId="385">
      <alignment horizontal="center" vertical="center" wrapText="1"/>
    </xf>
    <xf numFmtId="0" fontId="97" fillId="26" borderId="12" applyAlignment="1" pivotButton="0" quotePrefix="0" xfId="385">
      <alignment horizontal="center" vertical="center"/>
    </xf>
    <xf numFmtId="0" fontId="36" fillId="37" borderId="12" applyAlignment="1" pivotButton="0" quotePrefix="0" xfId="0">
      <alignment vertical="center" wrapText="1"/>
    </xf>
    <xf numFmtId="0" fontId="35" fillId="0" borderId="12" applyAlignment="1" pivotButton="0" quotePrefix="1" xfId="415">
      <alignment horizontal="left" vertical="center" wrapText="1"/>
    </xf>
    <xf numFmtId="0" fontId="36" fillId="26" borderId="12" applyAlignment="1" pivotButton="0" quotePrefix="0" xfId="0">
      <alignment horizontal="center" vertical="center"/>
    </xf>
    <xf numFmtId="0" fontId="97" fillId="26" borderId="35" applyAlignment="1" pivotButton="0" quotePrefix="0" xfId="0">
      <alignment horizontal="center" vertical="center"/>
    </xf>
    <xf numFmtId="0" fontId="97" fillId="26" borderId="35" applyAlignment="1" pivotButton="0" quotePrefix="0" xfId="385">
      <alignment horizontal="center" vertical="center" wrapText="1"/>
    </xf>
    <xf numFmtId="0" fontId="35" fillId="26" borderId="35" applyAlignment="1" pivotButton="0" quotePrefix="0" xfId="1716">
      <alignment horizontal="center" vertical="center"/>
    </xf>
    <xf numFmtId="0" fontId="97" fillId="26" borderId="35" applyAlignment="1" pivotButton="0" quotePrefix="0" xfId="385">
      <alignment horizontal="center" vertical="center"/>
    </xf>
    <xf numFmtId="0" fontId="36" fillId="37" borderId="35" applyAlignment="1" pivotButton="0" quotePrefix="0" xfId="0">
      <alignment vertical="center" wrapText="1"/>
    </xf>
    <xf numFmtId="0" fontId="36" fillId="26" borderId="35" applyAlignment="1" pivotButton="0" quotePrefix="0" xfId="0">
      <alignment horizontal="center" vertical="center"/>
    </xf>
    <xf numFmtId="0" fontId="97" fillId="33" borderId="12" applyAlignment="1" pivotButton="0" quotePrefix="0" xfId="385">
      <alignment horizontal="center" vertical="center" wrapText="1"/>
    </xf>
    <xf numFmtId="0" fontId="35" fillId="33" borderId="12" applyAlignment="1" pivotButton="0" quotePrefix="0" xfId="1716">
      <alignment horizontal="center" vertical="center"/>
    </xf>
    <xf numFmtId="0" fontId="97" fillId="33" borderId="12" applyAlignment="1" pivotButton="0" quotePrefix="0" xfId="385">
      <alignment horizontal="center" vertical="center"/>
    </xf>
    <xf numFmtId="0" fontId="36" fillId="38" borderId="12" applyAlignment="1" pivotButton="0" quotePrefix="0" xfId="0">
      <alignment vertical="center" wrapText="1"/>
    </xf>
    <xf numFmtId="0" fontId="35" fillId="33" borderId="12" applyAlignment="1" pivotButton="0" quotePrefix="1" xfId="415">
      <alignment horizontal="left" vertical="center" wrapText="1"/>
    </xf>
    <xf numFmtId="0" fontId="97" fillId="26" borderId="14" applyAlignment="1" pivotButton="0" quotePrefix="0" xfId="385">
      <alignment horizontal="center" vertical="center" wrapText="1"/>
    </xf>
    <xf numFmtId="0" fontId="35" fillId="26" borderId="14" applyAlignment="1" pivotButton="0" quotePrefix="0" xfId="1716">
      <alignment horizontal="center" vertical="center"/>
    </xf>
    <xf numFmtId="0" fontId="97" fillId="33" borderId="56" applyAlignment="1" pivotButton="0" quotePrefix="0" xfId="0">
      <alignment horizontal="center" vertical="center"/>
    </xf>
    <xf numFmtId="0" fontId="97" fillId="33" borderId="56" applyAlignment="1" pivotButton="0" quotePrefix="0" xfId="385">
      <alignment horizontal="center" vertical="center"/>
    </xf>
    <xf numFmtId="0" fontId="36" fillId="38" borderId="56" applyAlignment="1" pivotButton="0" quotePrefix="0" xfId="0">
      <alignment vertical="center" wrapText="1"/>
    </xf>
    <xf numFmtId="0" fontId="36" fillId="33" borderId="56" applyAlignment="1" pivotButton="0" quotePrefix="0" xfId="0">
      <alignment horizontal="center" vertical="center"/>
    </xf>
    <xf numFmtId="0" fontId="35" fillId="33" borderId="56" applyAlignment="1" pivotButton="0" quotePrefix="1" xfId="415">
      <alignment horizontal="center" vertical="center" wrapText="1"/>
    </xf>
    <xf numFmtId="0" fontId="36" fillId="27" borderId="10" applyAlignment="1" pivotButton="0" quotePrefix="0" xfId="411">
      <alignment horizontal="center" vertical="center"/>
    </xf>
    <xf numFmtId="0" fontId="35" fillId="0" borderId="21" applyAlignment="1" pivotButton="0" quotePrefix="0" xfId="8760">
      <alignment horizontal="center" vertical="center"/>
    </xf>
    <xf numFmtId="0" fontId="35" fillId="26" borderId="21" applyAlignment="1" pivotButton="0" quotePrefix="0" xfId="8760">
      <alignment horizontal="center" vertical="center"/>
    </xf>
    <xf numFmtId="0" fontId="95" fillId="26" borderId="10" applyAlignment="1" pivotButton="0" quotePrefix="0" xfId="157">
      <alignment horizontal="center" vertical="center" wrapText="1"/>
    </xf>
    <xf numFmtId="0" fontId="36" fillId="26" borderId="0" applyAlignment="1" pivotButton="0" quotePrefix="0" xfId="0">
      <alignment vertical="center"/>
    </xf>
    <xf numFmtId="0" fontId="99" fillId="26" borderId="0" applyAlignment="1" pivotButton="0" quotePrefix="0" xfId="157">
      <alignment vertical="center"/>
    </xf>
    <xf numFmtId="0" fontId="99" fillId="26" borderId="0" applyAlignment="1" pivotButton="0" quotePrefix="0" xfId="157">
      <alignment horizontal="center" vertical="center"/>
    </xf>
    <xf numFmtId="0" fontId="35" fillId="26" borderId="10" applyAlignment="1" pivotButton="0" quotePrefix="0" xfId="0">
      <alignment horizontal="center" vertical="center"/>
    </xf>
    <xf numFmtId="0" fontId="35" fillId="33" borderId="10" applyAlignment="1" pivotButton="0" quotePrefix="0" xfId="0">
      <alignment horizontal="center" vertical="center"/>
    </xf>
    <xf numFmtId="0" fontId="35" fillId="0" borderId="10" applyAlignment="1" pivotButton="0" quotePrefix="0" xfId="1716">
      <alignment vertical="center"/>
    </xf>
    <xf numFmtId="0" fontId="35" fillId="39" borderId="10" applyAlignment="1" pivotButton="0" quotePrefix="0" xfId="1716">
      <alignment vertical="center"/>
    </xf>
    <xf numFmtId="0" fontId="35" fillId="0" borderId="10" applyAlignment="1" pivotButton="0" quotePrefix="0" xfId="1716">
      <alignment vertical="top" wrapText="1"/>
    </xf>
    <xf numFmtId="0" fontId="95" fillId="38" borderId="35" applyAlignment="1" pivotButton="0" quotePrefix="0" xfId="385">
      <alignment horizontal="center" vertical="center" wrapText="1"/>
    </xf>
    <xf numFmtId="0" fontId="95" fillId="38" borderId="12" applyAlignment="1" pivotButton="0" quotePrefix="0" xfId="385">
      <alignment horizontal="center" vertical="center" wrapText="1"/>
    </xf>
    <xf numFmtId="0" fontId="47" fillId="39" borderId="10" applyAlignment="1" pivotButton="0" quotePrefix="0" xfId="0">
      <alignment horizontal="center" vertical="center"/>
    </xf>
    <xf numFmtId="0" fontId="47" fillId="0" borderId="0" applyAlignment="1" pivotButton="0" quotePrefix="0" xfId="0">
      <alignment vertical="center"/>
    </xf>
    <xf numFmtId="0" fontId="35" fillId="0" borderId="10" applyAlignment="1" pivotButton="0" quotePrefix="1" xfId="415">
      <alignment horizontal="center" vertical="center" wrapText="1"/>
    </xf>
    <xf numFmtId="0" fontId="36" fillId="0" borderId="35" applyAlignment="1" pivotButton="0" quotePrefix="0" xfId="0">
      <alignment vertical="center" wrapText="1"/>
    </xf>
    <xf numFmtId="0" fontId="35" fillId="0" borderId="35" applyAlignment="1" pivotButton="0" quotePrefix="1" xfId="415">
      <alignment horizontal="left" vertical="center" wrapText="1"/>
    </xf>
    <xf numFmtId="0" fontId="95" fillId="40" borderId="56" applyAlignment="1" pivotButton="0" quotePrefix="0" xfId="385">
      <alignment horizontal="center" vertical="center" wrapText="1"/>
    </xf>
    <xf numFmtId="0" fontId="47" fillId="26" borderId="30" applyAlignment="1" pivotButton="0" quotePrefix="0" xfId="0">
      <alignment vertical="center"/>
    </xf>
    <xf numFmtId="0" fontId="97" fillId="26" borderId="26" applyAlignment="1" pivotButton="0" quotePrefix="0" xfId="0">
      <alignment horizontal="center" vertical="center"/>
    </xf>
    <xf numFmtId="0" fontId="97" fillId="26" borderId="21" applyAlignment="1" pivotButton="0" quotePrefix="0" xfId="0">
      <alignment horizontal="center" vertical="center"/>
    </xf>
    <xf numFmtId="0" fontId="97" fillId="26" borderId="39" applyAlignment="1" pivotButton="0" quotePrefix="0" xfId="0">
      <alignment horizontal="center" vertical="center"/>
    </xf>
    <xf numFmtId="0" fontId="97" fillId="26" borderId="48" applyAlignment="1" pivotButton="0" quotePrefix="0" xfId="385">
      <alignment horizontal="center" vertical="center" wrapText="1"/>
    </xf>
    <xf numFmtId="0" fontId="97" fillId="26" borderId="51" applyAlignment="1" pivotButton="0" quotePrefix="0" xfId="0">
      <alignment horizontal="center" vertical="center"/>
    </xf>
    <xf numFmtId="0" fontId="97" fillId="0" borderId="35" applyAlignment="1" pivotButton="0" quotePrefix="0" xfId="0">
      <alignment horizontal="center" vertical="center"/>
    </xf>
    <xf numFmtId="0" fontId="97" fillId="0" borderId="10" applyAlignment="1" pivotButton="0" quotePrefix="0" xfId="0">
      <alignment horizontal="center" vertical="center"/>
    </xf>
    <xf numFmtId="0" fontId="35" fillId="26" borderId="11" applyAlignment="1" pivotButton="0" quotePrefix="0" xfId="1716">
      <alignment horizontal="center" vertical="center"/>
    </xf>
    <xf numFmtId="0" fontId="96" fillId="34" borderId="14" applyAlignment="1" pivotButton="0" quotePrefix="0" xfId="0">
      <alignment horizontal="center" vertical="center" wrapText="1"/>
    </xf>
    <xf numFmtId="0" fontId="36" fillId="0" borderId="10" applyAlignment="1" pivotButton="0" quotePrefix="0" xfId="0">
      <alignment horizontal="center" vertical="center"/>
    </xf>
    <xf numFmtId="0" fontId="35" fillId="39" borderId="57" applyAlignment="1" pivotButton="0" quotePrefix="1" xfId="415">
      <alignment horizontal="left" vertical="center" wrapText="1"/>
    </xf>
    <xf numFmtId="0" fontId="98" fillId="0" borderId="0" applyAlignment="1" pivotButton="0" quotePrefix="0" xfId="0">
      <alignment vertical="center"/>
    </xf>
    <xf numFmtId="0" fontId="35" fillId="0" borderId="0" applyAlignment="1" pivotButton="0" quotePrefix="1" xfId="415">
      <alignment horizontal="left" vertical="center" wrapText="1"/>
    </xf>
    <xf numFmtId="0" fontId="38" fillId="28" borderId="42" applyAlignment="1" applyProtection="1" pivotButton="0" quotePrefix="0" xfId="171">
      <alignment horizontal="center" vertical="center" wrapText="1"/>
      <protection locked="0" hidden="0"/>
    </xf>
    <xf numFmtId="0" fontId="38" fillId="28" borderId="35" applyAlignment="1" applyProtection="1" pivotButton="0" quotePrefix="0" xfId="171">
      <alignment horizontal="center" vertical="center" wrapText="1"/>
      <protection locked="0" hidden="0"/>
    </xf>
    <xf numFmtId="0" fontId="97" fillId="39" borderId="10" applyAlignment="1" pivotButton="0" quotePrefix="0" xfId="0">
      <alignment horizontal="center" vertical="center"/>
    </xf>
    <xf numFmtId="0" fontId="35" fillId="0" borderId="12" applyAlignment="1" pivotButton="0" quotePrefix="0" xfId="1716">
      <alignment vertical="top" wrapText="1"/>
    </xf>
    <xf numFmtId="0" fontId="35" fillId="0" borderId="35" applyAlignment="1" pivotButton="0" quotePrefix="0" xfId="1716">
      <alignment vertical="top" wrapText="1"/>
    </xf>
    <xf numFmtId="0" fontId="35" fillId="0" borderId="56" applyAlignment="1" pivotButton="0" quotePrefix="0" xfId="1716">
      <alignment vertical="top" wrapText="1"/>
    </xf>
    <xf numFmtId="0" fontId="35" fillId="39" borderId="10" applyAlignment="1" pivotButton="0" quotePrefix="0" xfId="1716">
      <alignment vertical="top" wrapText="1"/>
    </xf>
    <xf numFmtId="0" fontId="35" fillId="39" borderId="12" applyAlignment="1" pivotButton="0" quotePrefix="0" xfId="1716">
      <alignment vertical="top" wrapText="1"/>
    </xf>
    <xf numFmtId="0" fontId="97" fillId="39" borderId="11" applyAlignment="1" pivotButton="0" quotePrefix="0" xfId="0">
      <alignment horizontal="center" vertical="center"/>
    </xf>
    <xf numFmtId="0" fontId="97" fillId="33" borderId="11" applyAlignment="1" pivotButton="0" quotePrefix="0" xfId="385">
      <alignment horizontal="center" vertical="center" wrapText="1"/>
    </xf>
    <xf numFmtId="0" fontId="35" fillId="33" borderId="11" applyAlignment="1" pivotButton="0" quotePrefix="0" xfId="1716">
      <alignment horizontal="center" vertical="center"/>
    </xf>
    <xf numFmtId="0" fontId="35" fillId="39" borderId="11" applyAlignment="1" pivotButton="0" quotePrefix="0" xfId="1716">
      <alignment vertical="top" wrapText="1"/>
    </xf>
    <xf numFmtId="0" fontId="97" fillId="39" borderId="12" applyAlignment="1" pivotButton="0" quotePrefix="0" xfId="0">
      <alignment horizontal="center" vertical="center"/>
    </xf>
    <xf numFmtId="0" fontId="97" fillId="26" borderId="11" applyAlignment="1" pivotButton="0" quotePrefix="0" xfId="0">
      <alignment horizontal="center" vertical="center"/>
    </xf>
    <xf numFmtId="0" fontId="97" fillId="26" borderId="11" applyAlignment="1" pivotButton="0" quotePrefix="0" xfId="385">
      <alignment horizontal="center" vertical="center" wrapText="1"/>
    </xf>
    <xf numFmtId="0" fontId="35" fillId="0" borderId="11" applyAlignment="1" pivotButton="0" quotePrefix="0" xfId="1716">
      <alignment vertical="top" wrapText="1"/>
    </xf>
    <xf numFmtId="0" fontId="97" fillId="26" borderId="56" applyAlignment="1" pivotButton="0" quotePrefix="0" xfId="0">
      <alignment horizontal="center" vertical="center"/>
    </xf>
    <xf numFmtId="0" fontId="97" fillId="33" borderId="57" applyAlignment="1" pivotButton="0" quotePrefix="0" xfId="385">
      <alignment horizontal="center" vertical="center" wrapText="1"/>
    </xf>
    <xf numFmtId="0" fontId="35" fillId="33" borderId="57" applyAlignment="1" pivotButton="0" quotePrefix="0" xfId="1716">
      <alignment horizontal="center" vertical="center"/>
    </xf>
    <xf numFmtId="0" fontId="35" fillId="39" borderId="57" applyAlignment="1" pivotButton="0" quotePrefix="0" xfId="1716">
      <alignment vertical="top" wrapText="1"/>
    </xf>
    <xf numFmtId="0" fontId="35" fillId="0" borderId="10" applyAlignment="1" pivotButton="0" quotePrefix="0" xfId="8760">
      <alignment horizontal="center" vertical="center"/>
    </xf>
    <xf numFmtId="0" fontId="96" fillId="31" borderId="23" applyAlignment="1" applyProtection="1" pivotButton="0" quotePrefix="0" xfId="171">
      <alignment horizontal="center" vertical="center" wrapText="1"/>
      <protection locked="0" hidden="0"/>
    </xf>
    <xf numFmtId="0" fontId="96" fillId="31" borderId="19" applyAlignment="1" applyProtection="1" pivotButton="0" quotePrefix="0" xfId="171">
      <alignment horizontal="center" vertical="center" wrapText="1"/>
      <protection locked="0" hidden="0"/>
    </xf>
    <xf numFmtId="0" fontId="97" fillId="26" borderId="0" applyAlignment="1" pivotButton="0" quotePrefix="0" xfId="8761">
      <alignment vertical="center"/>
    </xf>
    <xf numFmtId="0" fontId="35" fillId="26" borderId="22" applyAlignment="1" pivotButton="0" quotePrefix="0" xfId="1716">
      <alignment vertical="center" wrapText="1"/>
    </xf>
    <xf numFmtId="0" fontId="35" fillId="26" borderId="13" applyAlignment="1" pivotButton="0" quotePrefix="0" xfId="1716">
      <alignment vertical="center" wrapText="1"/>
    </xf>
    <xf numFmtId="0" fontId="35" fillId="26" borderId="22" applyAlignment="1" pivotButton="0" quotePrefix="1" xfId="1716">
      <alignment vertical="center" wrapText="1"/>
    </xf>
    <xf numFmtId="0" fontId="35" fillId="0" borderId="18" applyAlignment="1" pivotButton="0" quotePrefix="1" xfId="415">
      <alignment horizontal="left" vertical="top" wrapText="1"/>
    </xf>
    <xf numFmtId="0" fontId="35" fillId="0" borderId="10" applyAlignment="1" pivotButton="0" quotePrefix="1" xfId="415">
      <alignment horizontal="left" vertical="top" wrapText="1"/>
    </xf>
    <xf numFmtId="0" fontId="35" fillId="0" borderId="12" applyAlignment="1" pivotButton="0" quotePrefix="1" xfId="415">
      <alignment horizontal="left" vertical="top" wrapText="1"/>
    </xf>
    <xf numFmtId="0" fontId="35" fillId="0" borderId="41" applyAlignment="1" pivotButton="0" quotePrefix="1" xfId="415">
      <alignment horizontal="left" vertical="top" wrapText="1"/>
    </xf>
    <xf numFmtId="0" fontId="35" fillId="39" borderId="11" applyAlignment="1" pivotButton="0" quotePrefix="1" xfId="415">
      <alignment horizontal="left" vertical="top" wrapText="1"/>
    </xf>
    <xf numFmtId="0" fontId="35" fillId="39" borderId="10" applyAlignment="1" pivotButton="0" quotePrefix="1" xfId="415">
      <alignment horizontal="left" vertical="top" wrapText="1"/>
    </xf>
    <xf numFmtId="0" fontId="35" fillId="39" borderId="12" applyAlignment="1" pivotButton="0" quotePrefix="1" xfId="415">
      <alignment horizontal="left" vertical="top" wrapText="1"/>
    </xf>
    <xf numFmtId="0" fontId="35" fillId="0" borderId="11" applyAlignment="1" pivotButton="0" quotePrefix="1" xfId="415">
      <alignment horizontal="left" vertical="top" wrapText="1"/>
    </xf>
    <xf numFmtId="0" fontId="35" fillId="39" borderId="57" applyAlignment="1" pivotButton="0" quotePrefix="1" xfId="415">
      <alignment horizontal="left" vertical="top" wrapText="1"/>
    </xf>
    <xf numFmtId="0" fontId="35" fillId="0" borderId="35" applyAlignment="1" pivotButton="0" quotePrefix="1" xfId="415">
      <alignment horizontal="left" vertical="top" wrapText="1"/>
    </xf>
    <xf numFmtId="0" fontId="35" fillId="39" borderId="41" applyAlignment="1" pivotButton="0" quotePrefix="1" xfId="415">
      <alignment horizontal="left" vertical="top" wrapText="1"/>
    </xf>
    <xf numFmtId="0" fontId="35" fillId="39" borderId="18" applyAlignment="1" pivotButton="0" quotePrefix="1" xfId="415">
      <alignment horizontal="left" vertical="top" wrapText="1"/>
    </xf>
    <xf numFmtId="0" fontId="35" fillId="39" borderId="56" applyAlignment="1" pivotButton="0" quotePrefix="1" xfId="415">
      <alignment horizontal="left" vertical="top" wrapText="1"/>
    </xf>
    <xf numFmtId="0" fontId="35" fillId="39" borderId="10" applyAlignment="1" pivotButton="0" quotePrefix="0" xfId="0">
      <alignment horizontal="center" vertical="center"/>
    </xf>
    <xf numFmtId="0" fontId="35" fillId="0" borderId="10" applyAlignment="1" pivotButton="0" quotePrefix="0" xfId="0">
      <alignment horizontal="center" vertical="center"/>
    </xf>
    <xf numFmtId="0" fontId="97" fillId="39" borderId="56" applyAlignment="1" pivotButton="0" quotePrefix="0" xfId="385">
      <alignment horizontal="center" vertical="center" wrapText="1"/>
    </xf>
    <xf numFmtId="14" fontId="36" fillId="26" borderId="10" applyAlignment="1" pivotButton="0" quotePrefix="0" xfId="0">
      <alignment horizontal="center" vertical="center"/>
    </xf>
    <xf numFmtId="14" fontId="36" fillId="33" borderId="10" applyAlignment="1" pivotButton="0" quotePrefix="0" xfId="0">
      <alignment horizontal="center" vertical="center"/>
    </xf>
    <xf numFmtId="0" fontId="36" fillId="0" borderId="0" applyAlignment="1" pivotButton="0" quotePrefix="0" xfId="0">
      <alignment vertical="center"/>
    </xf>
    <xf numFmtId="14" fontId="36" fillId="0" borderId="10" applyAlignment="1" pivotButton="0" quotePrefix="0" xfId="0">
      <alignment horizontal="center" vertical="center"/>
    </xf>
    <xf numFmtId="14" fontId="100" fillId="33" borderId="10" applyAlignment="1" pivotButton="0" quotePrefix="0" xfId="0">
      <alignment horizontal="center" vertical="center"/>
    </xf>
    <xf numFmtId="0" fontId="95" fillId="37" borderId="48" applyAlignment="1" pivotButton="0" quotePrefix="0" xfId="385">
      <alignment horizontal="center" vertical="center" wrapText="1"/>
    </xf>
    <xf numFmtId="0" fontId="97" fillId="0" borderId="48" applyAlignment="1" pivotButton="0" quotePrefix="0" xfId="385">
      <alignment horizontal="center" vertical="center"/>
    </xf>
    <xf numFmtId="0" fontId="97" fillId="33" borderId="60" applyAlignment="1" pivotButton="0" quotePrefix="0" xfId="0">
      <alignment horizontal="center" vertical="center"/>
    </xf>
    <xf numFmtId="0" fontId="97" fillId="39" borderId="55" applyAlignment="1" pivotButton="0" quotePrefix="0" xfId="385">
      <alignment horizontal="center" vertical="center" wrapText="1"/>
    </xf>
    <xf numFmtId="0" fontId="96" fillId="28" borderId="14" applyAlignment="1" pivotButton="0" quotePrefix="0" xfId="157">
      <alignment horizontal="center" vertical="center"/>
    </xf>
    <xf numFmtId="0" fontId="36" fillId="30" borderId="35" applyAlignment="1" pivotButton="0" quotePrefix="0" xfId="0">
      <alignment horizontal="center" vertical="center"/>
    </xf>
    <xf numFmtId="0" fontId="80" fillId="26" borderId="0" applyAlignment="1" pivotButton="0" quotePrefix="0" xfId="8759">
      <alignment horizontal="center" vertical="center" wrapText="1"/>
    </xf>
    <xf numFmtId="0" fontId="79" fillId="26" borderId="0" applyAlignment="1" pivotButton="0" quotePrefix="0" xfId="8759">
      <alignment horizontal="center" vertical="center"/>
    </xf>
    <xf numFmtId="0" fontId="76" fillId="26" borderId="10" applyAlignment="1" pivotButton="0" quotePrefix="0" xfId="8759">
      <alignment horizontal="center" vertical="center"/>
    </xf>
    <xf numFmtId="0" fontId="77" fillId="26" borderId="10" applyAlignment="1" pivotButton="0" quotePrefix="0" xfId="8759">
      <alignment horizontal="center" vertical="center"/>
    </xf>
    <xf numFmtId="0" fontId="77" fillId="26" borderId="18" applyAlignment="1" pivotButton="0" quotePrefix="0" xfId="8759">
      <alignment horizontal="center" vertical="center"/>
    </xf>
    <xf numFmtId="0" fontId="77" fillId="26" borderId="21" applyAlignment="1" pivotButton="0" quotePrefix="0" xfId="8759">
      <alignment horizontal="center" vertical="center"/>
    </xf>
    <xf numFmtId="0" fontId="77" fillId="26" borderId="17" applyAlignment="1" pivotButton="0" quotePrefix="0" xfId="8759">
      <alignment horizontal="center" vertical="center" wrapText="1"/>
    </xf>
    <xf numFmtId="0" fontId="77" fillId="26" borderId="40" applyAlignment="1" pivotButton="0" quotePrefix="0" xfId="8759">
      <alignment horizontal="center" vertical="center" wrapText="1"/>
    </xf>
    <xf numFmtId="0" fontId="77" fillId="26" borderId="26" applyAlignment="1" pivotButton="0" quotePrefix="0" xfId="8759">
      <alignment horizontal="center" vertical="center" wrapText="1"/>
    </xf>
    <xf numFmtId="0" fontId="77" fillId="26" borderId="41" applyAlignment="1" pivotButton="0" quotePrefix="0" xfId="8759">
      <alignment horizontal="center" vertical="center" wrapText="1"/>
    </xf>
    <xf numFmtId="0" fontId="77" fillId="26" borderId="38" applyAlignment="1" pivotButton="0" quotePrefix="0" xfId="8759">
      <alignment horizontal="center" vertical="center" wrapText="1"/>
    </xf>
    <xf numFmtId="0" fontId="77" fillId="26" borderId="39" applyAlignment="1" pivotButton="0" quotePrefix="0" xfId="8759">
      <alignment horizontal="center" vertical="center" wrapText="1"/>
    </xf>
    <xf numFmtId="0" fontId="79" fillId="26" borderId="0" applyAlignment="1" pivotButton="0" quotePrefix="0" xfId="8759">
      <alignment horizontal="left" vertical="center"/>
    </xf>
    <xf numFmtId="0" fontId="92" fillId="0" borderId="10" applyAlignment="1" pivotButton="0" quotePrefix="0" xfId="8762">
      <alignment horizontal="center" vertical="center" wrapText="1"/>
    </xf>
    <xf numFmtId="0" fontId="90" fillId="0" borderId="10" applyAlignment="1" pivotButton="0" quotePrefix="0" xfId="8762">
      <alignment horizontal="center" vertical="center" wrapText="1"/>
    </xf>
    <xf numFmtId="49" fontId="93" fillId="36" borderId="10" applyAlignment="1" pivotButton="0" quotePrefix="0" xfId="8762">
      <alignment horizontal="center" vertical="center" wrapText="1"/>
    </xf>
    <xf numFmtId="0" fontId="90" fillId="0" borderId="10" applyAlignment="1" pivotButton="0" quotePrefix="0" xfId="8762">
      <alignment horizontal="center" vertical="center"/>
    </xf>
    <xf numFmtId="0" fontId="92" fillId="0" borderId="14" applyAlignment="1" pivotButton="0" quotePrefix="0" xfId="8762">
      <alignment horizontal="center" vertical="center"/>
    </xf>
    <xf numFmtId="0" fontId="92" fillId="0" borderId="48" applyAlignment="1" pivotButton="0" quotePrefix="0" xfId="8762">
      <alignment horizontal="center" vertical="center"/>
    </xf>
    <xf numFmtId="0" fontId="92" fillId="0" borderId="35" applyAlignment="1" pivotButton="0" quotePrefix="0" xfId="8762">
      <alignment horizontal="center" vertical="center"/>
    </xf>
    <xf numFmtId="0" fontId="90" fillId="35" borderId="0" applyAlignment="1" pivotButton="0" quotePrefix="0" xfId="8762">
      <alignment horizontal="left" vertical="center" wrapText="1"/>
    </xf>
    <xf numFmtId="0" fontId="92" fillId="0" borderId="14" applyAlignment="1" pivotButton="0" quotePrefix="0" xfId="8762">
      <alignment horizontal="center" vertical="center" wrapText="1"/>
    </xf>
    <xf numFmtId="0" fontId="92" fillId="0" borderId="48" applyAlignment="1" pivotButton="0" quotePrefix="0" xfId="8762">
      <alignment horizontal="center" vertical="center" wrapText="1"/>
    </xf>
    <xf numFmtId="0" fontId="92" fillId="0" borderId="35" applyAlignment="1" pivotButton="0" quotePrefix="0" xfId="8762">
      <alignment horizontal="center" vertical="center" wrapText="1"/>
    </xf>
    <xf numFmtId="0" fontId="90" fillId="0" borderId="10" applyAlignment="1" pivotButton="0" quotePrefix="0" xfId="8762">
      <alignment horizontal="left" vertical="center" wrapText="1"/>
    </xf>
    <xf numFmtId="0" fontId="88" fillId="0" borderId="0" applyAlignment="1" pivotButton="0" quotePrefix="0" xfId="171">
      <alignment horizontal="left" vertical="center" wrapText="1"/>
    </xf>
    <xf numFmtId="0" fontId="90" fillId="35" borderId="0" applyAlignment="1" pivotButton="0" quotePrefix="0" xfId="8762">
      <alignment horizontal="left" vertical="top" wrapText="1" readingOrder="1"/>
    </xf>
    <xf numFmtId="0" fontId="36" fillId="24" borderId="18" applyAlignment="1" pivotButton="0" quotePrefix="0" xfId="410">
      <alignment horizontal="center" vertical="center" wrapText="1"/>
    </xf>
    <xf numFmtId="0" fontId="36" fillId="24" borderId="20" applyAlignment="1" pivotButton="0" quotePrefix="0" xfId="410">
      <alignment horizontal="center" vertical="center" wrapText="1"/>
    </xf>
    <xf numFmtId="0" fontId="36" fillId="24" borderId="21" applyAlignment="1" pivotButton="0" quotePrefix="0" xfId="410">
      <alignment horizontal="center" vertical="center" wrapText="1"/>
    </xf>
    <xf numFmtId="0" fontId="36" fillId="24" borderId="49" applyAlignment="1" pivotButton="0" quotePrefix="0" xfId="410">
      <alignment horizontal="center" vertical="center" wrapText="1"/>
    </xf>
    <xf numFmtId="0" fontId="36" fillId="24" borderId="50" applyAlignment="1" pivotButton="0" quotePrefix="0" xfId="410">
      <alignment horizontal="center" vertical="center" wrapText="1"/>
    </xf>
    <xf numFmtId="0" fontId="36" fillId="24" borderId="51" applyAlignment="1" pivotButton="0" quotePrefix="0" xfId="410">
      <alignment horizontal="center" vertical="center" wrapText="1"/>
    </xf>
    <xf numFmtId="0" fontId="36" fillId="24" borderId="25" applyAlignment="1" pivotButton="0" quotePrefix="0" xfId="410">
      <alignment horizontal="left" vertical="center"/>
    </xf>
    <xf numFmtId="0" fontId="36" fillId="24" borderId="30" applyAlignment="1" pivotButton="0" quotePrefix="0" xfId="410">
      <alignment horizontal="left" vertical="center"/>
    </xf>
    <xf numFmtId="0" fontId="36" fillId="24" borderId="10" applyAlignment="1" pivotButton="0" quotePrefix="0" xfId="410">
      <alignment horizontal="center" vertical="center"/>
    </xf>
    <xf numFmtId="0" fontId="36" fillId="24" borderId="13" applyAlignment="1" pivotButton="0" quotePrefix="0" xfId="410">
      <alignment horizontal="center" vertical="center"/>
    </xf>
    <xf numFmtId="0" fontId="36" fillId="24" borderId="12" applyAlignment="1" pivotButton="0" quotePrefix="0" xfId="410">
      <alignment horizontal="center" vertical="center"/>
    </xf>
    <xf numFmtId="0" fontId="36" fillId="24" borderId="16" applyAlignment="1" pivotButton="0" quotePrefix="0" xfId="410">
      <alignment horizontal="center" vertical="center"/>
    </xf>
    <xf numFmtId="0" fontId="36" fillId="24" borderId="22" applyAlignment="1" pivotButton="0" quotePrefix="0" xfId="410">
      <alignment horizontal="center" vertical="center" wrapText="1"/>
    </xf>
    <xf numFmtId="0" fontId="36" fillId="24" borderId="10" applyAlignment="1" pivotButton="0" quotePrefix="0" xfId="410">
      <alignment horizontal="center" vertical="center" wrapText="1"/>
    </xf>
    <xf numFmtId="0" fontId="36" fillId="24" borderId="24" applyAlignment="1" pivotButton="0" quotePrefix="0" xfId="410">
      <alignment horizontal="center" vertical="center" wrapText="1"/>
    </xf>
    <xf numFmtId="0" fontId="36" fillId="24" borderId="12" applyAlignment="1" pivotButton="0" quotePrefix="0" xfId="410">
      <alignment horizontal="center" vertical="center" wrapText="1"/>
    </xf>
    <xf numFmtId="0" fontId="37" fillId="24" borderId="0" applyAlignment="1" pivotButton="0" quotePrefix="0" xfId="410">
      <alignment horizontal="left" vertical="center"/>
    </xf>
    <xf numFmtId="0" fontId="15" fillId="28" borderId="23" applyAlignment="1" pivotButton="0" quotePrefix="0" xfId="171">
      <alignment horizontal="center" vertical="center" wrapText="1"/>
    </xf>
    <xf numFmtId="0" fontId="15" fillId="28" borderId="11" applyAlignment="1" pivotButton="0" quotePrefix="0" xfId="171">
      <alignment horizontal="center" vertical="center" wrapText="1"/>
    </xf>
    <xf numFmtId="0" fontId="15" fillId="28" borderId="19" applyAlignment="1" pivotButton="0" quotePrefix="0" xfId="171">
      <alignment horizontal="center" vertical="center" wrapText="1"/>
    </xf>
    <xf numFmtId="0" fontId="36" fillId="24" borderId="0" applyAlignment="1" pivotButton="0" quotePrefix="0" xfId="410">
      <alignment horizontal="left" vertical="center" wrapText="1"/>
    </xf>
    <xf numFmtId="0" fontId="36" fillId="24" borderId="0" applyAlignment="1" pivotButton="0" quotePrefix="0" xfId="410">
      <alignment horizontal="left" vertical="center"/>
    </xf>
    <xf numFmtId="0" fontId="36" fillId="24" borderId="16" applyAlignment="1" pivotButton="0" quotePrefix="0" xfId="410">
      <alignment horizontal="center" vertical="center" wrapText="1"/>
    </xf>
    <xf numFmtId="0" fontId="37" fillId="0" borderId="0" applyAlignment="1" pivotButton="0" quotePrefix="0" xfId="410">
      <alignment horizontal="left" vertical="center"/>
    </xf>
    <xf numFmtId="0" fontId="36" fillId="24" borderId="13" applyAlignment="1" pivotButton="0" quotePrefix="0" xfId="410">
      <alignment horizontal="center" vertical="center" wrapText="1"/>
    </xf>
    <xf numFmtId="0" fontId="37" fillId="24" borderId="0" applyAlignment="1" pivotButton="0" quotePrefix="0" xfId="410">
      <alignment vertical="center"/>
    </xf>
    <xf numFmtId="0" fontId="15" fillId="28" borderId="44" applyAlignment="1" pivotButton="0" quotePrefix="0" xfId="171">
      <alignment horizontal="center" vertical="center" wrapText="1"/>
    </xf>
    <xf numFmtId="0" fontId="15" fillId="28" borderId="45" applyAlignment="1" pivotButton="0" quotePrefix="0" xfId="171">
      <alignment horizontal="center" vertical="center" wrapText="1"/>
    </xf>
    <xf numFmtId="0" fontId="15" fillId="28" borderId="46" applyAlignment="1" pivotButton="0" quotePrefix="0" xfId="171">
      <alignment horizontal="center" vertical="center" wrapText="1"/>
    </xf>
    <xf numFmtId="0" fontId="36" fillId="24" borderId="0" applyAlignment="1" pivotButton="0" quotePrefix="0" xfId="0">
      <alignment horizontal="left" vertical="center" wrapText="1"/>
    </xf>
    <xf numFmtId="0" fontId="15" fillId="28" borderId="22" applyAlignment="1" pivotButton="0" quotePrefix="0" xfId="171">
      <alignment horizontal="center" vertical="center" wrapText="1"/>
    </xf>
    <xf numFmtId="0" fontId="15" fillId="28" borderId="10" applyAlignment="1" pivotButton="0" quotePrefix="0" xfId="171">
      <alignment horizontal="center" vertical="center" wrapText="1"/>
    </xf>
    <xf numFmtId="0" fontId="15" fillId="28" borderId="13" applyAlignment="1" pivotButton="0" quotePrefix="0" xfId="171">
      <alignment horizontal="center" vertical="center" wrapText="1"/>
    </xf>
    <xf numFmtId="0" fontId="35" fillId="25" borderId="48" applyAlignment="1" pivotButton="0" quotePrefix="0" xfId="0">
      <alignment horizontal="center" vertical="center"/>
    </xf>
    <xf numFmtId="0" fontId="35" fillId="25" borderId="35" applyAlignment="1" pivotButton="0" quotePrefix="0" xfId="0">
      <alignment horizontal="center" vertical="center"/>
    </xf>
    <xf numFmtId="0" fontId="96" fillId="28" borderId="10" applyAlignment="1" pivotButton="0" quotePrefix="0" xfId="157">
      <alignment horizontal="center" vertical="center"/>
    </xf>
    <xf numFmtId="0" fontId="96" fillId="28" borderId="14" applyAlignment="1" pivotButton="0" quotePrefix="0" xfId="157">
      <alignment horizontal="center" vertical="center"/>
    </xf>
    <xf numFmtId="0" fontId="38" fillId="28" borderId="10" applyAlignment="1" pivotButton="0" quotePrefix="0" xfId="157">
      <alignment horizontal="center" vertical="center" wrapText="1"/>
    </xf>
    <xf numFmtId="0" fontId="38" fillId="28" borderId="14" applyAlignment="1" pivotButton="0" quotePrefix="0" xfId="157">
      <alignment horizontal="center" vertical="center" wrapText="1"/>
    </xf>
    <xf numFmtId="0" fontId="97" fillId="26" borderId="10" applyAlignment="1" pivotButton="0" quotePrefix="0" xfId="0">
      <alignment horizontal="center" vertical="center" wrapText="1"/>
    </xf>
    <xf numFmtId="0" fontId="97" fillId="33" borderId="10" applyAlignment="1" pivotButton="0" quotePrefix="0" xfId="0">
      <alignment horizontal="center" vertical="center" wrapText="1"/>
    </xf>
    <xf numFmtId="0" fontId="97" fillId="26" borderId="10" applyAlignment="1" pivotButton="0" quotePrefix="0" xfId="0">
      <alignment horizontal="center" vertical="center"/>
    </xf>
    <xf numFmtId="0" fontId="35" fillId="25" borderId="42" applyAlignment="1" pivotButton="0" quotePrefix="0" xfId="0">
      <alignment horizontal="center" vertical="center"/>
    </xf>
    <xf numFmtId="0" fontId="35" fillId="25" borderId="0" applyAlignment="1" pivotButton="0" quotePrefix="0" xfId="0">
      <alignment horizontal="center" vertical="center"/>
    </xf>
    <xf numFmtId="0" fontId="35" fillId="25" borderId="43" applyAlignment="1" pivotButton="0" quotePrefix="0" xfId="0">
      <alignment horizontal="center" vertical="center"/>
    </xf>
    <xf numFmtId="0" fontId="35" fillId="25" borderId="41" applyAlignment="1" pivotButton="0" quotePrefix="0" xfId="0">
      <alignment horizontal="center" vertical="center"/>
    </xf>
    <xf numFmtId="0" fontId="35" fillId="25" borderId="38" applyAlignment="1" pivotButton="0" quotePrefix="0" xfId="0">
      <alignment horizontal="center" vertical="center"/>
    </xf>
    <xf numFmtId="0" fontId="35" fillId="25" borderId="39" applyAlignment="1" pivotButton="0" quotePrefix="0" xfId="0">
      <alignment horizontal="center" vertical="center"/>
    </xf>
    <xf numFmtId="0" fontId="96" fillId="28" borderId="10" applyAlignment="1" pivotButton="0" quotePrefix="0" xfId="157">
      <alignment horizontal="center" vertical="center" wrapText="1"/>
    </xf>
    <xf numFmtId="0" fontId="96" fillId="28" borderId="14" applyAlignment="1" pivotButton="0" quotePrefix="0" xfId="157">
      <alignment horizontal="center" vertical="center" wrapText="1"/>
    </xf>
    <xf numFmtId="0" fontId="53" fillId="26" borderId="0" applyAlignment="1" pivotButton="0" quotePrefix="0" xfId="157">
      <alignment horizontal="left" vertical="center"/>
    </xf>
    <xf numFmtId="0" fontId="45" fillId="28" borderId="10" applyAlignment="1" pivotButton="0" quotePrefix="0" xfId="157">
      <alignment horizontal="center" vertical="center"/>
    </xf>
    <xf numFmtId="0" fontId="45" fillId="28" borderId="18" applyAlignment="1" pivotButton="0" quotePrefix="0" xfId="157">
      <alignment horizontal="center" vertical="center" wrapText="1"/>
    </xf>
    <xf numFmtId="0" fontId="45" fillId="28" borderId="20" applyAlignment="1" pivotButton="0" quotePrefix="0" xfId="157">
      <alignment horizontal="center" vertical="center" wrapText="1"/>
    </xf>
    <xf numFmtId="0" fontId="45" fillId="28" borderId="21" applyAlignment="1" pivotButton="0" quotePrefix="0" xfId="157">
      <alignment horizontal="center" vertical="center" wrapText="1"/>
    </xf>
    <xf numFmtId="0" fontId="38" fillId="28" borderId="0" applyAlignment="1" pivotButton="0" quotePrefix="0" xfId="157">
      <alignment horizontal="right" vertical="center"/>
    </xf>
    <xf numFmtId="0" fontId="30" fillId="26" borderId="10" applyAlignment="1" pivotButton="0" quotePrefix="0" xfId="171">
      <alignment horizontal="center" vertical="center" wrapText="1"/>
    </xf>
    <xf numFmtId="0" fontId="38" fillId="28" borderId="0" applyAlignment="1" pivotButton="0" quotePrefix="0" xfId="157">
      <alignment horizontal="left" vertical="center"/>
    </xf>
    <xf numFmtId="0" fontId="39" fillId="25" borderId="10" applyAlignment="1" pivotButton="0" quotePrefix="0" xfId="171">
      <alignment horizontal="center" vertical="center" wrapText="1"/>
    </xf>
    <xf numFmtId="0" fontId="25" fillId="24" borderId="0" applyAlignment="1" pivotButton="0" quotePrefix="0" xfId="157">
      <alignment horizontal="center" vertical="center"/>
    </xf>
    <xf numFmtId="0" fontId="28" fillId="24" borderId="0" applyAlignment="1" pivotButton="0" quotePrefix="0" xfId="157">
      <alignment horizontal="left" vertical="center"/>
    </xf>
    <xf numFmtId="0" fontId="56" fillId="24" borderId="0" applyAlignment="1" pivotButton="0" quotePrefix="0" xfId="157">
      <alignment horizontal="left" vertical="center"/>
    </xf>
    <xf numFmtId="0" fontId="38" fillId="28" borderId="10" applyAlignment="1" pivotButton="0" quotePrefix="0" xfId="171">
      <alignment horizontal="center" vertical="center" wrapText="1"/>
    </xf>
    <xf numFmtId="0" fontId="39" fillId="25" borderId="18" applyAlignment="1" pivotButton="0" quotePrefix="0" xfId="171">
      <alignment horizontal="center" vertical="center" wrapText="1"/>
    </xf>
    <xf numFmtId="0" fontId="39" fillId="25" borderId="21" applyAlignment="1" pivotButton="0" quotePrefix="0" xfId="171">
      <alignment horizontal="center" vertical="center" wrapText="1"/>
    </xf>
    <xf numFmtId="0" fontId="38" fillId="28" borderId="42" applyAlignment="1" pivotButton="0" quotePrefix="0" xfId="171">
      <alignment horizontal="center" vertical="center" wrapText="1"/>
    </xf>
    <xf numFmtId="0" fontId="38" fillId="28" borderId="0" applyAlignment="1" pivotButton="0" quotePrefix="0" xfId="171">
      <alignment horizontal="center" vertical="center" wrapText="1"/>
    </xf>
    <xf numFmtId="0" fontId="30" fillId="26" borderId="18" applyAlignment="1" pivotButton="0" quotePrefix="0" xfId="157">
      <alignment horizontal="center" vertical="center"/>
    </xf>
    <xf numFmtId="0" fontId="30" fillId="26" borderId="21" applyAlignment="1" pivotButton="0" quotePrefix="0" xfId="157">
      <alignment horizontal="center" vertical="center"/>
    </xf>
    <xf numFmtId="0" fontId="39" fillId="32" borderId="18" applyAlignment="1" pivotButton="0" quotePrefix="0" xfId="171">
      <alignment horizontal="center" vertical="center" wrapText="1"/>
    </xf>
    <xf numFmtId="0" fontId="39" fillId="32" borderId="21" applyAlignment="1" pivotButton="0" quotePrefix="0" xfId="171">
      <alignment horizontal="center" vertical="center" wrapText="1"/>
    </xf>
    <xf numFmtId="0" fontId="38" fillId="28" borderId="10" applyAlignment="1" pivotButton="0" quotePrefix="0" xfId="0">
      <alignment horizontal="center" vertical="center"/>
    </xf>
    <xf numFmtId="0" fontId="35" fillId="24" borderId="10" applyAlignment="1" pivotButton="0" quotePrefix="0" xfId="0">
      <alignment horizontal="center" vertical="center"/>
    </xf>
    <xf numFmtId="0" fontId="38" fillId="28" borderId="18" applyAlignment="1" pivotButton="0" quotePrefix="0" xfId="0">
      <alignment horizontal="center" vertical="center"/>
    </xf>
    <xf numFmtId="0" fontId="38" fillId="28" borderId="21" applyAlignment="1" pivotButton="0" quotePrefix="0" xfId="0">
      <alignment horizontal="center" vertical="center"/>
    </xf>
    <xf numFmtId="0" fontId="38" fillId="28" borderId="10" applyAlignment="1" applyProtection="1" pivotButton="0" quotePrefix="0" xfId="171">
      <alignment horizontal="center" vertical="center" wrapText="1"/>
      <protection locked="0" hidden="0"/>
    </xf>
    <xf numFmtId="0" fontId="31" fillId="24" borderId="18" applyAlignment="1" pivotButton="0" quotePrefix="0" xfId="0">
      <alignment horizontal="center" vertical="center"/>
    </xf>
    <xf numFmtId="0" fontId="31" fillId="24" borderId="21" applyAlignment="1" pivotButton="0" quotePrefix="0" xfId="0">
      <alignment horizontal="center" vertical="center"/>
    </xf>
    <xf numFmtId="0" fontId="36" fillId="24" borderId="10" applyAlignment="1" pivotButton="0" quotePrefix="0" xfId="0">
      <alignment horizontal="center" vertical="center"/>
    </xf>
    <xf numFmtId="0" fontId="39" fillId="25" borderId="15" applyAlignment="1" pivotButton="0" quotePrefix="0" xfId="409">
      <alignment horizontal="center" vertical="center"/>
    </xf>
    <xf numFmtId="0" fontId="97" fillId="26" borderId="10" applyAlignment="1" pivotButton="0" quotePrefix="0" xfId="385">
      <alignment horizontal="left" vertical="center" wrapText="1"/>
    </xf>
    <xf numFmtId="0" fontId="38" fillId="28" borderId="14" applyAlignment="1" applyProtection="1" pivotButton="0" quotePrefix="0" xfId="171">
      <alignment horizontal="center" vertical="center" wrapText="1"/>
      <protection locked="0" hidden="0"/>
    </xf>
    <xf numFmtId="0" fontId="35" fillId="24" borderId="18" applyAlignment="1" pivotButton="0" quotePrefix="0" xfId="409">
      <alignment horizontal="center" vertical="center"/>
    </xf>
    <xf numFmtId="0" fontId="35" fillId="24" borderId="21" applyAlignment="1" pivotButton="0" quotePrefix="0" xfId="409">
      <alignment horizontal="center" vertical="center"/>
    </xf>
    <xf numFmtId="0" fontId="97" fillId="26" borderId="12" applyAlignment="1" pivotButton="0" quotePrefix="0" xfId="0">
      <alignment horizontal="center" vertical="center" wrapText="1"/>
    </xf>
    <xf numFmtId="0" fontId="97" fillId="26" borderId="12" applyAlignment="1" pivotButton="0" quotePrefix="0" xfId="385">
      <alignment horizontal="left" vertical="center" wrapText="1"/>
    </xf>
    <xf numFmtId="0" fontId="97" fillId="33" borderId="42" applyAlignment="1" pivotButton="0" quotePrefix="0" xfId="0">
      <alignment horizontal="center" vertical="center" wrapText="1"/>
    </xf>
    <xf numFmtId="0" fontId="97" fillId="33" borderId="43" applyAlignment="1" pivotButton="0" quotePrefix="0" xfId="0">
      <alignment horizontal="center" vertical="center" wrapText="1"/>
    </xf>
    <xf numFmtId="0" fontId="97" fillId="33" borderId="54" applyAlignment="1" pivotButton="0" quotePrefix="0" xfId="0">
      <alignment horizontal="center" vertical="center" wrapText="1"/>
    </xf>
    <xf numFmtId="0" fontId="97" fillId="33" borderId="55" applyAlignment="1" pivotButton="0" quotePrefix="0" xfId="0">
      <alignment horizontal="center" vertical="center" wrapText="1"/>
    </xf>
    <xf numFmtId="0" fontId="97" fillId="33" borderId="10" applyAlignment="1" pivotButton="0" quotePrefix="0" xfId="385">
      <alignment horizontal="left" vertical="center" wrapText="1"/>
    </xf>
    <xf numFmtId="0" fontId="97" fillId="26" borderId="18" applyAlignment="1" pivotButton="0" quotePrefix="0" xfId="385">
      <alignment horizontal="left" vertical="center" wrapText="1"/>
    </xf>
    <xf numFmtId="0" fontId="97" fillId="26" borderId="20" applyAlignment="1" pivotButton="0" quotePrefix="0" xfId="385">
      <alignment horizontal="left" vertical="center" wrapText="1"/>
    </xf>
    <xf numFmtId="0" fontId="97" fillId="26" borderId="21" applyAlignment="1" pivotButton="0" quotePrefix="0" xfId="385">
      <alignment horizontal="left" vertical="center" wrapText="1"/>
    </xf>
    <xf numFmtId="0" fontId="97" fillId="26" borderId="17" applyAlignment="1" pivotButton="0" quotePrefix="0" xfId="385">
      <alignment horizontal="left" vertical="center" wrapText="1"/>
    </xf>
    <xf numFmtId="0" fontId="97" fillId="26" borderId="40" applyAlignment="1" pivotButton="0" quotePrefix="0" xfId="385">
      <alignment horizontal="left" vertical="center" wrapText="1"/>
    </xf>
    <xf numFmtId="0" fontId="97" fillId="26" borderId="26" applyAlignment="1" pivotButton="0" quotePrefix="0" xfId="385">
      <alignment horizontal="left" vertical="center" wrapText="1"/>
    </xf>
    <xf numFmtId="0" fontId="97" fillId="33" borderId="35" applyAlignment="1" pivotButton="0" quotePrefix="0" xfId="385">
      <alignment horizontal="left" vertical="center" wrapText="1"/>
    </xf>
    <xf numFmtId="0" fontId="97" fillId="33" borderId="56" applyAlignment="1" pivotButton="0" quotePrefix="0" xfId="385">
      <alignment horizontal="left" vertical="center" wrapText="1"/>
    </xf>
    <xf numFmtId="0" fontId="97" fillId="26" borderId="41" applyAlignment="1" pivotButton="0" quotePrefix="0" xfId="385">
      <alignment horizontal="left" vertical="center" wrapText="1"/>
    </xf>
    <xf numFmtId="0" fontId="97" fillId="26" borderId="38" applyAlignment="1" pivotButton="0" quotePrefix="0" xfId="385">
      <alignment horizontal="left" vertical="center" wrapText="1"/>
    </xf>
    <xf numFmtId="0" fontId="97" fillId="26" borderId="39" applyAlignment="1" pivotButton="0" quotePrefix="0" xfId="385">
      <alignment horizontal="left" vertical="center" wrapText="1"/>
    </xf>
    <xf numFmtId="0" fontId="97" fillId="26" borderId="42" applyAlignment="1" pivotButton="0" quotePrefix="0" xfId="0">
      <alignment horizontal="center" vertical="center"/>
    </xf>
    <xf numFmtId="0" fontId="97" fillId="26" borderId="43" applyAlignment="1" pivotButton="0" quotePrefix="0" xfId="0">
      <alignment horizontal="center" vertical="center"/>
    </xf>
    <xf numFmtId="0" fontId="97" fillId="26" borderId="41" applyAlignment="1" pivotButton="0" quotePrefix="0" xfId="0">
      <alignment horizontal="center" vertical="center"/>
    </xf>
    <xf numFmtId="0" fontId="97" fillId="26" borderId="39" applyAlignment="1" pivotButton="0" quotePrefix="0" xfId="0">
      <alignment horizontal="center" vertical="center"/>
    </xf>
    <xf numFmtId="0" fontId="97" fillId="26" borderId="49" applyAlignment="1" pivotButton="0" quotePrefix="0" xfId="385">
      <alignment horizontal="left" vertical="center" wrapText="1"/>
    </xf>
    <xf numFmtId="0" fontId="97" fillId="26" borderId="50" applyAlignment="1" pivotButton="0" quotePrefix="0" xfId="385">
      <alignment horizontal="left" vertical="center" wrapText="1"/>
    </xf>
    <xf numFmtId="0" fontId="97" fillId="26" borderId="51" applyAlignment="1" pivotButton="0" quotePrefix="0" xfId="385">
      <alignment horizontal="left" vertical="center" wrapText="1"/>
    </xf>
    <xf numFmtId="0" fontId="35" fillId="0" borderId="18" applyAlignment="1" pivotButton="0" quotePrefix="0" xfId="1716">
      <alignment horizontal="center" vertical="center"/>
    </xf>
    <xf numFmtId="0" fontId="35" fillId="0" borderId="20" applyAlignment="1" pivotButton="0" quotePrefix="0" xfId="1716">
      <alignment horizontal="center" vertical="center"/>
    </xf>
    <xf numFmtId="0" fontId="35" fillId="0" borderId="21" applyAlignment="1" pivotButton="0" quotePrefix="0" xfId="1716">
      <alignment horizontal="center" vertical="center"/>
    </xf>
    <xf numFmtId="0" fontId="35" fillId="0" borderId="10" applyAlignment="1" pivotButton="0" quotePrefix="0" xfId="1716">
      <alignment horizontal="center" vertical="center"/>
    </xf>
    <xf numFmtId="0" fontId="35" fillId="0" borderId="41" applyAlignment="1" pivotButton="0" quotePrefix="0" xfId="1716">
      <alignment horizontal="center" vertical="center"/>
    </xf>
    <xf numFmtId="0" fontId="35" fillId="0" borderId="38" applyAlignment="1" pivotButton="0" quotePrefix="0" xfId="1716">
      <alignment horizontal="center" vertical="center"/>
    </xf>
    <xf numFmtId="0" fontId="35" fillId="0" borderId="39" applyAlignment="1" pivotButton="0" quotePrefix="0" xfId="1716">
      <alignment horizontal="center" vertical="center"/>
    </xf>
    <xf numFmtId="0" fontId="97" fillId="33" borderId="56" applyAlignment="1" pivotButton="0" quotePrefix="0" xfId="0">
      <alignment horizontal="center" vertical="center"/>
    </xf>
    <xf numFmtId="0" fontId="97" fillId="26" borderId="54" applyAlignment="1" pivotButton="0" quotePrefix="0" xfId="0">
      <alignment horizontal="center" vertical="center"/>
    </xf>
    <xf numFmtId="0" fontId="97" fillId="26" borderId="55" applyAlignment="1" pivotButton="0" quotePrefix="0" xfId="0">
      <alignment horizontal="center" vertical="center"/>
    </xf>
    <xf numFmtId="0" fontId="52" fillId="26" borderId="17" applyAlignment="1" pivotButton="0" quotePrefix="0" xfId="0">
      <alignment horizontal="center" vertical="center" wrapText="1"/>
    </xf>
    <xf numFmtId="0" fontId="52" fillId="26" borderId="26" applyAlignment="1" pivotButton="0" quotePrefix="0" xfId="0">
      <alignment horizontal="center" vertical="center" wrapText="1"/>
    </xf>
    <xf numFmtId="0" fontId="52" fillId="26" borderId="10" applyAlignment="1" pivotButton="0" quotePrefix="0" xfId="0">
      <alignment horizontal="center" vertical="center" wrapText="1"/>
    </xf>
    <xf numFmtId="0" fontId="52" fillId="26" borderId="42" applyAlignment="1" pivotButton="0" quotePrefix="0" xfId="0">
      <alignment horizontal="center" vertical="center" wrapText="1"/>
    </xf>
    <xf numFmtId="0" fontId="52" fillId="26" borderId="43" applyAlignment="1" pivotButton="0" quotePrefix="0" xfId="0">
      <alignment horizontal="center" vertical="center" wrapText="1"/>
    </xf>
    <xf numFmtId="0" fontId="52" fillId="26" borderId="54" applyAlignment="1" pivotButton="0" quotePrefix="0" xfId="0">
      <alignment horizontal="center" vertical="center" wrapText="1"/>
    </xf>
    <xf numFmtId="0" fontId="52" fillId="26" borderId="55" applyAlignment="1" pivotButton="0" quotePrefix="0" xfId="0">
      <alignment horizontal="center" vertical="center" wrapText="1"/>
    </xf>
    <xf numFmtId="0" fontId="52" fillId="33" borderId="58" applyAlignment="1" pivotButton="0" quotePrefix="0" xfId="0">
      <alignment horizontal="center" vertical="center" wrapText="1"/>
    </xf>
    <xf numFmtId="0" fontId="52" fillId="33" borderId="59" applyAlignment="1" pivotButton="0" quotePrefix="0" xfId="0">
      <alignment horizontal="center" vertical="center" wrapText="1"/>
    </xf>
    <xf numFmtId="0" fontId="52" fillId="33" borderId="42" applyAlignment="1" pivotButton="0" quotePrefix="0" xfId="0">
      <alignment horizontal="center" vertical="center" wrapText="1"/>
    </xf>
    <xf numFmtId="0" fontId="52" fillId="33" borderId="43" applyAlignment="1" pivotButton="0" quotePrefix="0" xfId="0">
      <alignment horizontal="center" vertical="center" wrapText="1"/>
    </xf>
    <xf numFmtId="0" fontId="52" fillId="33" borderId="10" applyAlignment="1" pivotButton="0" quotePrefix="0" xfId="0">
      <alignment horizontal="center" vertical="center" wrapText="1"/>
    </xf>
    <xf numFmtId="0" fontId="52" fillId="33" borderId="54" applyAlignment="1" pivotButton="0" quotePrefix="0" xfId="0">
      <alignment horizontal="center" vertical="center" wrapText="1"/>
    </xf>
    <xf numFmtId="0" fontId="52" fillId="33" borderId="55" applyAlignment="1" pivotButton="0" quotePrefix="0" xfId="0">
      <alignment horizontal="center" vertical="center" wrapText="1"/>
    </xf>
    <xf numFmtId="0" fontId="52" fillId="26" borderId="11" applyAlignment="1" pivotButton="0" quotePrefix="0" xfId="0">
      <alignment horizontal="center" vertical="center"/>
    </xf>
    <xf numFmtId="0" fontId="52" fillId="26" borderId="10" applyAlignment="1" pivotButton="0" quotePrefix="0" xfId="0">
      <alignment horizontal="center" vertical="center"/>
    </xf>
    <xf numFmtId="0" fontId="52" fillId="26" borderId="12" applyAlignment="1" pivotButton="0" quotePrefix="0" xfId="0">
      <alignment horizontal="center" vertical="center"/>
    </xf>
    <xf numFmtId="0" fontId="52" fillId="26" borderId="35" applyAlignment="1" pivotButton="0" quotePrefix="0" xfId="0">
      <alignment horizontal="center" vertical="center"/>
    </xf>
    <xf numFmtId="0" fontId="52" fillId="26" borderId="41" applyAlignment="1" pivotButton="0" quotePrefix="0" xfId="0">
      <alignment horizontal="center" vertical="center"/>
    </xf>
    <xf numFmtId="0" fontId="52" fillId="26" borderId="39" applyAlignment="1" pivotButton="0" quotePrefix="0" xfId="0">
      <alignment horizontal="center" vertical="center"/>
    </xf>
    <xf numFmtId="0" fontId="97" fillId="26" borderId="35" applyAlignment="1" pivotButton="0" quotePrefix="0" xfId="385">
      <alignment horizontal="left" vertical="center" wrapText="1"/>
    </xf>
    <xf numFmtId="0" fontId="97" fillId="39" borderId="61" applyAlignment="1" pivotButton="0" quotePrefix="0" xfId="385">
      <alignment horizontal="left" vertical="center" wrapText="1"/>
    </xf>
    <xf numFmtId="0" fontId="97" fillId="39" borderId="28" applyAlignment="1" pivotButton="0" quotePrefix="0" xfId="385">
      <alignment horizontal="left" vertical="center" wrapText="1"/>
    </xf>
    <xf numFmtId="0" fontId="97" fillId="39" borderId="62" applyAlignment="1" pivotButton="0" quotePrefix="0" xfId="385">
      <alignment horizontal="left" vertical="center" wrapText="1"/>
    </xf>
    <xf numFmtId="0" fontId="52" fillId="33" borderId="57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21" pivotButton="0" quotePrefix="0" xfId="0"/>
    <xf numFmtId="0" fontId="77" fillId="26" borderId="10" applyAlignment="1" pivotButton="0" quotePrefix="0" xfId="8759">
      <alignment horizontal="center" vertical="center" wrapText="1"/>
    </xf>
    <xf numFmtId="0" fontId="0" fillId="0" borderId="40" pivotButton="0" quotePrefix="0" xfId="0"/>
    <xf numFmtId="0" fontId="0" fillId="0" borderId="26" pivotButton="0" quotePrefix="0" xfId="0"/>
    <xf numFmtId="0" fontId="0" fillId="0" borderId="41" pivotButton="0" quotePrefix="0" xfId="0"/>
    <xf numFmtId="0" fontId="0" fillId="0" borderId="38" pivotButton="0" quotePrefix="0" xfId="0"/>
    <xf numFmtId="0" fontId="0" fillId="0" borderId="39" pivotButton="0" quotePrefix="0" xfId="0"/>
    <xf numFmtId="0" fontId="0" fillId="0" borderId="20" pivotButton="0" quotePrefix="0" xfId="0"/>
    <xf numFmtId="0" fontId="0" fillId="0" borderId="48" pivotButton="0" quotePrefix="0" xfId="0"/>
    <xf numFmtId="0" fontId="0" fillId="0" borderId="35" pivotButton="0" quotePrefix="0" xfId="0"/>
    <xf numFmtId="0" fontId="0" fillId="0" borderId="25" pivotButton="0" quotePrefix="0" xfId="0"/>
    <xf numFmtId="0" fontId="0" fillId="0" borderId="59" pivotButton="0" quotePrefix="0" xfId="0"/>
    <xf numFmtId="0" fontId="0" fillId="0" borderId="45" pivotButton="0" quotePrefix="0" xfId="0"/>
    <xf numFmtId="0" fontId="0" fillId="0" borderId="46" pivotButton="0" quotePrefix="0" xfId="0"/>
    <xf numFmtId="0" fontId="0" fillId="0" borderId="63" pivotButton="0" quotePrefix="0" xfId="0"/>
    <xf numFmtId="0" fontId="0" fillId="0" borderId="50" pivotButton="0" quotePrefix="0" xfId="0"/>
    <xf numFmtId="0" fontId="0" fillId="0" borderId="51" pivotButton="0" quotePrefix="0" xfId="0"/>
    <xf numFmtId="0" fontId="0" fillId="0" borderId="32" pivotButton="0" quotePrefix="0" xfId="0"/>
    <xf numFmtId="0" fontId="0" fillId="0" borderId="43" pivotButton="0" quotePrefix="0" xfId="0"/>
    <xf numFmtId="0" fontId="0" fillId="0" borderId="30" pivotButton="0" quotePrefix="0" xfId="0"/>
    <xf numFmtId="0" fontId="45" fillId="28" borderId="10" applyAlignment="1" pivotButton="0" quotePrefix="0" xfId="157">
      <alignment horizontal="center" vertical="center" wrapText="1"/>
    </xf>
    <xf numFmtId="164" fontId="25" fillId="24" borderId="10" applyAlignment="1" pivotButton="0" quotePrefix="0" xfId="171">
      <alignment horizontal="center" vertical="center" wrapText="1"/>
    </xf>
    <xf numFmtId="164" fontId="39" fillId="25" borderId="10" applyAlignment="1" pivotButton="0" quotePrefix="0" xfId="171">
      <alignment horizontal="center" vertical="center" wrapText="1"/>
    </xf>
    <xf numFmtId="0" fontId="30" fillId="26" borderId="10" applyAlignment="1" pivotButton="0" quotePrefix="0" xfId="157">
      <alignment horizontal="center" vertical="center"/>
    </xf>
    <xf numFmtId="0" fontId="39" fillId="32" borderId="10" applyAlignment="1" pivotButton="0" quotePrefix="0" xfId="171">
      <alignment horizontal="center" vertical="center" wrapText="1"/>
    </xf>
    <xf numFmtId="0" fontId="0" fillId="0" borderId="21" applyProtection="1" pivotButton="0" quotePrefix="0" xfId="0">
      <protection locked="0" hidden="0"/>
    </xf>
    <xf numFmtId="0" fontId="0" fillId="0" borderId="65" pivotButton="0" quotePrefix="0" xfId="0"/>
    <xf numFmtId="0" fontId="0" fillId="0" borderId="26" applyProtection="1" pivotButton="0" quotePrefix="0" xfId="0">
      <protection locked="0" hidden="0"/>
    </xf>
    <xf numFmtId="0" fontId="0" fillId="0" borderId="40" applyProtection="1" pivotButton="0" quotePrefix="0" xfId="0">
      <protection locked="0" hidden="0"/>
    </xf>
    <xf numFmtId="0" fontId="0" fillId="0" borderId="42" pivotButton="0" quotePrefix="0" xfId="0"/>
    <xf numFmtId="0" fontId="52" fillId="26" borderId="12" applyAlignment="1" pivotButton="0" quotePrefix="0" xfId="0">
      <alignment horizontal="center" vertical="center" wrapText="1"/>
    </xf>
    <xf numFmtId="0" fontId="0" fillId="0" borderId="54" pivotButton="0" quotePrefix="0" xfId="0"/>
    <xf numFmtId="0" fontId="0" fillId="0" borderId="55" pivotButton="0" quotePrefix="0" xfId="0"/>
  </cellXfs>
  <cellStyles count="8764">
    <cellStyle name="표준" xfId="0" builtinId="0"/>
    <cellStyle name="20% - 강조색1" xfId="1" builtinId="30"/>
    <cellStyle name="20% - 강조색1 2" xfId="2"/>
    <cellStyle name="20% - 강조색1 3" xfId="3"/>
    <cellStyle name="20% - 강조색1 4" xfId="4"/>
    <cellStyle name="20% - 강조색2" xfId="5" builtinId="34"/>
    <cellStyle name="20% - 강조색2 2" xfId="6"/>
    <cellStyle name="20% - 강조색2 3" xfId="7"/>
    <cellStyle name="20% - 강조색2 4" xfId="8"/>
    <cellStyle name="20% - 강조색3" xfId="9" builtinId="38"/>
    <cellStyle name="20% - 강조색3 2" xfId="10"/>
    <cellStyle name="20% - 강조색3 3" xfId="11"/>
    <cellStyle name="20% - 강조색3 4" xfId="12"/>
    <cellStyle name="20% - 강조색4" xfId="13" builtinId="42"/>
    <cellStyle name="20% - 강조색4 2" xfId="14"/>
    <cellStyle name="20% - 강조색4 3" xfId="15"/>
    <cellStyle name="20% - 강조색4 4" xfId="16"/>
    <cellStyle name="20% - 강조색5" xfId="17" builtinId="46"/>
    <cellStyle name="20% - 강조색5 2" xfId="18"/>
    <cellStyle name="20% - 강조색5 3" xfId="19"/>
    <cellStyle name="20% - 강조색5 4" xfId="20"/>
    <cellStyle name="20% - 강조색6" xfId="21" builtinId="50"/>
    <cellStyle name="20% - 강조색6 2" xfId="22"/>
    <cellStyle name="20% - 강조색6 3" xfId="23"/>
    <cellStyle name="20% - 강조색6 4" xfId="24"/>
    <cellStyle name="40% - 강조색1" xfId="25" builtinId="31"/>
    <cellStyle name="40% - 강조색1 2" xfId="26"/>
    <cellStyle name="40% - 강조색1 3" xfId="27"/>
    <cellStyle name="40% - 강조색1 4" xfId="28"/>
    <cellStyle name="40% - 강조색2" xfId="29" builtinId="35"/>
    <cellStyle name="40% - 강조색2 2" xfId="30"/>
    <cellStyle name="40% - 강조색2 3" xfId="31"/>
    <cellStyle name="40% - 강조색2 4" xfId="32"/>
    <cellStyle name="40% - 강조색3" xfId="33" builtinId="39"/>
    <cellStyle name="40% - 강조색3 2" xfId="34"/>
    <cellStyle name="40% - 강조색3 3" xfId="35"/>
    <cellStyle name="40% - 강조색3 4" xfId="36"/>
    <cellStyle name="40% - 강조색4" xfId="37" builtinId="43"/>
    <cellStyle name="40% - 강조색4 2" xfId="38"/>
    <cellStyle name="40% - 강조색4 3" xfId="39"/>
    <cellStyle name="40% - 강조색4 4" xfId="40"/>
    <cellStyle name="40% - 강조색5" xfId="41" builtinId="47"/>
    <cellStyle name="40% - 강조색5 2" xfId="42"/>
    <cellStyle name="40% - 강조색5 3" xfId="43"/>
    <cellStyle name="40% - 강조색5 4" xfId="44"/>
    <cellStyle name="40% - 강조색6" xfId="45" builtinId="51"/>
    <cellStyle name="40% - 강조색6 2" xfId="46"/>
    <cellStyle name="40% - 강조색6 3" xfId="47"/>
    <cellStyle name="40% - 강조색6 4" xfId="48"/>
    <cellStyle name="60% - 강조색1" xfId="49" builtinId="32"/>
    <cellStyle name="60% - 강조색1 2" xfId="50"/>
    <cellStyle name="60% - 강조색1 3" xfId="51"/>
    <cellStyle name="60% - 강조색2" xfId="52" builtinId="36"/>
    <cellStyle name="60% - 강조색2 2" xfId="53"/>
    <cellStyle name="60% - 강조색2 3" xfId="54"/>
    <cellStyle name="60% - 강조색3" xfId="55" builtinId="40"/>
    <cellStyle name="60% - 강조색3 2" xfId="56"/>
    <cellStyle name="60% - 강조색3 3" xfId="57"/>
    <cellStyle name="60% - 강조색4" xfId="58" builtinId="44"/>
    <cellStyle name="60% - 강조색4 2" xfId="59"/>
    <cellStyle name="60% - 강조색4 3" xfId="60"/>
    <cellStyle name="60% - 강조색5" xfId="61" builtinId="48"/>
    <cellStyle name="60% - 강조색5 2" xfId="62"/>
    <cellStyle name="60% - 강조색5 3" xfId="63"/>
    <cellStyle name="60% - 강조색6" xfId="64" builtinId="52"/>
    <cellStyle name="60% - 강조색6 2" xfId="65"/>
    <cellStyle name="60% - 강조색6 3" xfId="66"/>
    <cellStyle name="Comma [0]_ SG&amp;A Bridge " xfId="67"/>
    <cellStyle name="Comma_ SG&amp;A Bridge " xfId="68"/>
    <cellStyle name="Currency [0]_ SG&amp;A Bridge " xfId="69"/>
    <cellStyle name="Currency_ SG&amp;A Bridge " xfId="70"/>
    <cellStyle name="Normal_ SG&amp;A Bridge " xfId="71"/>
    <cellStyle name="강조색1" xfId="72" builtinId="29"/>
    <cellStyle name="강조색1 2" xfId="73"/>
    <cellStyle name="강조색1 3" xfId="74"/>
    <cellStyle name="강조색2" xfId="75" builtinId="33"/>
    <cellStyle name="강조색2 2" xfId="76"/>
    <cellStyle name="강조색2 3" xfId="77"/>
    <cellStyle name="강조색3" xfId="78" builtinId="37"/>
    <cellStyle name="강조색3 2" xfId="79"/>
    <cellStyle name="강조색3 3" xfId="80"/>
    <cellStyle name="강조색4" xfId="81" builtinId="41"/>
    <cellStyle name="강조색4 2" xfId="82"/>
    <cellStyle name="강조색4 3" xfId="83"/>
    <cellStyle name="강조색5" xfId="84" builtinId="45"/>
    <cellStyle name="강조색5 2" xfId="85"/>
    <cellStyle name="강조색5 3" xfId="86"/>
    <cellStyle name="강조색6" xfId="87" builtinId="49"/>
    <cellStyle name="강조색6 2" xfId="88"/>
    <cellStyle name="강조색6 3" xfId="89"/>
    <cellStyle name="경고문" xfId="90" builtinId="11"/>
    <cellStyle name="경고문 2" xfId="91"/>
    <cellStyle name="경고문 3" xfId="92"/>
    <cellStyle name="계산" xfId="93" builtinId="22"/>
    <cellStyle name="계산 2" xfId="94"/>
    <cellStyle name="계산 3" xfId="95"/>
    <cellStyle name="나쁨" xfId="96" builtinId="27"/>
    <cellStyle name="나쁨 2" xfId="97"/>
    <cellStyle name="나쁨 3" xfId="98"/>
    <cellStyle name="메모" xfId="99" builtinId="10"/>
    <cellStyle name="메모 2" xfId="100"/>
    <cellStyle name="메모 3" xfId="101"/>
    <cellStyle name="백분율 2" xfId="102"/>
    <cellStyle name="보통" xfId="103" builtinId="28"/>
    <cellStyle name="보통 2" xfId="104"/>
    <cellStyle name="보통 3" xfId="105"/>
    <cellStyle name="설명 텍스트" xfId="106" builtinId="53"/>
    <cellStyle name="설명 텍스트 2" xfId="107"/>
    <cellStyle name="설명 텍스트 3" xfId="108"/>
    <cellStyle name="셀 확인" xfId="109" builtinId="23"/>
    <cellStyle name="셀 확인 2" xfId="110"/>
    <cellStyle name="셀 확인 3" xfId="111"/>
    <cellStyle name="쉼표 2" xfId="112"/>
    <cellStyle name="쉼표 3" xfId="113"/>
    <cellStyle name="스타일 1" xfId="114"/>
    <cellStyle name="연결된 셀" xfId="115" builtinId="24"/>
    <cellStyle name="연결된 셀 2" xfId="116"/>
    <cellStyle name="연결된 셀 3" xfId="117"/>
    <cellStyle name="요약" xfId="118" builtinId="25"/>
    <cellStyle name="요약 2" xfId="119"/>
    <cellStyle name="요약 3" xfId="120"/>
    <cellStyle name="입력" xfId="121" builtinId="20"/>
    <cellStyle name="입력 2" xfId="122"/>
    <cellStyle name="입력 3" xfId="123"/>
    <cellStyle name="제목" xfId="124" builtinId="15"/>
    <cellStyle name="제목 1" xfId="125" builtinId="16"/>
    <cellStyle name="제목 1 2" xfId="126"/>
    <cellStyle name="제목 1 3" xfId="127"/>
    <cellStyle name="제목 2" xfId="128" builtinId="17"/>
    <cellStyle name="제목 2 2" xfId="129"/>
    <cellStyle name="제목 2 3" xfId="130"/>
    <cellStyle name="제목 3" xfId="131" builtinId="18"/>
    <cellStyle name="제목 3 2" xfId="132"/>
    <cellStyle name="제목 3 3" xfId="133"/>
    <cellStyle name="제목 4" xfId="134" builtinId="19"/>
    <cellStyle name="제목 4 2" xfId="135"/>
    <cellStyle name="제목 4 3" xfId="136"/>
    <cellStyle name="제목 5" xfId="137"/>
    <cellStyle name="제목 6" xfId="138"/>
    <cellStyle name="좋음" xfId="139" builtinId="26"/>
    <cellStyle name="좋음 2" xfId="140"/>
    <cellStyle name="좋음 3" xfId="141"/>
    <cellStyle name="출력" xfId="142" builtinId="21"/>
    <cellStyle name="출력 2" xfId="143"/>
    <cellStyle name="출력 3" xfId="144"/>
    <cellStyle name="통화 2" xfId="145"/>
    <cellStyle name="통화 3" xfId="146"/>
    <cellStyle name="표준 10" xfId="147"/>
    <cellStyle name="표준 10 2" xfId="148"/>
    <cellStyle name="표준 10 3" xfId="149"/>
    <cellStyle name="표준 11" xfId="150"/>
    <cellStyle name="표준 11 2" xfId="151"/>
    <cellStyle name="표준 12" xfId="152"/>
    <cellStyle name="표준 12 2" xfId="153"/>
    <cellStyle name="표준 12 2 2" xfId="154"/>
    <cellStyle name="표준 12 2 3" xfId="155"/>
    <cellStyle name="표준 12 3" xfId="156"/>
    <cellStyle name="표준 13" xfId="157"/>
    <cellStyle name="표준 13 2" xfId="158"/>
    <cellStyle name="표준 13 3" xfId="159"/>
    <cellStyle name="표준 14" xfId="160"/>
    <cellStyle name="표준 15" xfId="161"/>
    <cellStyle name="표준 15 2" xfId="162"/>
    <cellStyle name="표준 15 3" xfId="163"/>
    <cellStyle name="표준 16" xfId="164"/>
    <cellStyle name="표준 16 2" xfId="165"/>
    <cellStyle name="표준 16 3" xfId="166"/>
    <cellStyle name="표준 17" xfId="167"/>
    <cellStyle name="표준 17 2" xfId="168"/>
    <cellStyle name="표준 18" xfId="169"/>
    <cellStyle name="표준 2" xfId="170"/>
    <cellStyle name="표준 2 10" xfId="171"/>
    <cellStyle name="표준 2 11" xfId="172"/>
    <cellStyle name="표준 2 12" xfId="173"/>
    <cellStyle name="표준 2 13" xfId="174"/>
    <cellStyle name="표준 2 14" xfId="175"/>
    <cellStyle name="표준 2 14 2" xfId="176"/>
    <cellStyle name="표준 2 14 3" xfId="177"/>
    <cellStyle name="표준 2 15" xfId="178"/>
    <cellStyle name="표준 2 2" xfId="179"/>
    <cellStyle name="표준 2 2 2" xfId="180"/>
    <cellStyle name="표준 2 2 2 2" xfId="181"/>
    <cellStyle name="표준 2 2 2 3" xfId="182"/>
    <cellStyle name="표준 2 2 3" xfId="183"/>
    <cellStyle name="표준 2 3" xfId="184"/>
    <cellStyle name="표준 2 4" xfId="185"/>
    <cellStyle name="표준 2 5" xfId="186"/>
    <cellStyle name="표준 2 6" xfId="187"/>
    <cellStyle name="표준 2 7" xfId="188"/>
    <cellStyle name="표준 2 8" xfId="189"/>
    <cellStyle name="표준 2 9" xfId="190"/>
    <cellStyle name="표준 3" xfId="191"/>
    <cellStyle name="표준 3 10" xfId="192"/>
    <cellStyle name="표준 3 10 2" xfId="193"/>
    <cellStyle name="표준 3 11" xfId="194"/>
    <cellStyle name="표준 3 12" xfId="195"/>
    <cellStyle name="표준 3 13" xfId="196"/>
    <cellStyle name="표준 3 13 2" xfId="197"/>
    <cellStyle name="표준 3 13 3" xfId="198"/>
    <cellStyle name="표준 3 14" xfId="199"/>
    <cellStyle name="표준 3 2" xfId="200"/>
    <cellStyle name="표준 3 2 10" xfId="201"/>
    <cellStyle name="표준 3 2 2" xfId="202"/>
    <cellStyle name="표준 3 2 2 2" xfId="203"/>
    <cellStyle name="표준 3 2 2 2 2" xfId="204"/>
    <cellStyle name="표준 3 2 2 2 2 2" xfId="205"/>
    <cellStyle name="표준 3 2 2 2 2 2 2" xfId="206"/>
    <cellStyle name="표준 3 2 2 2 2 2 3" xfId="207"/>
    <cellStyle name="표준 3 2 2 2 2 3" xfId="208"/>
    <cellStyle name="표준 3 2 2 2 2 4" xfId="209"/>
    <cellStyle name="표준 3 2 2 2 2 5" xfId="210"/>
    <cellStyle name="표준 3 2 2 2 3" xfId="211"/>
    <cellStyle name="표준 3 2 2 2 3 2" xfId="212"/>
    <cellStyle name="표준 3 2 2 2 3 3" xfId="213"/>
    <cellStyle name="표준 3 2 2 2 4" xfId="214"/>
    <cellStyle name="표준 3 2 2 2 5" xfId="215"/>
    <cellStyle name="표준 3 2 2 2 6" xfId="216"/>
    <cellStyle name="표준 3 2 2 3" xfId="217"/>
    <cellStyle name="표준 3 2 2 3 2" xfId="218"/>
    <cellStyle name="표준 3 2 2 3 2 2" xfId="219"/>
    <cellStyle name="표준 3 2 2 3 2 3" xfId="220"/>
    <cellStyle name="표준 3 2 2 3 3" xfId="221"/>
    <cellStyle name="표준 3 2 2 3 4" xfId="222"/>
    <cellStyle name="표준 3 2 2 3 5" xfId="223"/>
    <cellStyle name="표준 3 2 2 4" xfId="224"/>
    <cellStyle name="표준 3 2 2 4 2" xfId="225"/>
    <cellStyle name="표준 3 2 2 4 3" xfId="226"/>
    <cellStyle name="표준 3 2 2 4 4" xfId="227"/>
    <cellStyle name="표준 3 2 2 5" xfId="228"/>
    <cellStyle name="표준 3 2 2 6" xfId="229"/>
    <cellStyle name="표준 3 2 2 7" xfId="230"/>
    <cellStyle name="표준 3 2 3" xfId="231"/>
    <cellStyle name="표준 3 2 3 2" xfId="232"/>
    <cellStyle name="표준 3 2 3 2 2" xfId="233"/>
    <cellStyle name="표준 3 2 3 2 2 2" xfId="234"/>
    <cellStyle name="표준 3 2 3 2 2 3" xfId="235"/>
    <cellStyle name="표준 3 2 3 2 3" xfId="236"/>
    <cellStyle name="표준 3 2 3 2 4" xfId="237"/>
    <cellStyle name="표준 3 2 3 2 5" xfId="238"/>
    <cellStyle name="표준 3 2 3 3" xfId="239"/>
    <cellStyle name="표준 3 2 3 3 2" xfId="240"/>
    <cellStyle name="표준 3 2 3 3 3" xfId="241"/>
    <cellStyle name="표준 3 2 3 4" xfId="242"/>
    <cellStyle name="표준 3 2 3 5" xfId="243"/>
    <cellStyle name="표준 3 2 3 6" xfId="244"/>
    <cellStyle name="표준 3 2 4" xfId="245"/>
    <cellStyle name="표준 3 2 4 2" xfId="246"/>
    <cellStyle name="표준 3 2 4 2 2" xfId="247"/>
    <cellStyle name="표준 3 2 4 2 3" xfId="248"/>
    <cellStyle name="표준 3 2 4 3" xfId="249"/>
    <cellStyle name="표준 3 2 4 4" xfId="250"/>
    <cellStyle name="표준 3 2 4 5" xfId="251"/>
    <cellStyle name="표준 3 2 5" xfId="252"/>
    <cellStyle name="표준 3 2 5 2" xfId="253"/>
    <cellStyle name="표준 3 2 5 3" xfId="254"/>
    <cellStyle name="표준 3 2 5 4" xfId="255"/>
    <cellStyle name="표준 3 2 6" xfId="256"/>
    <cellStyle name="표준 3 2 7" xfId="257"/>
    <cellStyle name="표준 3 2 8" xfId="258"/>
    <cellStyle name="표준 3 2 9" xfId="259"/>
    <cellStyle name="표준 3 2 9 2" xfId="260"/>
    <cellStyle name="표준 3 2 9 3" xfId="261"/>
    <cellStyle name="표준 3 3" xfId="262"/>
    <cellStyle name="표준 3 3 2" xfId="263"/>
    <cellStyle name="표준 3 3 2 2" xfId="264"/>
    <cellStyle name="표준 3 3 2 2 2" xfId="265"/>
    <cellStyle name="표준 3 3 2 2 2 2" xfId="266"/>
    <cellStyle name="표준 3 3 2 2 2 3" xfId="267"/>
    <cellStyle name="표준 3 3 2 2 3" xfId="268"/>
    <cellStyle name="표준 3 3 2 2 4" xfId="269"/>
    <cellStyle name="표준 3 3 2 2 5" xfId="270"/>
    <cellStyle name="표준 3 3 2 3" xfId="271"/>
    <cellStyle name="표준 3 3 2 3 2" xfId="272"/>
    <cellStyle name="표준 3 3 2 3 3" xfId="273"/>
    <cellStyle name="표준 3 3 2 4" xfId="274"/>
    <cellStyle name="표준 3 3 2 5" xfId="275"/>
    <cellStyle name="표준 3 3 2 6" xfId="276"/>
    <cellStyle name="표준 3 3 3" xfId="277"/>
    <cellStyle name="표준 3 3 3 2" xfId="278"/>
    <cellStyle name="표준 3 3 3 2 2" xfId="279"/>
    <cellStyle name="표준 3 3 3 2 3" xfId="280"/>
    <cellStyle name="표준 3 3 3 3" xfId="281"/>
    <cellStyle name="표준 3 3 3 4" xfId="282"/>
    <cellStyle name="표준 3 3 3 5" xfId="283"/>
    <cellStyle name="표준 3 3 4" xfId="284"/>
    <cellStyle name="표준 3 3 4 2" xfId="285"/>
    <cellStyle name="표준 3 3 4 3" xfId="286"/>
    <cellStyle name="표준 3 3 4 4" xfId="287"/>
    <cellStyle name="표준 3 3 5" xfId="288"/>
    <cellStyle name="표준 3 3 6" xfId="289"/>
    <cellStyle name="표준 3 3 7" xfId="290"/>
    <cellStyle name="표준 3 4" xfId="291"/>
    <cellStyle name="표준 3 4 2" xfId="292"/>
    <cellStyle name="표준 3 4 2 2" xfId="293"/>
    <cellStyle name="표준 3 4 2 2 2" xfId="294"/>
    <cellStyle name="표준 3 4 2 2 3" xfId="295"/>
    <cellStyle name="표준 3 4 2 3" xfId="296"/>
    <cellStyle name="표준 3 4 2 4" xfId="297"/>
    <cellStyle name="표준 3 4 2 5" xfId="298"/>
    <cellStyle name="표준 3 4 3" xfId="299"/>
    <cellStyle name="표준 3 4 3 2" xfId="300"/>
    <cellStyle name="표준 3 4 3 3" xfId="301"/>
    <cellStyle name="표준 3 4 4" xfId="302"/>
    <cellStyle name="표준 3 4 5" xfId="303"/>
    <cellStyle name="표준 3 4 6" xfId="304"/>
    <cellStyle name="표준 3 5" xfId="305"/>
    <cellStyle name="표준 3 5 2" xfId="306"/>
    <cellStyle name="표준 3 5 2 2" xfId="307"/>
    <cellStyle name="표준 3 5 2 2 2" xfId="308"/>
    <cellStyle name="표준 3 5 2 2 3" xfId="309"/>
    <cellStyle name="표준 3 5 2 3" xfId="310"/>
    <cellStyle name="표준 3 5 2 4" xfId="311"/>
    <cellStyle name="표준 3 5 2 5" xfId="312"/>
    <cellStyle name="표준 3 5 3" xfId="313"/>
    <cellStyle name="표준 3 5 3 2" xfId="314"/>
    <cellStyle name="표준 3 5 3 3" xfId="315"/>
    <cellStyle name="표준 3 5 4" xfId="316"/>
    <cellStyle name="표준 3 5 5" xfId="317"/>
    <cellStyle name="표준 3 5 6" xfId="318"/>
    <cellStyle name="표준 3 6" xfId="319"/>
    <cellStyle name="표준 3 6 2" xfId="320"/>
    <cellStyle name="표준 3 6 2 2" xfId="321"/>
    <cellStyle name="표준 3 6 2 2 2" xfId="322"/>
    <cellStyle name="표준 3 6 2 2 3" xfId="323"/>
    <cellStyle name="표준 3 6 2 3" xfId="324"/>
    <cellStyle name="표준 3 6 2 4" xfId="325"/>
    <cellStyle name="표준 3 6 3" xfId="326"/>
    <cellStyle name="표준 3 6 3 2" xfId="327"/>
    <cellStyle name="표준 3 6 3 3" xfId="328"/>
    <cellStyle name="표준 3 6 4" xfId="329"/>
    <cellStyle name="표준 3 6 5" xfId="330"/>
    <cellStyle name="표준 3 6 6" xfId="331"/>
    <cellStyle name="표준 3 7" xfId="332"/>
    <cellStyle name="표준 3 7 2" xfId="333"/>
    <cellStyle name="표준 3 7 2 2" xfId="334"/>
    <cellStyle name="표준 3 7 2 2 2" xfId="335"/>
    <cellStyle name="표준 3 7 2 2 3" xfId="336"/>
    <cellStyle name="표준 3 7 2 3" xfId="337"/>
    <cellStyle name="표준 3 7 2 4" xfId="338"/>
    <cellStyle name="표준 3 7 3" xfId="339"/>
    <cellStyle name="표준 3 7 3 2" xfId="340"/>
    <cellStyle name="표준 3 7 3 3" xfId="341"/>
    <cellStyle name="표준 3 7 4" xfId="342"/>
    <cellStyle name="표준 3 7 5" xfId="343"/>
    <cellStyle name="표준 3 7 6" xfId="344"/>
    <cellStyle name="표준 3 8" xfId="345"/>
    <cellStyle name="표준 3 8 2" xfId="346"/>
    <cellStyle name="표준 3 8 2 2" xfId="347"/>
    <cellStyle name="표준 3 8 2 3" xfId="348"/>
    <cellStyle name="표준 3 8 3" xfId="349"/>
    <cellStyle name="표준 3 8 4" xfId="350"/>
    <cellStyle name="표준 3 8 5" xfId="351"/>
    <cellStyle name="표준 3 9" xfId="352"/>
    <cellStyle name="표준 3 9 2" xfId="353"/>
    <cellStyle name="표준 3 9 3" xfId="354"/>
    <cellStyle name="표준 4" xfId="355"/>
    <cellStyle name="표준 4 2" xfId="356"/>
    <cellStyle name="표준 4 2 2" xfId="357"/>
    <cellStyle name="표준 4 2 2 2" xfId="358"/>
    <cellStyle name="표준 4 2 2 2 2" xfId="359"/>
    <cellStyle name="표준 4 2 2 2 3" xfId="360"/>
    <cellStyle name="표준 4 2 2 3" xfId="361"/>
    <cellStyle name="표준 4 2 2 4" xfId="362"/>
    <cellStyle name="표준 4 2 2 5" xfId="363"/>
    <cellStyle name="표준 4 2 3" xfId="364"/>
    <cellStyle name="표준 4 2 3 2" xfId="365"/>
    <cellStyle name="표준 4 2 3 3" xfId="366"/>
    <cellStyle name="표준 4 2 4" xfId="367"/>
    <cellStyle name="표준 4 2 5" xfId="368"/>
    <cellStyle name="표준 4 2 6" xfId="369"/>
    <cellStyle name="표준 4 3" xfId="370"/>
    <cellStyle name="표준 4 3 2" xfId="371"/>
    <cellStyle name="표준 4 3 2 2" xfId="372"/>
    <cellStyle name="표준 4 3 2 3" xfId="373"/>
    <cellStyle name="표준 4 3 3" xfId="374"/>
    <cellStyle name="표준 4 3 4" xfId="375"/>
    <cellStyle name="표준 4 3 5" xfId="376"/>
    <cellStyle name="표준 4 4" xfId="377"/>
    <cellStyle name="표준 4 4 2" xfId="378"/>
    <cellStyle name="표준 4 4 3" xfId="379"/>
    <cellStyle name="표준 4 4 4" xfId="380"/>
    <cellStyle name="표준 4 5" xfId="381"/>
    <cellStyle name="표준 4 5 2" xfId="382"/>
    <cellStyle name="표준 4 6" xfId="383"/>
    <cellStyle name="표준 4 7" xfId="384"/>
    <cellStyle name="표준 40" xfId="385"/>
    <cellStyle name="표준 5" xfId="386"/>
    <cellStyle name="표준 5 2" xfId="387"/>
    <cellStyle name="표준 5 2 10" xfId="388"/>
    <cellStyle name="표준 5 2 2" xfId="389"/>
    <cellStyle name="표준 5 2 2 2" xfId="390"/>
    <cellStyle name="표준 5 2 2 3" xfId="391"/>
    <cellStyle name="표준 5 2 2 4" xfId="392"/>
    <cellStyle name="표준 5 2 2 5" xfId="393"/>
    <cellStyle name="표준 5 2 2 6" xfId="394"/>
    <cellStyle name="표준 5 2 2 7" xfId="395"/>
    <cellStyle name="표준 5 2 2 8" xfId="396"/>
    <cellStyle name="표준 5 2 2 9" xfId="397"/>
    <cellStyle name="표준 5 2 3" xfId="398"/>
    <cellStyle name="표준 5 2 4" xfId="399"/>
    <cellStyle name="표준 5 2 5" xfId="400"/>
    <cellStyle name="표준 5 2 6" xfId="401"/>
    <cellStyle name="표준 5 2 7" xfId="402"/>
    <cellStyle name="표준 5 2 8" xfId="403"/>
    <cellStyle name="표준 5 2 9" xfId="404"/>
    <cellStyle name="표준 6" xfId="405"/>
    <cellStyle name="표준 65" xfId="406"/>
    <cellStyle name="표준 7" xfId="407"/>
    <cellStyle name="표준 8" xfId="408"/>
    <cellStyle name="표준 9" xfId="409"/>
    <cellStyle name="표준_서버 취약점 진단 요약보고서_기간계업무_계정계서버_1" xfId="410"/>
    <cellStyle name="하이퍼링크" xfId="411" builtinId="8"/>
    <cellStyle name="하이퍼링크 2" xfId="412"/>
    <cellStyle name="하이퍼링크 3" xfId="413"/>
    <cellStyle name="하이퍼링크 4" xfId="414"/>
    <cellStyle name="표준 2 198" xfId="415"/>
    <cellStyle name="표준 39" xfId="416"/>
    <cellStyle name="??&amp;O?&amp;H?_x0008__x000f__x0007_?_x0007__x0001__x0001_" xfId="417"/>
    <cellStyle name="고정소숫점" xfId="418"/>
    <cellStyle name="고정출력1" xfId="419"/>
    <cellStyle name="고정출력2" xfId="420"/>
    <cellStyle name="날짜" xfId="421"/>
    <cellStyle name="달러" xfId="422"/>
    <cellStyle name="똿뗦먛귟 [0.00]_PRODUCT DETAIL Q1" xfId="423"/>
    <cellStyle name="똿뗦먛귟_PRODUCT DETAIL Q1" xfId="424"/>
    <cellStyle name="믅됞 [0.00]_PRODUCT DETAIL Q1" xfId="425"/>
    <cellStyle name="믅됞_PRODUCT DETAIL Q1" xfId="426"/>
    <cellStyle name="뷭?_BOOKSHIP" xfId="427"/>
    <cellStyle name="스타일 1 3" xfId="428"/>
    <cellStyle name="안건회계법인" xfId="429"/>
    <cellStyle name="자리수" xfId="430"/>
    <cellStyle name="자리수0" xfId="431"/>
    <cellStyle name="퍼센트" xfId="432"/>
    <cellStyle name="합산" xfId="433"/>
    <cellStyle name="화폐기호" xfId="434"/>
    <cellStyle name="화폐기호0" xfId="435"/>
    <cellStyle name="Calc Currency (0)" xfId="436"/>
    <cellStyle name="Header1" xfId="437"/>
    <cellStyle name="Header2" xfId="438"/>
    <cellStyle name="Heading" xfId="439"/>
    <cellStyle name="표준 7 26" xfId="440"/>
    <cellStyle name="표준 6 4" xfId="441"/>
    <cellStyle name="쉼표 [0] 4" xfId="442"/>
    <cellStyle name="쉼표 [0] 2" xfId="443"/>
    <cellStyle name="??&amp;O?&amp;H?_x0008_??_x0007__x0001__x0001_" xfId="444"/>
    <cellStyle name="Currency1" xfId="445"/>
    <cellStyle name="쉼표 [0] 3" xfId="446"/>
    <cellStyle name="콤마 [0]_1.기안을지" xfId="447"/>
    <cellStyle name="콤마_1.기안을지" xfId="448"/>
    <cellStyle name="표준 4 18" xfId="449"/>
    <cellStyle name="표준 5 15" xfId="450"/>
    <cellStyle name="표준 8 20" xfId="451"/>
    <cellStyle name="표준 9 20" xfId="452"/>
    <cellStyle name="표준 10 20" xfId="453"/>
    <cellStyle name="표준 7 15" xfId="454"/>
    <cellStyle name="표준 8 9" xfId="455"/>
    <cellStyle name="표준 9 9" xfId="456"/>
    <cellStyle name="표준 10 9" xfId="457"/>
    <cellStyle name="표준 7 2" xfId="458"/>
    <cellStyle name="표준 8 2" xfId="459"/>
    <cellStyle name="표준 9 2" xfId="460"/>
    <cellStyle name="표준 10 2 11" xfId="461"/>
    <cellStyle name="표준 17 5" xfId="462"/>
    <cellStyle name="_SK네트웍스_xxx_템플릿" xfId="463"/>
    <cellStyle name="20% - 강조색1 10" xfId="464"/>
    <cellStyle name="20% - 강조색1 11" xfId="465"/>
    <cellStyle name="20% - 강조색1 12" xfId="466"/>
    <cellStyle name="20% - 강조색1 2 10" xfId="467"/>
    <cellStyle name="20% - 강조색1 2 2" xfId="468"/>
    <cellStyle name="20% - 강조색1 2 3" xfId="469"/>
    <cellStyle name="20% - 강조색1 2 4" xfId="470"/>
    <cellStyle name="20% - 강조색1 2 5" xfId="471"/>
    <cellStyle name="20% - 강조색1 2 6" xfId="472"/>
    <cellStyle name="20% - 강조색1 2 7" xfId="473"/>
    <cellStyle name="20% - 강조색1 2 8" xfId="474"/>
    <cellStyle name="20% - 강조색1 2 9" xfId="475"/>
    <cellStyle name="20% - 강조색1 3 2" xfId="476"/>
    <cellStyle name="20% - 강조색1 3 3" xfId="477"/>
    <cellStyle name="20% - 강조색1 3 4" xfId="478"/>
    <cellStyle name="20% - 강조색1 5" xfId="479"/>
    <cellStyle name="20% - 강조색1 6" xfId="480"/>
    <cellStyle name="20% - 강조색1 7" xfId="481"/>
    <cellStyle name="20% - 강조색1 7 2" xfId="482"/>
    <cellStyle name="20% - 강조색1 8" xfId="483"/>
    <cellStyle name="20% - 강조색1 9" xfId="484"/>
    <cellStyle name="20% - 강조색2 10" xfId="485"/>
    <cellStyle name="20% - 강조색2 11" xfId="486"/>
    <cellStyle name="20% - 강조색2 12" xfId="487"/>
    <cellStyle name="20% - 강조색2 2 10" xfId="488"/>
    <cellStyle name="20% - 강조색2 2 2" xfId="489"/>
    <cellStyle name="20% - 강조색2 2 3" xfId="490"/>
    <cellStyle name="20% - 강조색2 2 4" xfId="491"/>
    <cellStyle name="20% - 강조색2 2 5" xfId="492"/>
    <cellStyle name="20% - 강조색2 2 6" xfId="493"/>
    <cellStyle name="20% - 강조색2 2 7" xfId="494"/>
    <cellStyle name="20% - 강조색2 2 8" xfId="495"/>
    <cellStyle name="20% - 강조색2 2 9" xfId="496"/>
    <cellStyle name="20% - 강조색2 3 2" xfId="497"/>
    <cellStyle name="20% - 강조색2 3 3" xfId="498"/>
    <cellStyle name="20% - 강조색2 3 4" xfId="499"/>
    <cellStyle name="20% - 강조색2 5" xfId="500"/>
    <cellStyle name="20% - 강조색2 6" xfId="501"/>
    <cellStyle name="20% - 강조색2 7" xfId="502"/>
    <cellStyle name="20% - 강조색2 7 2" xfId="503"/>
    <cellStyle name="20% - 강조색2 8" xfId="504"/>
    <cellStyle name="20% - 강조색2 9" xfId="505"/>
    <cellStyle name="20% - 강조색3 10" xfId="506"/>
    <cellStyle name="20% - 강조색3 11" xfId="507"/>
    <cellStyle name="20% - 강조색3 12" xfId="508"/>
    <cellStyle name="20% - 강조색3 2 10" xfId="509"/>
    <cellStyle name="20% - 강조색3 2 2" xfId="510"/>
    <cellStyle name="20% - 강조색3 2 3" xfId="511"/>
    <cellStyle name="20% - 강조색3 2 4" xfId="512"/>
    <cellStyle name="20% - 강조색3 2 5" xfId="513"/>
    <cellStyle name="20% - 강조색3 2 6" xfId="514"/>
    <cellStyle name="20% - 강조색3 2 7" xfId="515"/>
    <cellStyle name="20% - 강조색3 2 8" xfId="516"/>
    <cellStyle name="20% - 강조색3 2 9" xfId="517"/>
    <cellStyle name="20% - 강조색3 3 2" xfId="518"/>
    <cellStyle name="20% - 강조색3 3 3" xfId="519"/>
    <cellStyle name="20% - 강조색3 3 4" xfId="520"/>
    <cellStyle name="20% - 강조색3 5" xfId="521"/>
    <cellStyle name="20% - 강조색3 6" xfId="522"/>
    <cellStyle name="20% - 강조색3 7" xfId="523"/>
    <cellStyle name="20% - 강조색3 7 2" xfId="524"/>
    <cellStyle name="20% - 강조색3 8" xfId="525"/>
    <cellStyle name="20% - 강조색3 9" xfId="526"/>
    <cellStyle name="20% - 강조색4 10" xfId="527"/>
    <cellStyle name="20% - 강조색4 11" xfId="528"/>
    <cellStyle name="20% - 강조색4 12" xfId="529"/>
    <cellStyle name="20% - 강조색4 2 10" xfId="530"/>
    <cellStyle name="20% - 강조색4 2 2" xfId="531"/>
    <cellStyle name="20% - 강조색4 2 3" xfId="532"/>
    <cellStyle name="20% - 강조색4 2 4" xfId="533"/>
    <cellStyle name="20% - 강조색4 2 5" xfId="534"/>
    <cellStyle name="20% - 강조색4 2 6" xfId="535"/>
    <cellStyle name="20% - 강조색4 2 7" xfId="536"/>
    <cellStyle name="20% - 강조색4 2 8" xfId="537"/>
    <cellStyle name="20% - 강조색4 2 9" xfId="538"/>
    <cellStyle name="20% - 강조색4 3 2" xfId="539"/>
    <cellStyle name="20% - 강조색4 3 3" xfId="540"/>
    <cellStyle name="20% - 강조색4 3 4" xfId="541"/>
    <cellStyle name="20% - 강조색4 5" xfId="542"/>
    <cellStyle name="20% - 강조색4 6" xfId="543"/>
    <cellStyle name="20% - 강조색4 7" xfId="544"/>
    <cellStyle name="20% - 강조색4 7 2" xfId="545"/>
    <cellStyle name="20% - 강조색4 8" xfId="546"/>
    <cellStyle name="20% - 강조색4 9" xfId="547"/>
    <cellStyle name="20% - 강조색5 10" xfId="548"/>
    <cellStyle name="20% - 강조색5 11" xfId="549"/>
    <cellStyle name="20% - 강조색5 12" xfId="550"/>
    <cellStyle name="20% - 강조색5 2 10" xfId="551"/>
    <cellStyle name="20% - 강조색5 2 2" xfId="552"/>
    <cellStyle name="20% - 강조색5 2 3" xfId="553"/>
    <cellStyle name="20% - 강조색5 2 4" xfId="554"/>
    <cellStyle name="20% - 강조색5 2 5" xfId="555"/>
    <cellStyle name="20% - 강조색5 2 6" xfId="556"/>
    <cellStyle name="20% - 강조색5 2 7" xfId="557"/>
    <cellStyle name="20% - 강조색5 2 8" xfId="558"/>
    <cellStyle name="20% - 강조색5 2 9" xfId="559"/>
    <cellStyle name="20% - 강조색5 3 2" xfId="560"/>
    <cellStyle name="20% - 강조색5 3 3" xfId="561"/>
    <cellStyle name="20% - 강조색5 3 4" xfId="562"/>
    <cellStyle name="20% - 강조색5 5" xfId="563"/>
    <cellStyle name="20% - 강조색5 6" xfId="564"/>
    <cellStyle name="20% - 강조색5 7" xfId="565"/>
    <cellStyle name="20% - 강조색5 7 2" xfId="566"/>
    <cellStyle name="20% - 강조색5 8" xfId="567"/>
    <cellStyle name="20% - 강조색5 9" xfId="568"/>
    <cellStyle name="20% - 강조색6 20" xfId="569"/>
    <cellStyle name="20% - 강조색6 10" xfId="570"/>
    <cellStyle name="20% - 강조색6 10 2" xfId="571"/>
    <cellStyle name="20% - 강조색6 10 3" xfId="572"/>
    <cellStyle name="20% - 강조색6 10 4" xfId="573"/>
    <cellStyle name="20% - 강조색6 10 5" xfId="574"/>
    <cellStyle name="20% - 강조색6 10 6" xfId="575"/>
    <cellStyle name="20% - 강조색6 10 7" xfId="576"/>
    <cellStyle name="20% - 강조색6 10 8" xfId="577"/>
    <cellStyle name="20% - 강조색6 10 9" xfId="578"/>
    <cellStyle name="20% - 강조색6 11" xfId="579"/>
    <cellStyle name="20% - 강조색6 11 2" xfId="580"/>
    <cellStyle name="20% - 강조색6 11 3" xfId="581"/>
    <cellStyle name="20% - 강조색6 11 4" xfId="582"/>
    <cellStyle name="20% - 강조색6 11 5" xfId="583"/>
    <cellStyle name="20% - 강조색6 11 6" xfId="584"/>
    <cellStyle name="20% - 강조색6 11 7" xfId="585"/>
    <cellStyle name="20% - 강조색6 11 8" xfId="586"/>
    <cellStyle name="20% - 강조색6 11 9" xfId="587"/>
    <cellStyle name="20% - 강조색6 12" xfId="588"/>
    <cellStyle name="20% - 강조색6 12 2" xfId="589"/>
    <cellStyle name="20% - 강조색6 12 3" xfId="590"/>
    <cellStyle name="20% - 강조색6 12 4" xfId="591"/>
    <cellStyle name="20% - 강조색6 12 5" xfId="592"/>
    <cellStyle name="20% - 강조색6 12 6" xfId="593"/>
    <cellStyle name="20% - 강조색6 12 7" xfId="594"/>
    <cellStyle name="20% - 강조색6 12 8" xfId="595"/>
    <cellStyle name="20% - 강조색6 13" xfId="596"/>
    <cellStyle name="20% - 강조색6 13 2" xfId="597"/>
    <cellStyle name="20% - 강조색6 13 3" xfId="598"/>
    <cellStyle name="20% - 강조색6 13 4" xfId="599"/>
    <cellStyle name="20% - 강조색6 13 5" xfId="600"/>
    <cellStyle name="20% - 강조색6 13 6" xfId="601"/>
    <cellStyle name="20% - 강조색6 13 7" xfId="602"/>
    <cellStyle name="20% - 강조색6 13 8" xfId="603"/>
    <cellStyle name="20% - 강조색6 14" xfId="604"/>
    <cellStyle name="20% - 강조색6 14 2" xfId="605"/>
    <cellStyle name="20% - 강조색6 14 3" xfId="606"/>
    <cellStyle name="20% - 강조색6 14 4" xfId="607"/>
    <cellStyle name="20% - 강조색6 14 5" xfId="608"/>
    <cellStyle name="20% - 강조색6 14 6" xfId="609"/>
    <cellStyle name="20% - 강조색6 14 7" xfId="610"/>
    <cellStyle name="20% - 강조색6 14 8" xfId="611"/>
    <cellStyle name="20% - 강조색6 15" xfId="612"/>
    <cellStyle name="20% - 강조색6 15 2" xfId="613"/>
    <cellStyle name="20% - 강조색6 15 3" xfId="614"/>
    <cellStyle name="20% - 강조색6 15 4" xfId="615"/>
    <cellStyle name="20% - 강조색6 15 5" xfId="616"/>
    <cellStyle name="20% - 강조색6 15 6" xfId="617"/>
    <cellStyle name="20% - 강조색6 15 7" xfId="618"/>
    <cellStyle name="20% - 강조색6 15 8" xfId="619"/>
    <cellStyle name="20% - 강조색6 16" xfId="620"/>
    <cellStyle name="20% - 강조색6 16 2" xfId="621"/>
    <cellStyle name="20% - 강조색6 16 3" xfId="622"/>
    <cellStyle name="20% - 강조색6 16 4" xfId="623"/>
    <cellStyle name="20% - 강조색6 16 5" xfId="624"/>
    <cellStyle name="20% - 강조색6 16 6" xfId="625"/>
    <cellStyle name="20% - 강조색6 16 7" xfId="626"/>
    <cellStyle name="20% - 강조색6 16 8" xfId="627"/>
    <cellStyle name="20% - 강조색6 17" xfId="628"/>
    <cellStyle name="20% - 강조색6 17 2" xfId="629"/>
    <cellStyle name="20% - 강조색6 17 3" xfId="630"/>
    <cellStyle name="20% - 강조색6 17 4" xfId="631"/>
    <cellStyle name="20% - 강조색6 17 5" xfId="632"/>
    <cellStyle name="20% - 강조색6 17 6" xfId="633"/>
    <cellStyle name="20% - 강조색6 17 7" xfId="634"/>
    <cellStyle name="20% - 강조색6 17 8" xfId="635"/>
    <cellStyle name="20% - 강조색6 18" xfId="636"/>
    <cellStyle name="20% - 강조색6 18 2" xfId="637"/>
    <cellStyle name="20% - 강조색6 18 3" xfId="638"/>
    <cellStyle name="20% - 강조색6 18 4" xfId="639"/>
    <cellStyle name="20% - 강조색6 18 5" xfId="640"/>
    <cellStyle name="20% - 강조색6 18 6" xfId="641"/>
    <cellStyle name="20% - 강조색6 18 7" xfId="642"/>
    <cellStyle name="20% - 강조색6 18 8" xfId="643"/>
    <cellStyle name="20% - 강조색6 19" xfId="644"/>
    <cellStyle name="20% - 강조색6 2 21" xfId="645"/>
    <cellStyle name="20% - 강조색6 2 10" xfId="646"/>
    <cellStyle name="20% - 강조색6 2 11" xfId="647"/>
    <cellStyle name="20% - 강조색6 2 11 2" xfId="648"/>
    <cellStyle name="20% - 강조색6 2 11 2 2" xfId="649"/>
    <cellStyle name="20% - 강조색6 2 11 2 3" xfId="650"/>
    <cellStyle name="20% - 강조색6 2 11 3" xfId="651"/>
    <cellStyle name="20% - 강조색6 2 12" xfId="652"/>
    <cellStyle name="20% - 강조색6 2 13" xfId="653"/>
    <cellStyle name="20% - 강조색6 2 14" xfId="654"/>
    <cellStyle name="20% - 강조색6 2 14 2" xfId="655"/>
    <cellStyle name="20% - 강조색6 2 14 2 2" xfId="656"/>
    <cellStyle name="20% - 강조색6 2 14 2 3" xfId="657"/>
    <cellStyle name="20% - 강조색6 2 14 3" xfId="658"/>
    <cellStyle name="20% - 강조색6 2 15" xfId="659"/>
    <cellStyle name="20% - 강조색6 2 16" xfId="660"/>
    <cellStyle name="20% - 강조색6 2 17" xfId="661"/>
    <cellStyle name="20% - 강조색6 2 17 2" xfId="662"/>
    <cellStyle name="20% - 강조색6 2 17 2 2" xfId="663"/>
    <cellStyle name="20% - 강조색6 2 17 2 3" xfId="664"/>
    <cellStyle name="20% - 강조색6 2 17 3" xfId="665"/>
    <cellStyle name="20% - 강조색6 2 18" xfId="666"/>
    <cellStyle name="20% - 강조색6 2 19" xfId="667"/>
    <cellStyle name="20% - 강조색6 2 2" xfId="668"/>
    <cellStyle name="20% - 강조색6 2 20" xfId="669"/>
    <cellStyle name="20% - 강조색6 2 3" xfId="670"/>
    <cellStyle name="20% - 강조색6 2 4" xfId="671"/>
    <cellStyle name="20% - 강조색6 2 5" xfId="672"/>
    <cellStyle name="20% - 강조색6 2 6" xfId="673"/>
    <cellStyle name="20% - 강조색6 2 7" xfId="674"/>
    <cellStyle name="20% - 강조색6 2 7 2" xfId="675"/>
    <cellStyle name="20% - 강조색6 2 7 2 2" xfId="676"/>
    <cellStyle name="20% - 강조색6 2 7 2 2 2" xfId="677"/>
    <cellStyle name="20% - 강조색6 2 7 2 2 2 2" xfId="678"/>
    <cellStyle name="20% - 강조색6 2 7 2 2 2 3" xfId="679"/>
    <cellStyle name="20% - 강조색6 2 7 2 2 3" xfId="680"/>
    <cellStyle name="20% - 강조색6 2 7 2 3" xfId="681"/>
    <cellStyle name="20% - 강조색6 2 7 2 4" xfId="682"/>
    <cellStyle name="20% - 강조색6 2 7 3" xfId="683"/>
    <cellStyle name="20% - 강조색6 2 7 3 2" xfId="684"/>
    <cellStyle name="20% - 강조색6 2 7 3 3" xfId="685"/>
    <cellStyle name="20% - 강조색6 2 7 4" xfId="686"/>
    <cellStyle name="20% - 강조색6 2 8" xfId="687"/>
    <cellStyle name="20% - 강조색6 2 9" xfId="688"/>
    <cellStyle name="20% - 강조색6 3 5" xfId="689"/>
    <cellStyle name="20% - 강조색6 3 2" xfId="690"/>
    <cellStyle name="20% - 강조색6 3 3" xfId="691"/>
    <cellStyle name="20% - 강조색6 3 4" xfId="692"/>
    <cellStyle name="20% - 강조색6 4 2" xfId="693"/>
    <cellStyle name="20% - 강조색6 5" xfId="694"/>
    <cellStyle name="20% - 강조색6 6" xfId="695"/>
    <cellStyle name="20% - 강조색6 7" xfId="696"/>
    <cellStyle name="20% - 강조색6 7 2" xfId="697"/>
    <cellStyle name="20% - 강조색6 8" xfId="698"/>
    <cellStyle name="20% - 강조색6 9" xfId="699"/>
    <cellStyle name="20% - 강조색6 9 2" xfId="700"/>
    <cellStyle name="20% - 강조색6 9 3" xfId="701"/>
    <cellStyle name="20% - 강조색6 9 4" xfId="702"/>
    <cellStyle name="20% - 강조색6 9 5" xfId="703"/>
    <cellStyle name="20% - 강조색6 9 6" xfId="704"/>
    <cellStyle name="20% - 강조색6 9 7" xfId="705"/>
    <cellStyle name="20% - 강조색6 9 8" xfId="706"/>
    <cellStyle name="20% - 강조색6 9 9" xfId="707"/>
    <cellStyle name="40% - 강조색1 10" xfId="708"/>
    <cellStyle name="40% - 강조색1 11" xfId="709"/>
    <cellStyle name="40% - 강조색1 12" xfId="710"/>
    <cellStyle name="40% - 강조색1 2 10" xfId="711"/>
    <cellStyle name="40% - 강조색1 2 2" xfId="712"/>
    <cellStyle name="40% - 강조색1 2 3" xfId="713"/>
    <cellStyle name="40% - 강조색1 2 4" xfId="714"/>
    <cellStyle name="40% - 강조색1 2 5" xfId="715"/>
    <cellStyle name="40% - 강조색1 2 6" xfId="716"/>
    <cellStyle name="40% - 강조색1 2 7" xfId="717"/>
    <cellStyle name="40% - 강조색1 2 8" xfId="718"/>
    <cellStyle name="40% - 강조색1 2 9" xfId="719"/>
    <cellStyle name="40% - 강조색1 3 2" xfId="720"/>
    <cellStyle name="40% - 강조색1 3 3" xfId="721"/>
    <cellStyle name="40% - 강조색1 3 4" xfId="722"/>
    <cellStyle name="40% - 강조색1 5" xfId="723"/>
    <cellStyle name="40% - 강조색1 6" xfId="724"/>
    <cellStyle name="40% - 강조색1 7" xfId="725"/>
    <cellStyle name="40% - 강조색1 7 2" xfId="726"/>
    <cellStyle name="40% - 강조색1 8" xfId="727"/>
    <cellStyle name="40% - 강조색1 9" xfId="728"/>
    <cellStyle name="40% - 강조색2 10" xfId="729"/>
    <cellStyle name="40% - 강조색2 11" xfId="730"/>
    <cellStyle name="40% - 강조색2 12" xfId="731"/>
    <cellStyle name="40% - 강조색2 2 10" xfId="732"/>
    <cellStyle name="40% - 강조색2 2 2" xfId="733"/>
    <cellStyle name="40% - 강조색2 2 3" xfId="734"/>
    <cellStyle name="40% - 강조색2 2 4" xfId="735"/>
    <cellStyle name="40% - 강조색2 2 5" xfId="736"/>
    <cellStyle name="40% - 강조색2 2 6" xfId="737"/>
    <cellStyle name="40% - 강조색2 2 7" xfId="738"/>
    <cellStyle name="40% - 강조색2 2 8" xfId="739"/>
    <cellStyle name="40% - 강조색2 2 9" xfId="740"/>
    <cellStyle name="40% - 강조색2 3 2" xfId="741"/>
    <cellStyle name="40% - 강조색2 3 3" xfId="742"/>
    <cellStyle name="40% - 강조색2 3 4" xfId="743"/>
    <cellStyle name="40% - 강조색2 5" xfId="744"/>
    <cellStyle name="40% - 강조색2 6" xfId="745"/>
    <cellStyle name="40% - 강조색2 7" xfId="746"/>
    <cellStyle name="40% - 강조색2 7 2" xfId="747"/>
    <cellStyle name="40% - 강조색2 8" xfId="748"/>
    <cellStyle name="40% - 강조색2 9" xfId="749"/>
    <cellStyle name="40% - 강조색3 10" xfId="750"/>
    <cellStyle name="40% - 강조색3 11" xfId="751"/>
    <cellStyle name="40% - 강조색3 12" xfId="752"/>
    <cellStyle name="40% - 강조색3 2 10" xfId="753"/>
    <cellStyle name="40% - 강조색3 2 2" xfId="754"/>
    <cellStyle name="40% - 강조색3 2 3" xfId="755"/>
    <cellStyle name="40% - 강조색3 2 4" xfId="756"/>
    <cellStyle name="40% - 강조색3 2 5" xfId="757"/>
    <cellStyle name="40% - 강조색3 2 6" xfId="758"/>
    <cellStyle name="40% - 강조색3 2 7" xfId="759"/>
    <cellStyle name="40% - 강조색3 2 8" xfId="760"/>
    <cellStyle name="40% - 강조색3 2 9" xfId="761"/>
    <cellStyle name="40% - 강조색3 3 2" xfId="762"/>
    <cellStyle name="40% - 강조색3 3 3" xfId="763"/>
    <cellStyle name="40% - 강조색3 3 4" xfId="764"/>
    <cellStyle name="40% - 강조색3 5" xfId="765"/>
    <cellStyle name="40% - 강조색3 6" xfId="766"/>
    <cellStyle name="40% - 강조색3 7" xfId="767"/>
    <cellStyle name="40% - 강조색3 7 2" xfId="768"/>
    <cellStyle name="40% - 강조색3 8" xfId="769"/>
    <cellStyle name="40% - 강조색3 9" xfId="770"/>
    <cellStyle name="40% - 강조색4 10" xfId="771"/>
    <cellStyle name="40% - 강조색4 11" xfId="772"/>
    <cellStyle name="40% - 강조색4 12" xfId="773"/>
    <cellStyle name="40% - 강조색4 2 10" xfId="774"/>
    <cellStyle name="40% - 강조색4 2 2" xfId="775"/>
    <cellStyle name="40% - 강조색4 2 3" xfId="776"/>
    <cellStyle name="40% - 강조색4 2 4" xfId="777"/>
    <cellStyle name="40% - 강조색4 2 5" xfId="778"/>
    <cellStyle name="40% - 강조색4 2 6" xfId="779"/>
    <cellStyle name="40% - 강조색4 2 7" xfId="780"/>
    <cellStyle name="40% - 강조색4 2 8" xfId="781"/>
    <cellStyle name="40% - 강조색4 2 9" xfId="782"/>
    <cellStyle name="40% - 강조색4 3 2" xfId="783"/>
    <cellStyle name="40% - 강조색4 3 3" xfId="784"/>
    <cellStyle name="40% - 강조색4 3 4" xfId="785"/>
    <cellStyle name="40% - 강조색4 5" xfId="786"/>
    <cellStyle name="40% - 강조색4 6" xfId="787"/>
    <cellStyle name="40% - 강조색4 7" xfId="788"/>
    <cellStyle name="40% - 강조색4 7 2" xfId="789"/>
    <cellStyle name="40% - 강조색4 8" xfId="790"/>
    <cellStyle name="40% - 강조색4 9" xfId="791"/>
    <cellStyle name="40% - 강조색5 10" xfId="792"/>
    <cellStyle name="40% - 강조색5 11" xfId="793"/>
    <cellStyle name="40% - 강조색5 12" xfId="794"/>
    <cellStyle name="40% - 강조색5 2 10" xfId="795"/>
    <cellStyle name="40% - 강조색5 2 2" xfId="796"/>
    <cellStyle name="40% - 강조색5 2 3" xfId="797"/>
    <cellStyle name="40% - 강조색5 2 4" xfId="798"/>
    <cellStyle name="40% - 강조색5 2 5" xfId="799"/>
    <cellStyle name="40% - 강조색5 2 6" xfId="800"/>
    <cellStyle name="40% - 강조색5 2 7" xfId="801"/>
    <cellStyle name="40% - 강조색5 2 8" xfId="802"/>
    <cellStyle name="40% - 강조색5 2 9" xfId="803"/>
    <cellStyle name="40% - 강조색5 3 2" xfId="804"/>
    <cellStyle name="40% - 강조색5 3 3" xfId="805"/>
    <cellStyle name="40% - 강조색5 3 4" xfId="806"/>
    <cellStyle name="40% - 강조색5 5" xfId="807"/>
    <cellStyle name="40% - 강조색5 6" xfId="808"/>
    <cellStyle name="40% - 강조색5 7" xfId="809"/>
    <cellStyle name="40% - 강조색5 7 2" xfId="810"/>
    <cellStyle name="40% - 강조색5 8" xfId="811"/>
    <cellStyle name="40% - 강조색5 9" xfId="812"/>
    <cellStyle name="40% - 강조색6 10" xfId="813"/>
    <cellStyle name="40% - 강조색6 11" xfId="814"/>
    <cellStyle name="40% - 강조색6 12" xfId="815"/>
    <cellStyle name="40% - 강조색6 2 10" xfId="816"/>
    <cellStyle name="40% - 강조색6 2 2" xfId="817"/>
    <cellStyle name="40% - 강조색6 2 3" xfId="818"/>
    <cellStyle name="40% - 강조색6 2 4" xfId="819"/>
    <cellStyle name="40% - 강조색6 2 5" xfId="820"/>
    <cellStyle name="40% - 강조색6 2 6" xfId="821"/>
    <cellStyle name="40% - 강조색6 2 7" xfId="822"/>
    <cellStyle name="40% - 강조색6 2 8" xfId="823"/>
    <cellStyle name="40% - 강조색6 2 9" xfId="824"/>
    <cellStyle name="40% - 강조색6 3 2" xfId="825"/>
    <cellStyle name="40% - 강조색6 3 3" xfId="826"/>
    <cellStyle name="40% - 강조색6 3 4" xfId="827"/>
    <cellStyle name="40% - 강조색6 5" xfId="828"/>
    <cellStyle name="40% - 강조색6 6" xfId="829"/>
    <cellStyle name="40% - 강조색6 7" xfId="830"/>
    <cellStyle name="40% - 강조색6 7 2" xfId="831"/>
    <cellStyle name="40% - 강조색6 8" xfId="832"/>
    <cellStyle name="40% - 강조색6 9" xfId="833"/>
    <cellStyle name="60% - 강조색1 10" xfId="834"/>
    <cellStyle name="60% - 강조색1 11" xfId="835"/>
    <cellStyle name="60% - 강조색1 12" xfId="836"/>
    <cellStyle name="60% - 강조색1 2 10" xfId="837"/>
    <cellStyle name="60% - 강조색1 2 2" xfId="838"/>
    <cellStyle name="60% - 강조색1 2 3" xfId="839"/>
    <cellStyle name="60% - 강조색1 2 4" xfId="840"/>
    <cellStyle name="60% - 강조색1 2 5" xfId="841"/>
    <cellStyle name="60% - 강조색1 2 6" xfId="842"/>
    <cellStyle name="60% - 강조색1 2 7" xfId="843"/>
    <cellStyle name="60% - 강조색1 2 8" xfId="844"/>
    <cellStyle name="60% - 강조색1 2 9" xfId="845"/>
    <cellStyle name="60% - 강조색1 3 2" xfId="846"/>
    <cellStyle name="60% - 강조색1 3 3" xfId="847"/>
    <cellStyle name="60% - 강조색1 3 4" xfId="848"/>
    <cellStyle name="60% - 강조색1 4" xfId="849"/>
    <cellStyle name="60% - 강조색1 5" xfId="850"/>
    <cellStyle name="60% - 강조색1 6" xfId="851"/>
    <cellStyle name="60% - 강조색1 7" xfId="852"/>
    <cellStyle name="60% - 강조색1 7 2" xfId="853"/>
    <cellStyle name="60% - 강조색1 8" xfId="854"/>
    <cellStyle name="60% - 강조색1 9" xfId="855"/>
    <cellStyle name="60% - 강조색2 10" xfId="856"/>
    <cellStyle name="60% - 강조색2 11" xfId="857"/>
    <cellStyle name="60% - 강조색2 12" xfId="858"/>
    <cellStyle name="60% - 강조색2 2 10" xfId="859"/>
    <cellStyle name="60% - 강조색2 2 2" xfId="860"/>
    <cellStyle name="60% - 강조색2 2 3" xfId="861"/>
    <cellStyle name="60% - 강조색2 2 4" xfId="862"/>
    <cellStyle name="60% - 강조색2 2 5" xfId="863"/>
    <cellStyle name="60% - 강조색2 2 6" xfId="864"/>
    <cellStyle name="60% - 강조색2 2 7" xfId="865"/>
    <cellStyle name="60% - 강조색2 2 8" xfId="866"/>
    <cellStyle name="60% - 강조색2 2 9" xfId="867"/>
    <cellStyle name="60% - 강조색2 3 2" xfId="868"/>
    <cellStyle name="60% - 강조색2 3 3" xfId="869"/>
    <cellStyle name="60% - 강조색2 3 4" xfId="870"/>
    <cellStyle name="60% - 강조색2 4" xfId="871"/>
    <cellStyle name="60% - 강조색2 5" xfId="872"/>
    <cellStyle name="60% - 강조색2 6" xfId="873"/>
    <cellStyle name="60% - 강조색2 7" xfId="874"/>
    <cellStyle name="60% - 강조색2 7 2" xfId="875"/>
    <cellStyle name="60% - 강조색2 8" xfId="876"/>
    <cellStyle name="60% - 강조색2 9" xfId="877"/>
    <cellStyle name="60% - 강조색3 10" xfId="878"/>
    <cellStyle name="60% - 강조색3 11" xfId="879"/>
    <cellStyle name="60% - 강조색3 12" xfId="880"/>
    <cellStyle name="60% - 강조색3 2 10" xfId="881"/>
    <cellStyle name="60% - 강조색3 2 2" xfId="882"/>
    <cellStyle name="60% - 강조색3 2 3" xfId="883"/>
    <cellStyle name="60% - 강조색3 2 4" xfId="884"/>
    <cellStyle name="60% - 강조색3 2 5" xfId="885"/>
    <cellStyle name="60% - 강조색3 2 6" xfId="886"/>
    <cellStyle name="60% - 강조색3 2 7" xfId="887"/>
    <cellStyle name="60% - 강조색3 2 8" xfId="888"/>
    <cellStyle name="60% - 강조색3 2 9" xfId="889"/>
    <cellStyle name="60% - 강조색3 3 2" xfId="890"/>
    <cellStyle name="60% - 강조색3 3 3" xfId="891"/>
    <cellStyle name="60% - 강조색3 3 4" xfId="892"/>
    <cellStyle name="60% - 강조색3 4" xfId="893"/>
    <cellStyle name="60% - 강조색3 5" xfId="894"/>
    <cellStyle name="60% - 강조색3 6" xfId="895"/>
    <cellStyle name="60% - 강조색3 7" xfId="896"/>
    <cellStyle name="60% - 강조색3 7 2" xfId="897"/>
    <cellStyle name="60% - 강조색3 8" xfId="898"/>
    <cellStyle name="60% - 강조색3 9" xfId="899"/>
    <cellStyle name="60% - 강조색4 10" xfId="900"/>
    <cellStyle name="60% - 강조색4 11" xfId="901"/>
    <cellStyle name="60% - 강조색4 12" xfId="902"/>
    <cellStyle name="60% - 강조색4 2 10" xfId="903"/>
    <cellStyle name="60% - 강조색4 2 2" xfId="904"/>
    <cellStyle name="60% - 강조색4 2 3" xfId="905"/>
    <cellStyle name="60% - 강조색4 2 4" xfId="906"/>
    <cellStyle name="60% - 강조색4 2 5" xfId="907"/>
    <cellStyle name="60% - 강조색4 2 6" xfId="908"/>
    <cellStyle name="60% - 강조색4 2 7" xfId="909"/>
    <cellStyle name="60% - 강조색4 2 8" xfId="910"/>
    <cellStyle name="60% - 강조색4 2 9" xfId="911"/>
    <cellStyle name="60% - 강조색4 3 2" xfId="912"/>
    <cellStyle name="60% - 강조색4 3 3" xfId="913"/>
    <cellStyle name="60% - 강조색4 3 4" xfId="914"/>
    <cellStyle name="60% - 강조색4 4" xfId="915"/>
    <cellStyle name="60% - 강조색4 5" xfId="916"/>
    <cellStyle name="60% - 강조색4 6" xfId="917"/>
    <cellStyle name="60% - 강조색4 7" xfId="918"/>
    <cellStyle name="60% - 강조색4 7 2" xfId="919"/>
    <cellStyle name="60% - 강조색4 8" xfId="920"/>
    <cellStyle name="60% - 강조색4 9" xfId="921"/>
    <cellStyle name="60% - 강조색5 10" xfId="922"/>
    <cellStyle name="60% - 강조색5 11" xfId="923"/>
    <cellStyle name="60% - 강조색5 12" xfId="924"/>
    <cellStyle name="60% - 강조색5 2 10" xfId="925"/>
    <cellStyle name="60% - 강조색5 2 2" xfId="926"/>
    <cellStyle name="60% - 강조색5 2 3" xfId="927"/>
    <cellStyle name="60% - 강조색5 2 4" xfId="928"/>
    <cellStyle name="60% - 강조색5 2 5" xfId="929"/>
    <cellStyle name="60% - 강조색5 2 6" xfId="930"/>
    <cellStyle name="60% - 강조색5 2 7" xfId="931"/>
    <cellStyle name="60% - 강조색5 2 8" xfId="932"/>
    <cellStyle name="60% - 강조색5 2 9" xfId="933"/>
    <cellStyle name="60% - 강조색5 3 2" xfId="934"/>
    <cellStyle name="60% - 강조색5 3 3" xfId="935"/>
    <cellStyle name="60% - 강조색5 3 4" xfId="936"/>
    <cellStyle name="60% - 강조색5 4" xfId="937"/>
    <cellStyle name="60% - 강조색5 5" xfId="938"/>
    <cellStyle name="60% - 강조색5 6" xfId="939"/>
    <cellStyle name="60% - 강조색5 7" xfId="940"/>
    <cellStyle name="60% - 강조색5 7 2" xfId="941"/>
    <cellStyle name="60% - 강조색5 8" xfId="942"/>
    <cellStyle name="60% - 강조색5 9" xfId="943"/>
    <cellStyle name="60% - 강조색6 10" xfId="944"/>
    <cellStyle name="60% - 강조색6 11" xfId="945"/>
    <cellStyle name="60% - 강조색6 12" xfId="946"/>
    <cellStyle name="60% - 강조색6 2 10" xfId="947"/>
    <cellStyle name="60% - 강조색6 2 2" xfId="948"/>
    <cellStyle name="60% - 강조색6 2 3" xfId="949"/>
    <cellStyle name="60% - 강조색6 2 4" xfId="950"/>
    <cellStyle name="60% - 강조색6 2 5" xfId="951"/>
    <cellStyle name="60% - 강조색6 2 6" xfId="952"/>
    <cellStyle name="60% - 강조색6 2 7" xfId="953"/>
    <cellStyle name="60% - 강조색6 2 8" xfId="954"/>
    <cellStyle name="60% - 강조색6 2 9" xfId="955"/>
    <cellStyle name="60% - 강조색6 3 2" xfId="956"/>
    <cellStyle name="60% - 강조색6 3 3" xfId="957"/>
    <cellStyle name="60% - 강조색6 3 4" xfId="958"/>
    <cellStyle name="60% - 강조색6 4" xfId="959"/>
    <cellStyle name="60% - 강조색6 5" xfId="960"/>
    <cellStyle name="60% - 강조색6 6" xfId="961"/>
    <cellStyle name="60% - 강조색6 7" xfId="962"/>
    <cellStyle name="60% - 강조색6 7 2" xfId="963"/>
    <cellStyle name="60% - 강조색6 8" xfId="964"/>
    <cellStyle name="60% - 강조색6 9" xfId="965"/>
    <cellStyle name="강조색1 10" xfId="966"/>
    <cellStyle name="강조색1 11" xfId="967"/>
    <cellStyle name="강조색1 12" xfId="968"/>
    <cellStyle name="강조색1 2 10" xfId="969"/>
    <cellStyle name="강조색1 2 2" xfId="970"/>
    <cellStyle name="강조색1 2 3" xfId="971"/>
    <cellStyle name="강조색1 2 4" xfId="972"/>
    <cellStyle name="강조색1 2 5" xfId="973"/>
    <cellStyle name="강조색1 2 6" xfId="974"/>
    <cellStyle name="강조색1 2 7" xfId="975"/>
    <cellStyle name="강조색1 2 8" xfId="976"/>
    <cellStyle name="강조색1 2 9" xfId="977"/>
    <cellStyle name="강조색1 3 2" xfId="978"/>
    <cellStyle name="강조색1 3 3" xfId="979"/>
    <cellStyle name="강조색1 3 4" xfId="980"/>
    <cellStyle name="강조색1 4" xfId="981"/>
    <cellStyle name="강조색1 5" xfId="982"/>
    <cellStyle name="강조색1 6" xfId="983"/>
    <cellStyle name="강조색1 7" xfId="984"/>
    <cellStyle name="강조색1 7 2" xfId="985"/>
    <cellStyle name="강조색1 8" xfId="986"/>
    <cellStyle name="강조색1 9" xfId="987"/>
    <cellStyle name="강조색2 10" xfId="988"/>
    <cellStyle name="강조색2 11" xfId="989"/>
    <cellStyle name="강조색2 12" xfId="990"/>
    <cellStyle name="강조색2 2 10" xfId="991"/>
    <cellStyle name="강조색2 2 2" xfId="992"/>
    <cellStyle name="강조색2 2 3" xfId="993"/>
    <cellStyle name="강조색2 2 4" xfId="994"/>
    <cellStyle name="강조색2 2 5" xfId="995"/>
    <cellStyle name="강조색2 2 6" xfId="996"/>
    <cellStyle name="강조색2 2 7" xfId="997"/>
    <cellStyle name="강조색2 2 8" xfId="998"/>
    <cellStyle name="강조색2 2 9" xfId="999"/>
    <cellStyle name="강조색2 3 2" xfId="1000"/>
    <cellStyle name="강조색2 3 3" xfId="1001"/>
    <cellStyle name="강조색2 3 4" xfId="1002"/>
    <cellStyle name="강조색2 4" xfId="1003"/>
    <cellStyle name="강조색2 5" xfId="1004"/>
    <cellStyle name="강조색2 6" xfId="1005"/>
    <cellStyle name="강조색2 7" xfId="1006"/>
    <cellStyle name="강조색2 7 2" xfId="1007"/>
    <cellStyle name="강조색2 8" xfId="1008"/>
    <cellStyle name="강조색2 9" xfId="1009"/>
    <cellStyle name="강조색3 10" xfId="1010"/>
    <cellStyle name="강조색3 11" xfId="1011"/>
    <cellStyle name="강조색3 12" xfId="1012"/>
    <cellStyle name="강조색3 2 10" xfId="1013"/>
    <cellStyle name="강조색3 2 2" xfId="1014"/>
    <cellStyle name="강조색3 2 3" xfId="1015"/>
    <cellStyle name="강조색3 2 4" xfId="1016"/>
    <cellStyle name="강조색3 2 5" xfId="1017"/>
    <cellStyle name="강조색3 2 6" xfId="1018"/>
    <cellStyle name="강조색3 2 7" xfId="1019"/>
    <cellStyle name="강조색3 2 8" xfId="1020"/>
    <cellStyle name="강조색3 2 9" xfId="1021"/>
    <cellStyle name="강조색3 3 2" xfId="1022"/>
    <cellStyle name="강조색3 3 3" xfId="1023"/>
    <cellStyle name="강조색3 3 4" xfId="1024"/>
    <cellStyle name="강조색3 4" xfId="1025"/>
    <cellStyle name="강조색3 5" xfId="1026"/>
    <cellStyle name="강조색3 6" xfId="1027"/>
    <cellStyle name="강조색3 7" xfId="1028"/>
    <cellStyle name="강조색3 7 2" xfId="1029"/>
    <cellStyle name="강조색3 8" xfId="1030"/>
    <cellStyle name="강조색3 9" xfId="1031"/>
    <cellStyle name="강조색4 10" xfId="1032"/>
    <cellStyle name="강조색4 11" xfId="1033"/>
    <cellStyle name="강조색4 12" xfId="1034"/>
    <cellStyle name="강조색4 2 10" xfId="1035"/>
    <cellStyle name="강조색4 2 2" xfId="1036"/>
    <cellStyle name="강조색4 2 3" xfId="1037"/>
    <cellStyle name="강조색4 2 4" xfId="1038"/>
    <cellStyle name="강조색4 2 5" xfId="1039"/>
    <cellStyle name="강조색4 2 6" xfId="1040"/>
    <cellStyle name="강조색4 2 7" xfId="1041"/>
    <cellStyle name="강조색4 2 8" xfId="1042"/>
    <cellStyle name="강조색4 2 9" xfId="1043"/>
    <cellStyle name="강조색4 3 2" xfId="1044"/>
    <cellStyle name="강조색4 3 3" xfId="1045"/>
    <cellStyle name="강조색4 3 4" xfId="1046"/>
    <cellStyle name="강조색4 4" xfId="1047"/>
    <cellStyle name="강조색4 5" xfId="1048"/>
    <cellStyle name="강조색4 6" xfId="1049"/>
    <cellStyle name="강조색4 7" xfId="1050"/>
    <cellStyle name="강조색4 7 2" xfId="1051"/>
    <cellStyle name="강조색4 8" xfId="1052"/>
    <cellStyle name="강조색4 9" xfId="1053"/>
    <cellStyle name="강조색5 10" xfId="1054"/>
    <cellStyle name="강조색5 11" xfId="1055"/>
    <cellStyle name="강조색5 12" xfId="1056"/>
    <cellStyle name="강조색5 2 10" xfId="1057"/>
    <cellStyle name="강조색5 2 2" xfId="1058"/>
    <cellStyle name="강조색5 2 3" xfId="1059"/>
    <cellStyle name="강조색5 2 4" xfId="1060"/>
    <cellStyle name="강조색5 2 5" xfId="1061"/>
    <cellStyle name="강조색5 2 6" xfId="1062"/>
    <cellStyle name="강조색5 2 7" xfId="1063"/>
    <cellStyle name="강조색5 2 8" xfId="1064"/>
    <cellStyle name="강조색5 2 9" xfId="1065"/>
    <cellStyle name="강조색5 3 2" xfId="1066"/>
    <cellStyle name="강조색5 3 3" xfId="1067"/>
    <cellStyle name="강조색5 3 4" xfId="1068"/>
    <cellStyle name="강조색5 4" xfId="1069"/>
    <cellStyle name="강조색5 5" xfId="1070"/>
    <cellStyle name="강조색5 6" xfId="1071"/>
    <cellStyle name="강조색5 7" xfId="1072"/>
    <cellStyle name="강조색5 7 2" xfId="1073"/>
    <cellStyle name="강조색5 8" xfId="1074"/>
    <cellStyle name="강조색5 9" xfId="1075"/>
    <cellStyle name="강조색6 10" xfId="1076"/>
    <cellStyle name="강조색6 11" xfId="1077"/>
    <cellStyle name="강조색6 12" xfId="1078"/>
    <cellStyle name="강조색6 2 10" xfId="1079"/>
    <cellStyle name="강조색6 2 2" xfId="1080"/>
    <cellStyle name="강조색6 2 3" xfId="1081"/>
    <cellStyle name="강조색6 2 4" xfId="1082"/>
    <cellStyle name="강조색6 2 5" xfId="1083"/>
    <cellStyle name="강조색6 2 6" xfId="1084"/>
    <cellStyle name="강조색6 2 7" xfId="1085"/>
    <cellStyle name="강조색6 2 8" xfId="1086"/>
    <cellStyle name="강조색6 2 9" xfId="1087"/>
    <cellStyle name="강조색6 3 2" xfId="1088"/>
    <cellStyle name="강조색6 3 3" xfId="1089"/>
    <cellStyle name="강조색6 3 4" xfId="1090"/>
    <cellStyle name="강조색6 4" xfId="1091"/>
    <cellStyle name="강조색6 5" xfId="1092"/>
    <cellStyle name="강조색6 6" xfId="1093"/>
    <cellStyle name="강조색6 7" xfId="1094"/>
    <cellStyle name="강조색6 7 2" xfId="1095"/>
    <cellStyle name="강조색6 8" xfId="1096"/>
    <cellStyle name="강조색6 9" xfId="1097"/>
    <cellStyle name="경고문 10" xfId="1098"/>
    <cellStyle name="경고문 11" xfId="1099"/>
    <cellStyle name="경고문 12" xfId="1100"/>
    <cellStyle name="경고문 2 10" xfId="1101"/>
    <cellStyle name="경고문 2 2" xfId="1102"/>
    <cellStyle name="경고문 2 3" xfId="1103"/>
    <cellStyle name="경고문 2 4" xfId="1104"/>
    <cellStyle name="경고문 2 5" xfId="1105"/>
    <cellStyle name="경고문 2 6" xfId="1106"/>
    <cellStyle name="경고문 2 7" xfId="1107"/>
    <cellStyle name="경고문 2 8" xfId="1108"/>
    <cellStyle name="경고문 2 9" xfId="1109"/>
    <cellStyle name="경고문 3 2" xfId="1110"/>
    <cellStyle name="경고문 3 3" xfId="1111"/>
    <cellStyle name="경고문 3 4" xfId="1112"/>
    <cellStyle name="경고문 4" xfId="1113"/>
    <cellStyle name="경고문 5" xfId="1114"/>
    <cellStyle name="경고문 6" xfId="1115"/>
    <cellStyle name="경고문 7" xfId="1116"/>
    <cellStyle name="경고문 7 2" xfId="1117"/>
    <cellStyle name="경고문 8" xfId="1118"/>
    <cellStyle name="경고문 9" xfId="1119"/>
    <cellStyle name="계산 10" xfId="1120"/>
    <cellStyle name="계산 11" xfId="1121"/>
    <cellStyle name="계산 12" xfId="1122"/>
    <cellStyle name="계산 2 10" xfId="1123"/>
    <cellStyle name="계산 2 2" xfId="1124"/>
    <cellStyle name="계산 2 3" xfId="1125"/>
    <cellStyle name="계산 2 4" xfId="1126"/>
    <cellStyle name="계산 2 5" xfId="1127"/>
    <cellStyle name="계산 2 6" xfId="1128"/>
    <cellStyle name="계산 2 7" xfId="1129"/>
    <cellStyle name="계산 2 8" xfId="1130"/>
    <cellStyle name="계산 2 9" xfId="1131"/>
    <cellStyle name="계산 3 2" xfId="1132"/>
    <cellStyle name="계산 3 3" xfId="1133"/>
    <cellStyle name="계산 3 4" xfId="1134"/>
    <cellStyle name="계산 4" xfId="1135"/>
    <cellStyle name="계산 5" xfId="1136"/>
    <cellStyle name="계산 6" xfId="1137"/>
    <cellStyle name="계산 7" xfId="1138"/>
    <cellStyle name="계산 7 2" xfId="1139"/>
    <cellStyle name="계산 8" xfId="1140"/>
    <cellStyle name="계산 9" xfId="1141"/>
    <cellStyle name="나쁨 10" xfId="1142"/>
    <cellStyle name="나쁨 11" xfId="1143"/>
    <cellStyle name="나쁨 12" xfId="1144"/>
    <cellStyle name="나쁨 2 10" xfId="1145"/>
    <cellStyle name="나쁨 2 2" xfId="1146"/>
    <cellStyle name="나쁨 2 3" xfId="1147"/>
    <cellStyle name="나쁨 2 4" xfId="1148"/>
    <cellStyle name="나쁨 2 5" xfId="1149"/>
    <cellStyle name="나쁨 2 6" xfId="1150"/>
    <cellStyle name="나쁨 2 7" xfId="1151"/>
    <cellStyle name="나쁨 2 8" xfId="1152"/>
    <cellStyle name="나쁨 2 9" xfId="1153"/>
    <cellStyle name="나쁨 3 2" xfId="1154"/>
    <cellStyle name="나쁨 3 3" xfId="1155"/>
    <cellStyle name="나쁨 3 4" xfId="1156"/>
    <cellStyle name="나쁨 4" xfId="1157"/>
    <cellStyle name="나쁨 5" xfId="1158"/>
    <cellStyle name="나쁨 6" xfId="1159"/>
    <cellStyle name="나쁨 7" xfId="1160"/>
    <cellStyle name="나쁨 7 2" xfId="1161"/>
    <cellStyle name="나쁨 8" xfId="1162"/>
    <cellStyle name="나쁨 9" xfId="1163"/>
    <cellStyle name="메모 20" xfId="1164"/>
    <cellStyle name="메모 10" xfId="1165"/>
    <cellStyle name="메모 10 2" xfId="1166"/>
    <cellStyle name="메모 10 3" xfId="1167"/>
    <cellStyle name="메모 10 4" xfId="1168"/>
    <cellStyle name="메모 10 5" xfId="1169"/>
    <cellStyle name="메모 10 6" xfId="1170"/>
    <cellStyle name="메모 10 7" xfId="1171"/>
    <cellStyle name="메모 10 8" xfId="1172"/>
    <cellStyle name="메모 10 9" xfId="1173"/>
    <cellStyle name="메모 11" xfId="1174"/>
    <cellStyle name="메모 11 2" xfId="1175"/>
    <cellStyle name="메모 11 3" xfId="1176"/>
    <cellStyle name="메모 11 4" xfId="1177"/>
    <cellStyle name="메모 11 5" xfId="1178"/>
    <cellStyle name="메모 11 6" xfId="1179"/>
    <cellStyle name="메모 11 7" xfId="1180"/>
    <cellStyle name="메모 11 8" xfId="1181"/>
    <cellStyle name="메모 11 9" xfId="1182"/>
    <cellStyle name="메모 12" xfId="1183"/>
    <cellStyle name="메모 12 2" xfId="1184"/>
    <cellStyle name="메모 12 3" xfId="1185"/>
    <cellStyle name="메모 12 4" xfId="1186"/>
    <cellStyle name="메모 12 5" xfId="1187"/>
    <cellStyle name="메모 12 6" xfId="1188"/>
    <cellStyle name="메모 12 7" xfId="1189"/>
    <cellStyle name="메모 12 8" xfId="1190"/>
    <cellStyle name="메모 13" xfId="1191"/>
    <cellStyle name="메모 13 2" xfId="1192"/>
    <cellStyle name="메모 13 3" xfId="1193"/>
    <cellStyle name="메모 13 4" xfId="1194"/>
    <cellStyle name="메모 13 5" xfId="1195"/>
    <cellStyle name="메모 13 6" xfId="1196"/>
    <cellStyle name="메모 13 7" xfId="1197"/>
    <cellStyle name="메모 13 8" xfId="1198"/>
    <cellStyle name="메모 14" xfId="1199"/>
    <cellStyle name="메모 14 2" xfId="1200"/>
    <cellStyle name="메모 14 3" xfId="1201"/>
    <cellStyle name="메모 14 4" xfId="1202"/>
    <cellStyle name="메모 14 5" xfId="1203"/>
    <cellStyle name="메모 14 6" xfId="1204"/>
    <cellStyle name="메모 14 7" xfId="1205"/>
    <cellStyle name="메모 14 8" xfId="1206"/>
    <cellStyle name="메모 15" xfId="1207"/>
    <cellStyle name="메모 15 2" xfId="1208"/>
    <cellStyle name="메모 15 3" xfId="1209"/>
    <cellStyle name="메모 15 4" xfId="1210"/>
    <cellStyle name="메모 15 5" xfId="1211"/>
    <cellStyle name="메모 15 6" xfId="1212"/>
    <cellStyle name="메모 15 7" xfId="1213"/>
    <cellStyle name="메모 15 8" xfId="1214"/>
    <cellStyle name="메모 16" xfId="1215"/>
    <cellStyle name="메모 16 2" xfId="1216"/>
    <cellStyle name="메모 16 3" xfId="1217"/>
    <cellStyle name="메모 16 4" xfId="1218"/>
    <cellStyle name="메모 16 5" xfId="1219"/>
    <cellStyle name="메모 16 6" xfId="1220"/>
    <cellStyle name="메모 16 7" xfId="1221"/>
    <cellStyle name="메모 16 8" xfId="1222"/>
    <cellStyle name="메모 17" xfId="1223"/>
    <cellStyle name="메모 17 2" xfId="1224"/>
    <cellStyle name="메모 17 3" xfId="1225"/>
    <cellStyle name="메모 17 4" xfId="1226"/>
    <cellStyle name="메모 17 5" xfId="1227"/>
    <cellStyle name="메모 17 6" xfId="1228"/>
    <cellStyle name="메모 17 7" xfId="1229"/>
    <cellStyle name="메모 17 8" xfId="1230"/>
    <cellStyle name="메모 18" xfId="1231"/>
    <cellStyle name="메모 18 2" xfId="1232"/>
    <cellStyle name="메모 18 3" xfId="1233"/>
    <cellStyle name="메모 18 4" xfId="1234"/>
    <cellStyle name="메모 18 5" xfId="1235"/>
    <cellStyle name="메모 18 6" xfId="1236"/>
    <cellStyle name="메모 18 7" xfId="1237"/>
    <cellStyle name="메모 18 8" xfId="1238"/>
    <cellStyle name="메모 19" xfId="1239"/>
    <cellStyle name="메모 2 21" xfId="1240"/>
    <cellStyle name="메모 2 10" xfId="1241"/>
    <cellStyle name="메모 2 11" xfId="1242"/>
    <cellStyle name="메모 2 11 2" xfId="1243"/>
    <cellStyle name="메모 2 11 2 2" xfId="1244"/>
    <cellStyle name="메모 2 11 2 3" xfId="1245"/>
    <cellStyle name="메모 2 11 3" xfId="1246"/>
    <cellStyle name="메모 2 12" xfId="1247"/>
    <cellStyle name="메모 2 13" xfId="1248"/>
    <cellStyle name="메모 2 14" xfId="1249"/>
    <cellStyle name="메모 2 14 2" xfId="1250"/>
    <cellStyle name="메모 2 14 2 2" xfId="1251"/>
    <cellStyle name="메모 2 14 2 3" xfId="1252"/>
    <cellStyle name="메모 2 14 3" xfId="1253"/>
    <cellStyle name="메모 2 15" xfId="1254"/>
    <cellStyle name="메모 2 16" xfId="1255"/>
    <cellStyle name="메모 2 17" xfId="1256"/>
    <cellStyle name="메모 2 17 2" xfId="1257"/>
    <cellStyle name="메모 2 17 2 2" xfId="1258"/>
    <cellStyle name="메모 2 17 2 3" xfId="1259"/>
    <cellStyle name="메모 2 17 3" xfId="1260"/>
    <cellStyle name="메모 2 18" xfId="1261"/>
    <cellStyle name="메모 2 19" xfId="1262"/>
    <cellStyle name="메모 2 2" xfId="1263"/>
    <cellStyle name="메모 2 20" xfId="1264"/>
    <cellStyle name="메모 2 3" xfId="1265"/>
    <cellStyle name="메모 2 4" xfId="1266"/>
    <cellStyle name="메모 2 5" xfId="1267"/>
    <cellStyle name="메모 2 6" xfId="1268"/>
    <cellStyle name="메모 2 7" xfId="1269"/>
    <cellStyle name="메모 2 7 2" xfId="1270"/>
    <cellStyle name="메모 2 7 2 2" xfId="1271"/>
    <cellStyle name="메모 2 7 2 2 2" xfId="1272"/>
    <cellStyle name="메모 2 7 2 2 2 2" xfId="1273"/>
    <cellStyle name="메모 2 7 2 2 2 3" xfId="1274"/>
    <cellStyle name="메모 2 7 2 2 3" xfId="1275"/>
    <cellStyle name="메모 2 7 2 3" xfId="1276"/>
    <cellStyle name="메모 2 7 2 4" xfId="1277"/>
    <cellStyle name="메모 2 7 3" xfId="1278"/>
    <cellStyle name="메모 2 7 3 2" xfId="1279"/>
    <cellStyle name="메모 2 7 3 3" xfId="1280"/>
    <cellStyle name="메모 2 7 4" xfId="1281"/>
    <cellStyle name="메모 2 8" xfId="1282"/>
    <cellStyle name="메모 2 9" xfId="1283"/>
    <cellStyle name="메모 3 5" xfId="1284"/>
    <cellStyle name="메모 3 2" xfId="1285"/>
    <cellStyle name="메모 3 3" xfId="1286"/>
    <cellStyle name="메모 3 4" xfId="1287"/>
    <cellStyle name="메모 4" xfId="1288"/>
    <cellStyle name="메모 5" xfId="1289"/>
    <cellStyle name="메모 6" xfId="1290"/>
    <cellStyle name="메모 7" xfId="1291"/>
    <cellStyle name="메모 7 2" xfId="1292"/>
    <cellStyle name="메모 8" xfId="1293"/>
    <cellStyle name="메모 9" xfId="1294"/>
    <cellStyle name="메모 9 2" xfId="1295"/>
    <cellStyle name="메모 9 3" xfId="1296"/>
    <cellStyle name="메모 9 4" xfId="1297"/>
    <cellStyle name="메모 9 5" xfId="1298"/>
    <cellStyle name="메모 9 6" xfId="1299"/>
    <cellStyle name="메모 9 7" xfId="1300"/>
    <cellStyle name="메모 9 8" xfId="1301"/>
    <cellStyle name="메모 9 9" xfId="1302"/>
    <cellStyle name="보통 10" xfId="1303"/>
    <cellStyle name="보통 11" xfId="1304"/>
    <cellStyle name="보통 12" xfId="1305"/>
    <cellStyle name="보통 2 10" xfId="1306"/>
    <cellStyle name="보통 2 2" xfId="1307"/>
    <cellStyle name="보통 2 3" xfId="1308"/>
    <cellStyle name="보통 2 4" xfId="1309"/>
    <cellStyle name="보통 2 5" xfId="1310"/>
    <cellStyle name="보통 2 6" xfId="1311"/>
    <cellStyle name="보통 2 7" xfId="1312"/>
    <cellStyle name="보통 2 8" xfId="1313"/>
    <cellStyle name="보통 2 9" xfId="1314"/>
    <cellStyle name="보통 3 2" xfId="1315"/>
    <cellStyle name="보통 3 3" xfId="1316"/>
    <cellStyle name="보통 3 4" xfId="1317"/>
    <cellStyle name="보통 4" xfId="1318"/>
    <cellStyle name="보통 5" xfId="1319"/>
    <cellStyle name="보통 6" xfId="1320"/>
    <cellStyle name="보통 7" xfId="1321"/>
    <cellStyle name="보통 7 2" xfId="1322"/>
    <cellStyle name="보통 8" xfId="1323"/>
    <cellStyle name="보통 9" xfId="1324"/>
    <cellStyle name="설명 텍스트 10" xfId="1325"/>
    <cellStyle name="설명 텍스트 11" xfId="1326"/>
    <cellStyle name="설명 텍스트 12" xfId="1327"/>
    <cellStyle name="설명 텍스트 2 10" xfId="1328"/>
    <cellStyle name="설명 텍스트 2 2" xfId="1329"/>
    <cellStyle name="설명 텍스트 2 3" xfId="1330"/>
    <cellStyle name="설명 텍스트 2 4" xfId="1331"/>
    <cellStyle name="설명 텍스트 2 5" xfId="1332"/>
    <cellStyle name="설명 텍스트 2 6" xfId="1333"/>
    <cellStyle name="설명 텍스트 2 7" xfId="1334"/>
    <cellStyle name="설명 텍스트 2 8" xfId="1335"/>
    <cellStyle name="설명 텍스트 2 9" xfId="1336"/>
    <cellStyle name="설명 텍스트 3 2" xfId="1337"/>
    <cellStyle name="설명 텍스트 3 3" xfId="1338"/>
    <cellStyle name="설명 텍스트 3 4" xfId="1339"/>
    <cellStyle name="설명 텍스트 4" xfId="1340"/>
    <cellStyle name="설명 텍스트 5" xfId="1341"/>
    <cellStyle name="설명 텍스트 6" xfId="1342"/>
    <cellStyle name="설명 텍스트 7" xfId="1343"/>
    <cellStyle name="설명 텍스트 7 2" xfId="1344"/>
    <cellStyle name="설명 텍스트 8" xfId="1345"/>
    <cellStyle name="설명 텍스트 9" xfId="1346"/>
    <cellStyle name="셀 확인 10" xfId="1347"/>
    <cellStyle name="셀 확인 11" xfId="1348"/>
    <cellStyle name="셀 확인 12" xfId="1349"/>
    <cellStyle name="셀 확인 2 10" xfId="1350"/>
    <cellStyle name="셀 확인 2 2" xfId="1351"/>
    <cellStyle name="셀 확인 2 3" xfId="1352"/>
    <cellStyle name="셀 확인 2 4" xfId="1353"/>
    <cellStyle name="셀 확인 2 5" xfId="1354"/>
    <cellStyle name="셀 확인 2 6" xfId="1355"/>
    <cellStyle name="셀 확인 2 7" xfId="1356"/>
    <cellStyle name="셀 확인 2 8" xfId="1357"/>
    <cellStyle name="셀 확인 2 9" xfId="1358"/>
    <cellStyle name="셀 확인 3 2" xfId="1359"/>
    <cellStyle name="셀 확인 3 3" xfId="1360"/>
    <cellStyle name="셀 확인 3 4" xfId="1361"/>
    <cellStyle name="셀 확인 4" xfId="1362"/>
    <cellStyle name="셀 확인 5" xfId="1363"/>
    <cellStyle name="셀 확인 6" xfId="1364"/>
    <cellStyle name="셀 확인 7" xfId="1365"/>
    <cellStyle name="셀 확인 7 2" xfId="1366"/>
    <cellStyle name="셀 확인 8" xfId="1367"/>
    <cellStyle name="셀 확인 9" xfId="1368"/>
    <cellStyle name="스타일 1 2" xfId="1369"/>
    <cellStyle name="연결된 셀 10" xfId="1370"/>
    <cellStyle name="연결된 셀 11" xfId="1371"/>
    <cellStyle name="연결된 셀 12" xfId="1372"/>
    <cellStyle name="연결된 셀 2 10" xfId="1373"/>
    <cellStyle name="연결된 셀 2 2" xfId="1374"/>
    <cellStyle name="연결된 셀 2 3" xfId="1375"/>
    <cellStyle name="연결된 셀 2 4" xfId="1376"/>
    <cellStyle name="연결된 셀 2 5" xfId="1377"/>
    <cellStyle name="연결된 셀 2 6" xfId="1378"/>
    <cellStyle name="연결된 셀 2 7" xfId="1379"/>
    <cellStyle name="연결된 셀 2 8" xfId="1380"/>
    <cellStyle name="연결된 셀 2 9" xfId="1381"/>
    <cellStyle name="연결된 셀 3 2" xfId="1382"/>
    <cellStyle name="연결된 셀 3 3" xfId="1383"/>
    <cellStyle name="연결된 셀 3 4" xfId="1384"/>
    <cellStyle name="연결된 셀 4" xfId="1385"/>
    <cellStyle name="연결된 셀 5" xfId="1386"/>
    <cellStyle name="연결된 셀 6" xfId="1387"/>
    <cellStyle name="연결된 셀 7" xfId="1388"/>
    <cellStyle name="연결된 셀 7 2" xfId="1389"/>
    <cellStyle name="연결된 셀 8" xfId="1390"/>
    <cellStyle name="연결된 셀 9" xfId="1391"/>
    <cellStyle name="요약 10" xfId="1392"/>
    <cellStyle name="요약 11" xfId="1393"/>
    <cellStyle name="요약 12" xfId="1394"/>
    <cellStyle name="요약 2 10" xfId="1395"/>
    <cellStyle name="요약 2 2" xfId="1396"/>
    <cellStyle name="요약 2 3" xfId="1397"/>
    <cellStyle name="요약 2 4" xfId="1398"/>
    <cellStyle name="요약 2 5" xfId="1399"/>
    <cellStyle name="요약 2 6" xfId="1400"/>
    <cellStyle name="요약 2 7" xfId="1401"/>
    <cellStyle name="요약 2 8" xfId="1402"/>
    <cellStyle name="요약 2 9" xfId="1403"/>
    <cellStyle name="요약 3 2" xfId="1404"/>
    <cellStyle name="요약 3 3" xfId="1405"/>
    <cellStyle name="요약 3 4" xfId="1406"/>
    <cellStyle name="요약 4" xfId="1407"/>
    <cellStyle name="요약 5" xfId="1408"/>
    <cellStyle name="요약 6" xfId="1409"/>
    <cellStyle name="요약 7" xfId="1410"/>
    <cellStyle name="요약 7 2" xfId="1411"/>
    <cellStyle name="요약 8" xfId="1412"/>
    <cellStyle name="요약 9" xfId="1413"/>
    <cellStyle name="입력 20" xfId="1414"/>
    <cellStyle name="입력 10" xfId="1415"/>
    <cellStyle name="입력 10 2" xfId="1416"/>
    <cellStyle name="입력 10 3" xfId="1417"/>
    <cellStyle name="입력 10 4" xfId="1418"/>
    <cellStyle name="입력 10 5" xfId="1419"/>
    <cellStyle name="입력 10 6" xfId="1420"/>
    <cellStyle name="입력 10 7" xfId="1421"/>
    <cellStyle name="입력 10 8" xfId="1422"/>
    <cellStyle name="입력 10 9" xfId="1423"/>
    <cellStyle name="입력 11" xfId="1424"/>
    <cellStyle name="입력 11 2" xfId="1425"/>
    <cellStyle name="입력 11 3" xfId="1426"/>
    <cellStyle name="입력 11 4" xfId="1427"/>
    <cellStyle name="입력 11 5" xfId="1428"/>
    <cellStyle name="입력 11 6" xfId="1429"/>
    <cellStyle name="입력 11 7" xfId="1430"/>
    <cellStyle name="입력 11 8" xfId="1431"/>
    <cellStyle name="입력 11 9" xfId="1432"/>
    <cellStyle name="입력 12" xfId="1433"/>
    <cellStyle name="입력 12 2" xfId="1434"/>
    <cellStyle name="입력 12 3" xfId="1435"/>
    <cellStyle name="입력 12 4" xfId="1436"/>
    <cellStyle name="입력 12 5" xfId="1437"/>
    <cellStyle name="입력 12 6" xfId="1438"/>
    <cellStyle name="입력 12 7" xfId="1439"/>
    <cellStyle name="입력 12 8" xfId="1440"/>
    <cellStyle name="입력 13" xfId="1441"/>
    <cellStyle name="입력 13 2" xfId="1442"/>
    <cellStyle name="입력 13 3" xfId="1443"/>
    <cellStyle name="입력 13 4" xfId="1444"/>
    <cellStyle name="입력 13 5" xfId="1445"/>
    <cellStyle name="입력 13 6" xfId="1446"/>
    <cellStyle name="입력 13 7" xfId="1447"/>
    <cellStyle name="입력 13 8" xfId="1448"/>
    <cellStyle name="입력 14" xfId="1449"/>
    <cellStyle name="입력 14 2" xfId="1450"/>
    <cellStyle name="입력 14 3" xfId="1451"/>
    <cellStyle name="입력 14 4" xfId="1452"/>
    <cellStyle name="입력 14 5" xfId="1453"/>
    <cellStyle name="입력 14 6" xfId="1454"/>
    <cellStyle name="입력 14 7" xfId="1455"/>
    <cellStyle name="입력 14 8" xfId="1456"/>
    <cellStyle name="입력 15" xfId="1457"/>
    <cellStyle name="입력 15 2" xfId="1458"/>
    <cellStyle name="입력 15 3" xfId="1459"/>
    <cellStyle name="입력 15 4" xfId="1460"/>
    <cellStyle name="입력 15 5" xfId="1461"/>
    <cellStyle name="입력 15 6" xfId="1462"/>
    <cellStyle name="입력 15 7" xfId="1463"/>
    <cellStyle name="입력 15 8" xfId="1464"/>
    <cellStyle name="입력 16" xfId="1465"/>
    <cellStyle name="입력 16 2" xfId="1466"/>
    <cellStyle name="입력 16 3" xfId="1467"/>
    <cellStyle name="입력 16 4" xfId="1468"/>
    <cellStyle name="입력 16 5" xfId="1469"/>
    <cellStyle name="입력 16 6" xfId="1470"/>
    <cellStyle name="입력 16 7" xfId="1471"/>
    <cellStyle name="입력 16 8" xfId="1472"/>
    <cellStyle name="입력 17" xfId="1473"/>
    <cellStyle name="입력 17 2" xfId="1474"/>
    <cellStyle name="입력 17 3" xfId="1475"/>
    <cellStyle name="입력 17 4" xfId="1476"/>
    <cellStyle name="입력 17 5" xfId="1477"/>
    <cellStyle name="입력 17 6" xfId="1478"/>
    <cellStyle name="입력 17 7" xfId="1479"/>
    <cellStyle name="입력 17 8" xfId="1480"/>
    <cellStyle name="입력 18" xfId="1481"/>
    <cellStyle name="입력 18 2" xfId="1482"/>
    <cellStyle name="입력 18 3" xfId="1483"/>
    <cellStyle name="입력 18 4" xfId="1484"/>
    <cellStyle name="입력 18 5" xfId="1485"/>
    <cellStyle name="입력 18 6" xfId="1486"/>
    <cellStyle name="입력 18 7" xfId="1487"/>
    <cellStyle name="입력 18 8" xfId="1488"/>
    <cellStyle name="입력 19" xfId="1489"/>
    <cellStyle name="입력 2 21" xfId="1490"/>
    <cellStyle name="입력 2 10" xfId="1491"/>
    <cellStyle name="입력 2 11" xfId="1492"/>
    <cellStyle name="입력 2 11 2" xfId="1493"/>
    <cellStyle name="입력 2 11 2 2" xfId="1494"/>
    <cellStyle name="입력 2 11 2 3" xfId="1495"/>
    <cellStyle name="입력 2 11 3" xfId="1496"/>
    <cellStyle name="입력 2 12" xfId="1497"/>
    <cellStyle name="입력 2 13" xfId="1498"/>
    <cellStyle name="입력 2 14" xfId="1499"/>
    <cellStyle name="입력 2 14 2" xfId="1500"/>
    <cellStyle name="입력 2 14 2 2" xfId="1501"/>
    <cellStyle name="입력 2 14 2 3" xfId="1502"/>
    <cellStyle name="입력 2 14 3" xfId="1503"/>
    <cellStyle name="입력 2 15" xfId="1504"/>
    <cellStyle name="입력 2 16" xfId="1505"/>
    <cellStyle name="입력 2 17" xfId="1506"/>
    <cellStyle name="입력 2 17 2" xfId="1507"/>
    <cellStyle name="입력 2 17 2 2" xfId="1508"/>
    <cellStyle name="입력 2 17 2 3" xfId="1509"/>
    <cellStyle name="입력 2 17 3" xfId="1510"/>
    <cellStyle name="입력 2 18" xfId="1511"/>
    <cellStyle name="입력 2 19" xfId="1512"/>
    <cellStyle name="입력 2 2" xfId="1513"/>
    <cellStyle name="입력 2 20" xfId="1514"/>
    <cellStyle name="입력 2 3" xfId="1515"/>
    <cellStyle name="입력 2 4" xfId="1516"/>
    <cellStyle name="입력 2 5" xfId="1517"/>
    <cellStyle name="입력 2 6" xfId="1518"/>
    <cellStyle name="입력 2 7" xfId="1519"/>
    <cellStyle name="입력 2 7 2" xfId="1520"/>
    <cellStyle name="입력 2 7 2 2" xfId="1521"/>
    <cellStyle name="입력 2 7 2 2 2" xfId="1522"/>
    <cellStyle name="입력 2 7 2 2 2 2" xfId="1523"/>
    <cellStyle name="입력 2 7 2 2 2 3" xfId="1524"/>
    <cellStyle name="입력 2 7 2 2 3" xfId="1525"/>
    <cellStyle name="입력 2 7 2 3" xfId="1526"/>
    <cellStyle name="입력 2 7 2 4" xfId="1527"/>
    <cellStyle name="입력 2 7 3" xfId="1528"/>
    <cellStyle name="입력 2 7 3 2" xfId="1529"/>
    <cellStyle name="입력 2 7 3 3" xfId="1530"/>
    <cellStyle name="입력 2 7 4" xfId="1531"/>
    <cellStyle name="입력 2 8" xfId="1532"/>
    <cellStyle name="입력 2 9" xfId="1533"/>
    <cellStyle name="입력 3 5" xfId="1534"/>
    <cellStyle name="입력 3 2" xfId="1535"/>
    <cellStyle name="입력 3 3" xfId="1536"/>
    <cellStyle name="입력 3 4" xfId="1537"/>
    <cellStyle name="입력 4" xfId="1538"/>
    <cellStyle name="입력 5" xfId="1539"/>
    <cellStyle name="입력 6" xfId="1540"/>
    <cellStyle name="입력 7" xfId="1541"/>
    <cellStyle name="입력 7 2" xfId="1542"/>
    <cellStyle name="입력 8" xfId="1543"/>
    <cellStyle name="입력 9" xfId="1544"/>
    <cellStyle name="입력 9 2" xfId="1545"/>
    <cellStyle name="입력 9 3" xfId="1546"/>
    <cellStyle name="입력 9 4" xfId="1547"/>
    <cellStyle name="입력 9 5" xfId="1548"/>
    <cellStyle name="입력 9 6" xfId="1549"/>
    <cellStyle name="입력 9 7" xfId="1550"/>
    <cellStyle name="입력 9 8" xfId="1551"/>
    <cellStyle name="입력 9 9" xfId="1552"/>
    <cellStyle name="제목 1 10" xfId="1553"/>
    <cellStyle name="제목 1 11" xfId="1554"/>
    <cellStyle name="제목 1 12" xfId="1555"/>
    <cellStyle name="제목 1 2 10" xfId="1556"/>
    <cellStyle name="제목 1 2 2" xfId="1557"/>
    <cellStyle name="제목 1 2 3" xfId="1558"/>
    <cellStyle name="제목 1 2 4" xfId="1559"/>
    <cellStyle name="제목 1 2 5" xfId="1560"/>
    <cellStyle name="제목 1 2 6" xfId="1561"/>
    <cellStyle name="제목 1 2 7" xfId="1562"/>
    <cellStyle name="제목 1 2 8" xfId="1563"/>
    <cellStyle name="제목 1 2 9" xfId="1564"/>
    <cellStyle name="제목 1 3 2" xfId="1565"/>
    <cellStyle name="제목 1 3 3" xfId="1566"/>
    <cellStyle name="제목 1 3 4" xfId="1567"/>
    <cellStyle name="제목 1 4" xfId="1568"/>
    <cellStyle name="제목 1 5" xfId="1569"/>
    <cellStyle name="제목 1 6" xfId="1570"/>
    <cellStyle name="제목 1 7" xfId="1571"/>
    <cellStyle name="제목 1 7 2" xfId="1572"/>
    <cellStyle name="제목 1 8" xfId="1573"/>
    <cellStyle name="제목 1 9" xfId="1574"/>
    <cellStyle name="제목 10" xfId="1575"/>
    <cellStyle name="제목 10 2" xfId="1576"/>
    <cellStyle name="제목 11" xfId="1577"/>
    <cellStyle name="제목 12" xfId="1578"/>
    <cellStyle name="제목 13" xfId="1579"/>
    <cellStyle name="제목 14" xfId="1580"/>
    <cellStyle name="제목 15" xfId="1581"/>
    <cellStyle name="제목 2 10" xfId="1582"/>
    <cellStyle name="제목 2 11" xfId="1583"/>
    <cellStyle name="제목 2 12" xfId="1584"/>
    <cellStyle name="제목 2 2 10" xfId="1585"/>
    <cellStyle name="제목 2 2 2" xfId="1586"/>
    <cellStyle name="제목 2 2 3" xfId="1587"/>
    <cellStyle name="제목 2 2 4" xfId="1588"/>
    <cellStyle name="제목 2 2 5" xfId="1589"/>
    <cellStyle name="제목 2 2 6" xfId="1590"/>
    <cellStyle name="제목 2 2 7" xfId="1591"/>
    <cellStyle name="제목 2 2 8" xfId="1592"/>
    <cellStyle name="제목 2 2 9" xfId="1593"/>
    <cellStyle name="제목 2 3 2" xfId="1594"/>
    <cellStyle name="제목 2 3 3" xfId="1595"/>
    <cellStyle name="제목 2 3 4" xfId="1596"/>
    <cellStyle name="제목 2 4" xfId="1597"/>
    <cellStyle name="제목 2 5" xfId="1598"/>
    <cellStyle name="제목 2 6" xfId="1599"/>
    <cellStyle name="제목 2 7" xfId="1600"/>
    <cellStyle name="제목 2 7 2" xfId="1601"/>
    <cellStyle name="제목 2 8" xfId="1602"/>
    <cellStyle name="제목 2 9" xfId="1603"/>
    <cellStyle name="제목 3 10" xfId="1604"/>
    <cellStyle name="제목 3 11" xfId="1605"/>
    <cellStyle name="제목 3 12" xfId="1606"/>
    <cellStyle name="제목 3 2 10" xfId="1607"/>
    <cellStyle name="제목 3 2 2" xfId="1608"/>
    <cellStyle name="제목 3 2 3" xfId="1609"/>
    <cellStyle name="제목 3 2 4" xfId="1610"/>
    <cellStyle name="제목 3 2 5" xfId="1611"/>
    <cellStyle name="제목 3 2 6" xfId="1612"/>
    <cellStyle name="제목 3 2 7" xfId="1613"/>
    <cellStyle name="제목 3 2 8" xfId="1614"/>
    <cellStyle name="제목 3 2 9" xfId="1615"/>
    <cellStyle name="제목 3 3 2" xfId="1616"/>
    <cellStyle name="제목 3 3 3" xfId="1617"/>
    <cellStyle name="제목 3 3 4" xfId="1618"/>
    <cellStyle name="제목 3 4" xfId="1619"/>
    <cellStyle name="제목 3 5" xfId="1620"/>
    <cellStyle name="제목 3 6" xfId="1621"/>
    <cellStyle name="제목 3 7" xfId="1622"/>
    <cellStyle name="제목 3 7 2" xfId="1623"/>
    <cellStyle name="제목 3 8" xfId="1624"/>
    <cellStyle name="제목 3 9" xfId="1625"/>
    <cellStyle name="제목 4 10" xfId="1626"/>
    <cellStyle name="제목 4 11" xfId="1627"/>
    <cellStyle name="제목 4 12" xfId="1628"/>
    <cellStyle name="제목 4 2 10" xfId="1629"/>
    <cellStyle name="제목 4 2 2" xfId="1630"/>
    <cellStyle name="제목 4 2 3" xfId="1631"/>
    <cellStyle name="제목 4 2 4" xfId="1632"/>
    <cellStyle name="제목 4 2 5" xfId="1633"/>
    <cellStyle name="제목 4 2 6" xfId="1634"/>
    <cellStyle name="제목 4 2 7" xfId="1635"/>
    <cellStyle name="제목 4 2 8" xfId="1636"/>
    <cellStyle name="제목 4 2 9" xfId="1637"/>
    <cellStyle name="제목 4 3 2" xfId="1638"/>
    <cellStyle name="제목 4 3 3" xfId="1639"/>
    <cellStyle name="제목 4 3 4" xfId="1640"/>
    <cellStyle name="제목 4 4" xfId="1641"/>
    <cellStyle name="제목 4 5" xfId="1642"/>
    <cellStyle name="제목 4 6" xfId="1643"/>
    <cellStyle name="제목 4 7" xfId="1644"/>
    <cellStyle name="제목 4 7 2" xfId="1645"/>
    <cellStyle name="제목 4 8" xfId="1646"/>
    <cellStyle name="제목 4 9" xfId="1647"/>
    <cellStyle name="제목 5 10" xfId="1648"/>
    <cellStyle name="제목 5 2" xfId="1649"/>
    <cellStyle name="제목 5 3" xfId="1650"/>
    <cellStyle name="제목 5 4" xfId="1651"/>
    <cellStyle name="제목 5 5" xfId="1652"/>
    <cellStyle name="제목 5 6" xfId="1653"/>
    <cellStyle name="제목 5 7" xfId="1654"/>
    <cellStyle name="제목 5 8" xfId="1655"/>
    <cellStyle name="제목 5 9" xfId="1656"/>
    <cellStyle name="제목 6 2" xfId="1657"/>
    <cellStyle name="제목 6 3" xfId="1658"/>
    <cellStyle name="제목 6 4" xfId="1659"/>
    <cellStyle name="제목 7" xfId="1660"/>
    <cellStyle name="제목 8" xfId="1661"/>
    <cellStyle name="제목 9" xfId="1662"/>
    <cellStyle name="좋음 10" xfId="1663"/>
    <cellStyle name="좋음 11" xfId="1664"/>
    <cellStyle name="좋음 12" xfId="1665"/>
    <cellStyle name="좋음 2 10" xfId="1666"/>
    <cellStyle name="좋음 2 2" xfId="1667"/>
    <cellStyle name="좋음 2 3" xfId="1668"/>
    <cellStyle name="좋음 2 4" xfId="1669"/>
    <cellStyle name="좋음 2 5" xfId="1670"/>
    <cellStyle name="좋음 2 6" xfId="1671"/>
    <cellStyle name="좋음 2 7" xfId="1672"/>
    <cellStyle name="좋음 2 8" xfId="1673"/>
    <cellStyle name="좋음 2 9" xfId="1674"/>
    <cellStyle name="좋음 3 2" xfId="1675"/>
    <cellStyle name="좋음 3 3" xfId="1676"/>
    <cellStyle name="좋음 3 4" xfId="1677"/>
    <cellStyle name="좋음 4" xfId="1678"/>
    <cellStyle name="좋음 5" xfId="1679"/>
    <cellStyle name="좋음 6" xfId="1680"/>
    <cellStyle name="좋음 7" xfId="1681"/>
    <cellStyle name="좋음 7 2" xfId="1682"/>
    <cellStyle name="좋음 8" xfId="1683"/>
    <cellStyle name="좋음 9" xfId="1684"/>
    <cellStyle name="출력 10" xfId="1685"/>
    <cellStyle name="출력 11" xfId="1686"/>
    <cellStyle name="출력 12" xfId="1687"/>
    <cellStyle name="출력 2 10" xfId="1688"/>
    <cellStyle name="출력 2 2" xfId="1689"/>
    <cellStyle name="출력 2 3" xfId="1690"/>
    <cellStyle name="출력 2 4" xfId="1691"/>
    <cellStyle name="출력 2 5" xfId="1692"/>
    <cellStyle name="출력 2 6" xfId="1693"/>
    <cellStyle name="출력 2 7" xfId="1694"/>
    <cellStyle name="출력 2 8" xfId="1695"/>
    <cellStyle name="출력 2 9" xfId="1696"/>
    <cellStyle name="출력 3 2" xfId="1697"/>
    <cellStyle name="출력 3 3" xfId="1698"/>
    <cellStyle name="출력 3 4" xfId="1699"/>
    <cellStyle name="출력 4" xfId="1700"/>
    <cellStyle name="출력 5" xfId="1701"/>
    <cellStyle name="출력 6" xfId="1702"/>
    <cellStyle name="출력 7" xfId="1703"/>
    <cellStyle name="출력 7 2" xfId="1704"/>
    <cellStyle name="출력 8" xfId="1705"/>
    <cellStyle name="출력 9" xfId="1706"/>
    <cellStyle name="표준 11 3" xfId="1707"/>
    <cellStyle name="표준 12 4" xfId="1708"/>
    <cellStyle name="표준 12 2 4" xfId="1709"/>
    <cellStyle name="표준 13 4" xfId="1710"/>
    <cellStyle name="표준 14 3" xfId="1711"/>
    <cellStyle name="표준 15 4" xfId="1712"/>
    <cellStyle name="표준 16 12" xfId="1713"/>
    <cellStyle name="표준 17 2 2" xfId="1714"/>
    <cellStyle name="표준 17 3" xfId="1715"/>
    <cellStyle name="표준 2 10 3" xfId="1716"/>
    <cellStyle name="표준 2 11 3" xfId="1717"/>
    <cellStyle name="표준 2 12 3" xfId="1718"/>
    <cellStyle name="표준 2 14 4" xfId="1719"/>
    <cellStyle name="표준 2 15 3" xfId="1720"/>
    <cellStyle name="표준 2 16" xfId="1721"/>
    <cellStyle name="표준 2 17" xfId="1722"/>
    <cellStyle name="표준 2 18" xfId="1723"/>
    <cellStyle name="표준 2 19" xfId="1724"/>
    <cellStyle name="표준 2 2 6" xfId="1725"/>
    <cellStyle name="표준 2 2 4" xfId="1726"/>
    <cellStyle name="표준 2 2_PS_NW_보안진단결과_090501_진행중" xfId="1727"/>
    <cellStyle name="표준 2 20" xfId="1728"/>
    <cellStyle name="표준 2 21" xfId="1729"/>
    <cellStyle name="표준 2 22" xfId="1730"/>
    <cellStyle name="표준 2 23" xfId="1731"/>
    <cellStyle name="표준 2 24" xfId="1732"/>
    <cellStyle name="표준 2 25" xfId="1733"/>
    <cellStyle name="표준 2 26" xfId="1734"/>
    <cellStyle name="표준 2 27" xfId="1735"/>
    <cellStyle name="표준 2 3 3" xfId="1736"/>
    <cellStyle name="표준 2 4 3" xfId="1737"/>
    <cellStyle name="표준 2 5 3" xfId="1738"/>
    <cellStyle name="표준 2 7 3" xfId="1739"/>
    <cellStyle name="표준 2 8 3" xfId="1740"/>
    <cellStyle name="표준 2 9 3" xfId="1741"/>
    <cellStyle name="표준 3 10 3" xfId="1742"/>
    <cellStyle name="표준 3 11 3" xfId="1743"/>
    <cellStyle name="표준 3 12 3" xfId="1744"/>
    <cellStyle name="표준 3 15" xfId="1745"/>
    <cellStyle name="표준 3 16" xfId="1746"/>
    <cellStyle name="표준 3 17" xfId="1747"/>
    <cellStyle name="표준 3 18" xfId="1748"/>
    <cellStyle name="표준 3 2 11" xfId="1749"/>
    <cellStyle name="표준 3 3 8" xfId="1750"/>
    <cellStyle name="표준 3 4 7" xfId="1751"/>
    <cellStyle name="표준 3 5 7" xfId="1752"/>
    <cellStyle name="표준 3 6 7" xfId="1753"/>
    <cellStyle name="표준 3 7 7" xfId="1754"/>
    <cellStyle name="표준 3 8 6" xfId="1755"/>
    <cellStyle name="표준 3 9 4" xfId="1756"/>
    <cellStyle name="표준 4 10" xfId="1757"/>
    <cellStyle name="표준 4 11" xfId="1758"/>
    <cellStyle name="표준 4 12" xfId="1759"/>
    <cellStyle name="표준 4 13" xfId="1760"/>
    <cellStyle name="표준 4 2 7" xfId="1761"/>
    <cellStyle name="표준 4 3 6" xfId="1762"/>
    <cellStyle name="표준 4 4 5" xfId="1763"/>
    <cellStyle name="표준 4 5 3" xfId="1764"/>
    <cellStyle name="표준 4 6 2" xfId="1765"/>
    <cellStyle name="표준 4 7 2" xfId="1766"/>
    <cellStyle name="표준 4 8" xfId="1767"/>
    <cellStyle name="표준 4 9" xfId="1768"/>
    <cellStyle name="표준 47 2" xfId="1769"/>
    <cellStyle name="표준 47 3" xfId="1770"/>
    <cellStyle name="표준 47 4" xfId="1771"/>
    <cellStyle name="표준 47 5" xfId="1772"/>
    <cellStyle name="표준 47 6" xfId="1773"/>
    <cellStyle name="표준 47 7" xfId="1774"/>
    <cellStyle name="표준 48 2" xfId="1775"/>
    <cellStyle name="표준 48 3" xfId="1776"/>
    <cellStyle name="표준 48 4" xfId="1777"/>
    <cellStyle name="표준 48 5" xfId="1778"/>
    <cellStyle name="표준 48 6" xfId="1779"/>
    <cellStyle name="표준 48 7" xfId="1780"/>
    <cellStyle name="표준 5 10" xfId="1781"/>
    <cellStyle name="표준 5 11" xfId="1782"/>
    <cellStyle name="표준 5 12" xfId="1783"/>
    <cellStyle name="표준 5 13" xfId="1784"/>
    <cellStyle name="표준 5 2 11" xfId="1785"/>
    <cellStyle name="표준 5 3" xfId="1786"/>
    <cellStyle name="표준 5 4" xfId="1787"/>
    <cellStyle name="표준 5 5" xfId="1788"/>
    <cellStyle name="표준 5 6" xfId="1789"/>
    <cellStyle name="표준 5 7" xfId="1790"/>
    <cellStyle name="표준 5 8" xfId="1791"/>
    <cellStyle name="표준 5 9" xfId="1792"/>
    <cellStyle name="표준 6 2" xfId="1793"/>
    <cellStyle name="표준 66 2" xfId="1794"/>
    <cellStyle name="표준 67" xfId="1795"/>
    <cellStyle name="표준 68" xfId="1796"/>
    <cellStyle name="표준 69" xfId="1797"/>
    <cellStyle name="표준 7 2 2" xfId="1798"/>
    <cellStyle name="표준 7 3" xfId="1799"/>
    <cellStyle name="표준 7 4" xfId="1800"/>
    <cellStyle name="표준 7 5" xfId="1801"/>
    <cellStyle name="표준 7 6" xfId="1802"/>
    <cellStyle name="표준 7 7" xfId="1803"/>
    <cellStyle name="표준 7 8" xfId="1804"/>
    <cellStyle name="표준 7 9" xfId="1805"/>
    <cellStyle name="표준 70" xfId="1806"/>
    <cellStyle name="표준 71" xfId="1807"/>
    <cellStyle name="표준 8 3" xfId="1808"/>
    <cellStyle name="표준 9 3" xfId="1809"/>
    <cellStyle name="표준 18 33" xfId="1810"/>
    <cellStyle name="표준 19" xfId="1811"/>
    <cellStyle name="표준 20" xfId="1812"/>
    <cellStyle name="표준 7 10" xfId="1813"/>
    <cellStyle name="표준 8 4" xfId="1814"/>
    <cellStyle name="표준 9 4" xfId="1815"/>
    <cellStyle name="표준 10 4" xfId="1816"/>
    <cellStyle name="표준 7 11" xfId="1817"/>
    <cellStyle name="표준 8 5" xfId="1818"/>
    <cellStyle name="표준 9 5" xfId="1819"/>
    <cellStyle name="표준 10 5" xfId="1820"/>
    <cellStyle name="표준 21" xfId="1821"/>
    <cellStyle name="20% - 강조색6 9 10" xfId="1822"/>
    <cellStyle name="메모 9 10" xfId="1823"/>
    <cellStyle name="입력 9 10" xfId="1824"/>
    <cellStyle name="표준 66" xfId="1825"/>
    <cellStyle name="표준 7 12" xfId="1826"/>
    <cellStyle name="표준 8 6" xfId="1827"/>
    <cellStyle name="표준 9 6" xfId="1828"/>
    <cellStyle name="표준 10 6" xfId="1829"/>
    <cellStyle name="표준 7 13" xfId="1830"/>
    <cellStyle name="표준 8 7" xfId="1831"/>
    <cellStyle name="표준 9 7" xfId="1832"/>
    <cellStyle name="표준 10 7" xfId="1833"/>
    <cellStyle name="표준 7 14" xfId="1834"/>
    <cellStyle name="표준 8 8" xfId="1835"/>
    <cellStyle name="표준 9 8" xfId="1836"/>
    <cellStyle name="표준 10 8" xfId="1837"/>
    <cellStyle name="표준 7 18" xfId="1838"/>
    <cellStyle name="표준 8 12" xfId="1839"/>
    <cellStyle name="표준 9 12" xfId="1840"/>
    <cellStyle name="표준 10 12" xfId="1841"/>
    <cellStyle name="표준 7 2 5" xfId="1842"/>
    <cellStyle name="표준 8 2 4" xfId="1843"/>
    <cellStyle name="표준 9 2 4" xfId="1844"/>
    <cellStyle name="표준 10 2 4" xfId="1845"/>
    <cellStyle name="표준 7 10 4" xfId="1846"/>
    <cellStyle name="표준 8 4 4" xfId="1847"/>
    <cellStyle name="표준 9 4 4" xfId="1848"/>
    <cellStyle name="표준 10 4 4" xfId="1849"/>
    <cellStyle name="표준 7 11 4" xfId="1850"/>
    <cellStyle name="표준 8 5 4" xfId="1851"/>
    <cellStyle name="표준 9 5 4" xfId="1852"/>
    <cellStyle name="표준 10 5 4" xfId="1853"/>
    <cellStyle name="표준 21 4" xfId="1854"/>
    <cellStyle name="표준 7 12 4" xfId="1855"/>
    <cellStyle name="표준 8 6 4" xfId="1856"/>
    <cellStyle name="표준 9 6 4" xfId="1857"/>
    <cellStyle name="표준 10 6 4" xfId="1858"/>
    <cellStyle name="표준 7 13 4" xfId="1859"/>
    <cellStyle name="표준 8 7 4" xfId="1860"/>
    <cellStyle name="표준 9 7 4" xfId="1861"/>
    <cellStyle name="표준 10 7 4" xfId="1862"/>
    <cellStyle name="표준 7 14 4" xfId="1863"/>
    <cellStyle name="표준 8 8 4" xfId="1864"/>
    <cellStyle name="표준 9 8 4" xfId="1865"/>
    <cellStyle name="표준 10 8 4" xfId="1866"/>
    <cellStyle name="표준 7 16" xfId="1867"/>
    <cellStyle name="표준 8 10" xfId="1868"/>
    <cellStyle name="표준 9 10" xfId="1869"/>
    <cellStyle name="표준 10 10" xfId="1870"/>
    <cellStyle name="표준 7 15 3" xfId="1871"/>
    <cellStyle name="표준 8 9 3" xfId="1872"/>
    <cellStyle name="표준 9 9 3" xfId="1873"/>
    <cellStyle name="표준 10 9 3" xfId="1874"/>
    <cellStyle name="표준 7 2 3" xfId="1875"/>
    <cellStyle name="표준 8 2 2" xfId="1876"/>
    <cellStyle name="표준 9 2 2" xfId="1877"/>
    <cellStyle name="표준 10 2 2" xfId="1878"/>
    <cellStyle name="표준 7 10 2" xfId="1879"/>
    <cellStyle name="표준 8 4 2" xfId="1880"/>
    <cellStyle name="표준 9 4 2" xfId="1881"/>
    <cellStyle name="표준 10 4 2" xfId="1882"/>
    <cellStyle name="표준 7 11 2" xfId="1883"/>
    <cellStyle name="표준 8 5 2" xfId="1884"/>
    <cellStyle name="표준 9 5 2" xfId="1885"/>
    <cellStyle name="표준 10 5 2" xfId="1886"/>
    <cellStyle name="표준 21 2" xfId="1887"/>
    <cellStyle name="표준 7 12 2" xfId="1888"/>
    <cellStyle name="표준 8 6 2" xfId="1889"/>
    <cellStyle name="표준 9 6 2" xfId="1890"/>
    <cellStyle name="표준 10 6 2" xfId="1891"/>
    <cellStyle name="표준 7 13 2" xfId="1892"/>
    <cellStyle name="표준 8 7 2" xfId="1893"/>
    <cellStyle name="표준 9 7 2" xfId="1894"/>
    <cellStyle name="표준 10 7 2" xfId="1895"/>
    <cellStyle name="표준 7 14 2" xfId="1896"/>
    <cellStyle name="표준 8 8 2" xfId="1897"/>
    <cellStyle name="표준 9 8 2" xfId="1898"/>
    <cellStyle name="표준 10 8 2" xfId="1899"/>
    <cellStyle name="표준 7 17" xfId="1900"/>
    <cellStyle name="표준 8 11" xfId="1901"/>
    <cellStyle name="표준 9 11" xfId="1902"/>
    <cellStyle name="표준 10 11" xfId="1903"/>
    <cellStyle name="표준 7 15 2" xfId="1904"/>
    <cellStyle name="표준 8 9 2" xfId="1905"/>
    <cellStyle name="표준 9 9 2" xfId="1906"/>
    <cellStyle name="표준 10 9 2" xfId="1907"/>
    <cellStyle name="표준 7 2 4" xfId="1908"/>
    <cellStyle name="표준 8 2 3" xfId="1909"/>
    <cellStyle name="표준 9 2 3" xfId="1910"/>
    <cellStyle name="표준 10 2 3" xfId="1911"/>
    <cellStyle name="표준 7 10 3" xfId="1912"/>
    <cellStyle name="표준 8 4 3" xfId="1913"/>
    <cellStyle name="표준 9 4 3" xfId="1914"/>
    <cellStyle name="표준 10 4 3" xfId="1915"/>
    <cellStyle name="표준 7 11 3" xfId="1916"/>
    <cellStyle name="표준 8 5 3" xfId="1917"/>
    <cellStyle name="표준 9 5 3" xfId="1918"/>
    <cellStyle name="표준 10 5 3" xfId="1919"/>
    <cellStyle name="표준 21 3" xfId="1920"/>
    <cellStyle name="표준 7 12 3" xfId="1921"/>
    <cellStyle name="표준 8 6 3" xfId="1922"/>
    <cellStyle name="표준 9 6 3" xfId="1923"/>
    <cellStyle name="표준 10 6 3" xfId="1924"/>
    <cellStyle name="표준 7 13 3" xfId="1925"/>
    <cellStyle name="표준 8 7 3" xfId="1926"/>
    <cellStyle name="표준 9 7 3" xfId="1927"/>
    <cellStyle name="표준 10 7 3" xfId="1928"/>
    <cellStyle name="표준 7 14 3" xfId="1929"/>
    <cellStyle name="표준 8 8 3" xfId="1930"/>
    <cellStyle name="표준 9 8 3" xfId="1931"/>
    <cellStyle name="표준 10 8 3" xfId="1932"/>
    <cellStyle name="표준 22" xfId="1933"/>
    <cellStyle name="표준 4 14" xfId="1934"/>
    <cellStyle name="표준 23" xfId="1935"/>
    <cellStyle name="표준 10 13" xfId="1936"/>
    <cellStyle name="표준 11 2 2" xfId="1937"/>
    <cellStyle name="표준 12 3 2" xfId="1938"/>
    <cellStyle name="표준 13 2 2" xfId="1939"/>
    <cellStyle name="표준 14 2" xfId="1940"/>
    <cellStyle name="표준 15 2 2" xfId="1941"/>
    <cellStyle name="표준 16 11" xfId="1942"/>
    <cellStyle name="표준 16 10" xfId="1943"/>
    <cellStyle name="표준 16 2 2" xfId="1944"/>
    <cellStyle name="표준 16 3 2" xfId="1945"/>
    <cellStyle name="표준 16 4" xfId="1946"/>
    <cellStyle name="표준 16 5" xfId="1947"/>
    <cellStyle name="표준 16 6" xfId="1948"/>
    <cellStyle name="표준 16 7" xfId="1949"/>
    <cellStyle name="표준 16 8" xfId="1950"/>
    <cellStyle name="표준 16 9" xfId="1951"/>
    <cellStyle name="표준 17 4" xfId="1952"/>
    <cellStyle name="표준 18 32" xfId="1953"/>
    <cellStyle name="표준 18 10" xfId="1954"/>
    <cellStyle name="표준 18 11" xfId="1955"/>
    <cellStyle name="표준 18 12" xfId="1956"/>
    <cellStyle name="표준 18 13" xfId="1957"/>
    <cellStyle name="표준 18 14" xfId="1958"/>
    <cellStyle name="표준 18 15" xfId="1959"/>
    <cellStyle name="표준 18 16" xfId="1960"/>
    <cellStyle name="표준 18 17" xfId="1961"/>
    <cellStyle name="표준 18 18" xfId="1962"/>
    <cellStyle name="표준 18 19" xfId="1963"/>
    <cellStyle name="표준 18 2" xfId="1964"/>
    <cellStyle name="표준 18 20" xfId="1965"/>
    <cellStyle name="표준 18 21" xfId="1966"/>
    <cellStyle name="표준 18 22" xfId="1967"/>
    <cellStyle name="표준 18 23" xfId="1968"/>
    <cellStyle name="표준 18 24" xfId="1969"/>
    <cellStyle name="표준 18 25" xfId="1970"/>
    <cellStyle name="표준 18 26" xfId="1971"/>
    <cellStyle name="표준 18 27" xfId="1972"/>
    <cellStyle name="표준 18 28" xfId="1973"/>
    <cellStyle name="표준 18 29" xfId="1974"/>
    <cellStyle name="표준 18 3" xfId="1975"/>
    <cellStyle name="표준 18 30" xfId="1976"/>
    <cellStyle name="표준 18 31" xfId="1977"/>
    <cellStyle name="표준 18 4" xfId="1978"/>
    <cellStyle name="표준 18 5" xfId="1979"/>
    <cellStyle name="표준 18 6" xfId="1980"/>
    <cellStyle name="표준 18 7" xfId="1981"/>
    <cellStyle name="표준 18 8" xfId="1982"/>
    <cellStyle name="표준 18 9" xfId="1983"/>
    <cellStyle name="표준 180" xfId="1984"/>
    <cellStyle name="표준 19 2" xfId="1985"/>
    <cellStyle name="표준 2 10 2" xfId="1986"/>
    <cellStyle name="표준 2 11 2" xfId="1987"/>
    <cellStyle name="표준 2 12 2" xfId="1988"/>
    <cellStyle name="표준 2 13 2" xfId="1989"/>
    <cellStyle name="표준 2 14 2 2" xfId="1990"/>
    <cellStyle name="표준 2 15 2" xfId="1991"/>
    <cellStyle name="표준 2 16 2" xfId="1992"/>
    <cellStyle name="표준 2 17 2" xfId="1993"/>
    <cellStyle name="표준 2 18 2" xfId="1994"/>
    <cellStyle name="표준 2 19 2" xfId="1995"/>
    <cellStyle name="표준 2 2 5" xfId="1996"/>
    <cellStyle name="표준 2 20 2" xfId="1997"/>
    <cellStyle name="표준 2 21 2" xfId="1998"/>
    <cellStyle name="표준 2 22 2" xfId="1999"/>
    <cellStyle name="표준 2 23 2" xfId="2000"/>
    <cellStyle name="표준 2 24 2" xfId="2001"/>
    <cellStyle name="표준 2 25 2" xfId="2002"/>
    <cellStyle name="표준 2 26 2" xfId="2003"/>
    <cellStyle name="표준 2 27 2" xfId="2004"/>
    <cellStyle name="표준 2 28" xfId="2005"/>
    <cellStyle name="표준 2 29" xfId="2006"/>
    <cellStyle name="표준 2 3 2" xfId="2007"/>
    <cellStyle name="표준 2 30" xfId="2008"/>
    <cellStyle name="표준 2 31" xfId="2009"/>
    <cellStyle name="표준 2 32" xfId="2010"/>
    <cellStyle name="표준 2 33" xfId="2011"/>
    <cellStyle name="표준 2 34" xfId="2012"/>
    <cellStyle name="표준 2 35" xfId="2013"/>
    <cellStyle name="표준 2 36" xfId="2014"/>
    <cellStyle name="표준 2 37" xfId="2015"/>
    <cellStyle name="표준 2 38" xfId="2016"/>
    <cellStyle name="표준 2 39" xfId="2017"/>
    <cellStyle name="표준 2 4 2" xfId="2018"/>
    <cellStyle name="표준 2 40" xfId="2019"/>
    <cellStyle name="표준 2 41" xfId="2020"/>
    <cellStyle name="표준 2 42" xfId="2021"/>
    <cellStyle name="표준 2 43" xfId="2022"/>
    <cellStyle name="표준 2 44" xfId="2023"/>
    <cellStyle name="표준 2 45" xfId="2024"/>
    <cellStyle name="표준 2 46" xfId="2025"/>
    <cellStyle name="표준 2 47" xfId="2026"/>
    <cellStyle name="표준 2 48" xfId="2027"/>
    <cellStyle name="표준 2 49" xfId="2028"/>
    <cellStyle name="표준 2 5 2" xfId="2029"/>
    <cellStyle name="표준 2 6 2" xfId="2030"/>
    <cellStyle name="표준 2 7 2" xfId="2031"/>
    <cellStyle name="표준 2 8 2" xfId="2032"/>
    <cellStyle name="표준 2 9 2" xfId="2033"/>
    <cellStyle name="표준 20 29" xfId="2034"/>
    <cellStyle name="표준 20 10" xfId="2035"/>
    <cellStyle name="표준 20 11" xfId="2036"/>
    <cellStyle name="표준 20 12" xfId="2037"/>
    <cellStyle name="표준 20 13" xfId="2038"/>
    <cellStyle name="표준 20 14" xfId="2039"/>
    <cellStyle name="표준 20 15" xfId="2040"/>
    <cellStyle name="표준 20 16" xfId="2041"/>
    <cellStyle name="표준 20 17" xfId="2042"/>
    <cellStyle name="표준 20 18" xfId="2043"/>
    <cellStyle name="표준 20 19" xfId="2044"/>
    <cellStyle name="표준 20 2" xfId="2045"/>
    <cellStyle name="표준 20 20" xfId="2046"/>
    <cellStyle name="표준 20 21" xfId="2047"/>
    <cellStyle name="표준 20 22" xfId="2048"/>
    <cellStyle name="표준 20 23" xfId="2049"/>
    <cellStyle name="표준 20 24" xfId="2050"/>
    <cellStyle name="표준 20 25" xfId="2051"/>
    <cellStyle name="표준 20 26" xfId="2052"/>
    <cellStyle name="표준 20 27" xfId="2053"/>
    <cellStyle name="표준 20 28" xfId="2054"/>
    <cellStyle name="표준 20 3" xfId="2055"/>
    <cellStyle name="표준 20 4" xfId="2056"/>
    <cellStyle name="표준 20 5" xfId="2057"/>
    <cellStyle name="표준 20 6" xfId="2058"/>
    <cellStyle name="표준 20 7" xfId="2059"/>
    <cellStyle name="표준 20 8" xfId="2060"/>
    <cellStyle name="표준 20 9" xfId="2061"/>
    <cellStyle name="표준 21 10" xfId="2062"/>
    <cellStyle name="표준 21 11" xfId="2063"/>
    <cellStyle name="표준 21 12" xfId="2064"/>
    <cellStyle name="표준 21 13" xfId="2065"/>
    <cellStyle name="표준 21 14" xfId="2066"/>
    <cellStyle name="표준 21 15" xfId="2067"/>
    <cellStyle name="표준 21 16" xfId="2068"/>
    <cellStyle name="표준 21 17" xfId="2069"/>
    <cellStyle name="표준 21 18" xfId="2070"/>
    <cellStyle name="표준 21 19" xfId="2071"/>
    <cellStyle name="표준 21 2 2" xfId="2072"/>
    <cellStyle name="표준 21 20" xfId="2073"/>
    <cellStyle name="표준 21 21" xfId="2074"/>
    <cellStyle name="표준 21 22" xfId="2075"/>
    <cellStyle name="표준 21 23" xfId="2076"/>
    <cellStyle name="표준 21 24" xfId="2077"/>
    <cellStyle name="표준 21 25" xfId="2078"/>
    <cellStyle name="표준 21 26" xfId="2079"/>
    <cellStyle name="표준 21 27" xfId="2080"/>
    <cellStyle name="표준 21 28" xfId="2081"/>
    <cellStyle name="표준 21 29" xfId="2082"/>
    <cellStyle name="표준 21 3 2" xfId="2083"/>
    <cellStyle name="표준 21 30" xfId="2084"/>
    <cellStyle name="표준 21 31" xfId="2085"/>
    <cellStyle name="표준 21 32" xfId="2086"/>
    <cellStyle name="표준 21 33" xfId="2087"/>
    <cellStyle name="표준 21 34" xfId="2088"/>
    <cellStyle name="표준 21 35" xfId="2089"/>
    <cellStyle name="표준 21 36" xfId="2090"/>
    <cellStyle name="표준 21 37" xfId="2091"/>
    <cellStyle name="표준 21 38" xfId="2092"/>
    <cellStyle name="표준 21 39" xfId="2093"/>
    <cellStyle name="표준 21 4 2" xfId="2094"/>
    <cellStyle name="표준 21 5" xfId="2095"/>
    <cellStyle name="표준 21 6" xfId="2096"/>
    <cellStyle name="표준 21 7" xfId="2097"/>
    <cellStyle name="표준 21 8" xfId="2098"/>
    <cellStyle name="표준 21 9" xfId="2099"/>
    <cellStyle name="표준 22 2" xfId="2100"/>
    <cellStyle name="표준 23 10" xfId="2101"/>
    <cellStyle name="표준 23 11" xfId="2102"/>
    <cellStyle name="표준 23 12" xfId="2103"/>
    <cellStyle name="표준 23 13" xfId="2104"/>
    <cellStyle name="표준 23 14" xfId="2105"/>
    <cellStyle name="표준 23 15" xfId="2106"/>
    <cellStyle name="표준 23 16" xfId="2107"/>
    <cellStyle name="표준 23 17" xfId="2108"/>
    <cellStyle name="표준 23 18" xfId="2109"/>
    <cellStyle name="표준 23 19" xfId="2110"/>
    <cellStyle name="표준 23 2" xfId="2111"/>
    <cellStyle name="표준 23 20" xfId="2112"/>
    <cellStyle name="표준 23 21" xfId="2113"/>
    <cellStyle name="표준 23 22" xfId="2114"/>
    <cellStyle name="표준 23 23" xfId="2115"/>
    <cellStyle name="표준 23 24" xfId="2116"/>
    <cellStyle name="표준 23 25" xfId="2117"/>
    <cellStyle name="표준 23 26" xfId="2118"/>
    <cellStyle name="표준 23 27" xfId="2119"/>
    <cellStyle name="표준 23 28" xfId="2120"/>
    <cellStyle name="표준 23 29" xfId="2121"/>
    <cellStyle name="표준 23 3" xfId="2122"/>
    <cellStyle name="표준 23 30" xfId="2123"/>
    <cellStyle name="표준 23 31" xfId="2124"/>
    <cellStyle name="표준 23 32" xfId="2125"/>
    <cellStyle name="표준 23 33" xfId="2126"/>
    <cellStyle name="표준 23 34" xfId="2127"/>
    <cellStyle name="표준 23 35" xfId="2128"/>
    <cellStyle name="표준 23 36" xfId="2129"/>
    <cellStyle name="표준 23 37" xfId="2130"/>
    <cellStyle name="표준 23 38" xfId="2131"/>
    <cellStyle name="표준 23 39" xfId="2132"/>
    <cellStyle name="표준 23 4" xfId="2133"/>
    <cellStyle name="표준 23 5" xfId="2134"/>
    <cellStyle name="표준 23 6" xfId="2135"/>
    <cellStyle name="표준 23 7" xfId="2136"/>
    <cellStyle name="표준 23 8" xfId="2137"/>
    <cellStyle name="표준 23 9" xfId="2138"/>
    <cellStyle name="표준 24 10" xfId="2139"/>
    <cellStyle name="표준 24 11" xfId="2140"/>
    <cellStyle name="표준 24 12" xfId="2141"/>
    <cellStyle name="표준 24 13" xfId="2142"/>
    <cellStyle name="표준 24 14" xfId="2143"/>
    <cellStyle name="표준 24 15" xfId="2144"/>
    <cellStyle name="표준 24 16" xfId="2145"/>
    <cellStyle name="표준 24 17" xfId="2146"/>
    <cellStyle name="표준 24 18" xfId="2147"/>
    <cellStyle name="표준 24 19" xfId="2148"/>
    <cellStyle name="표준 24 2" xfId="2149"/>
    <cellStyle name="표준 24 20" xfId="2150"/>
    <cellStyle name="표준 24 21" xfId="2151"/>
    <cellStyle name="표준 24 22" xfId="2152"/>
    <cellStyle name="표준 24 23" xfId="2153"/>
    <cellStyle name="표준 24 24" xfId="2154"/>
    <cellStyle name="표준 24 25" xfId="2155"/>
    <cellStyle name="표준 24 26" xfId="2156"/>
    <cellStyle name="표준 24 27" xfId="2157"/>
    <cellStyle name="표준 24 28" xfId="2158"/>
    <cellStyle name="표준 24 29" xfId="2159"/>
    <cellStyle name="표준 24 3" xfId="2160"/>
    <cellStyle name="표준 24 30" xfId="2161"/>
    <cellStyle name="표준 24 31" xfId="2162"/>
    <cellStyle name="표준 24 32" xfId="2163"/>
    <cellStyle name="표준 24 33" xfId="2164"/>
    <cellStyle name="표준 24 34" xfId="2165"/>
    <cellStyle name="표준 24 35" xfId="2166"/>
    <cellStyle name="표준 24 36" xfId="2167"/>
    <cellStyle name="표준 24 37" xfId="2168"/>
    <cellStyle name="표준 24 38" xfId="2169"/>
    <cellStyle name="표준 24 39" xfId="2170"/>
    <cellStyle name="표준 24 4" xfId="2171"/>
    <cellStyle name="표준 24 5" xfId="2172"/>
    <cellStyle name="표준 24 6" xfId="2173"/>
    <cellStyle name="표준 24 7" xfId="2174"/>
    <cellStyle name="표준 24 8" xfId="2175"/>
    <cellStyle name="표준 24 9" xfId="2176"/>
    <cellStyle name="표준 25 10" xfId="2177"/>
    <cellStyle name="표준 25 11" xfId="2178"/>
    <cellStyle name="표준 25 12" xfId="2179"/>
    <cellStyle name="표준 25 13" xfId="2180"/>
    <cellStyle name="표준 25 14" xfId="2181"/>
    <cellStyle name="표준 25 15" xfId="2182"/>
    <cellStyle name="표준 25 16" xfId="2183"/>
    <cellStyle name="표준 25 17" xfId="2184"/>
    <cellStyle name="표준 25 18" xfId="2185"/>
    <cellStyle name="표준 25 19" xfId="2186"/>
    <cellStyle name="표준 25 2" xfId="2187"/>
    <cellStyle name="표준 25 20" xfId="2188"/>
    <cellStyle name="표준 25 21" xfId="2189"/>
    <cellStyle name="표준 25 22" xfId="2190"/>
    <cellStyle name="표준 25 23" xfId="2191"/>
    <cellStyle name="표준 25 3" xfId="2192"/>
    <cellStyle name="표준 25 4" xfId="2193"/>
    <cellStyle name="표준 25 5" xfId="2194"/>
    <cellStyle name="표준 25 6" xfId="2195"/>
    <cellStyle name="표준 25 7" xfId="2196"/>
    <cellStyle name="표준 25 8" xfId="2197"/>
    <cellStyle name="표준 25 9" xfId="2198"/>
    <cellStyle name="표준 26 10" xfId="2199"/>
    <cellStyle name="표준 26 11" xfId="2200"/>
    <cellStyle name="표준 26 12" xfId="2201"/>
    <cellStyle name="표준 26 13" xfId="2202"/>
    <cellStyle name="표준 26 14" xfId="2203"/>
    <cellStyle name="표준 26 15" xfId="2204"/>
    <cellStyle name="표준 26 16" xfId="2205"/>
    <cellStyle name="표준 26 17" xfId="2206"/>
    <cellStyle name="표준 26 18" xfId="2207"/>
    <cellStyle name="표준 26 19" xfId="2208"/>
    <cellStyle name="표준 26 2" xfId="2209"/>
    <cellStyle name="표준 26 20" xfId="2210"/>
    <cellStyle name="표준 26 21" xfId="2211"/>
    <cellStyle name="표준 26 22" xfId="2212"/>
    <cellStyle name="표준 26 23" xfId="2213"/>
    <cellStyle name="표준 26 24" xfId="2214"/>
    <cellStyle name="표준 26 25" xfId="2215"/>
    <cellStyle name="표준 26 26" xfId="2216"/>
    <cellStyle name="표준 26 27" xfId="2217"/>
    <cellStyle name="표준 26 28" xfId="2218"/>
    <cellStyle name="표준 26 29" xfId="2219"/>
    <cellStyle name="표준 26 3" xfId="2220"/>
    <cellStyle name="표준 26 30" xfId="2221"/>
    <cellStyle name="표준 26 31" xfId="2222"/>
    <cellStyle name="표준 26 32" xfId="2223"/>
    <cellStyle name="표준 26 33" xfId="2224"/>
    <cellStyle name="표준 26 34" xfId="2225"/>
    <cellStyle name="표준 26 35" xfId="2226"/>
    <cellStyle name="표준 26 36" xfId="2227"/>
    <cellStyle name="표준 26 37" xfId="2228"/>
    <cellStyle name="표준 26 38" xfId="2229"/>
    <cellStyle name="표준 26 39" xfId="2230"/>
    <cellStyle name="표준 26 4" xfId="2231"/>
    <cellStyle name="표준 26 40" xfId="2232"/>
    <cellStyle name="표준 26 41" xfId="2233"/>
    <cellStyle name="표준 26 5" xfId="2234"/>
    <cellStyle name="표준 26 6" xfId="2235"/>
    <cellStyle name="표준 26 7" xfId="2236"/>
    <cellStyle name="표준 26 8" xfId="2237"/>
    <cellStyle name="표준 26 9" xfId="2238"/>
    <cellStyle name="표준 27 10" xfId="2239"/>
    <cellStyle name="표준 27 11" xfId="2240"/>
    <cellStyle name="표준 27 12" xfId="2241"/>
    <cellStyle name="표준 27 13" xfId="2242"/>
    <cellStyle name="표준 27 14" xfId="2243"/>
    <cellStyle name="표준 27 15" xfId="2244"/>
    <cellStyle name="표준 27 16" xfId="2245"/>
    <cellStyle name="표준 27 17" xfId="2246"/>
    <cellStyle name="표준 27 18" xfId="2247"/>
    <cellStyle name="표준 27 19" xfId="2248"/>
    <cellStyle name="표준 27 2" xfId="2249"/>
    <cellStyle name="표준 27 20" xfId="2250"/>
    <cellStyle name="표준 27 21" xfId="2251"/>
    <cellStyle name="표준 27 22" xfId="2252"/>
    <cellStyle name="표준 27 23" xfId="2253"/>
    <cellStyle name="표준 27 24" xfId="2254"/>
    <cellStyle name="표준 27 25" xfId="2255"/>
    <cellStyle name="표준 27 26" xfId="2256"/>
    <cellStyle name="표준 27 27" xfId="2257"/>
    <cellStyle name="표준 27 28" xfId="2258"/>
    <cellStyle name="표준 27 29" xfId="2259"/>
    <cellStyle name="표준 27 3" xfId="2260"/>
    <cellStyle name="표준 27 30" xfId="2261"/>
    <cellStyle name="표준 27 31" xfId="2262"/>
    <cellStyle name="표준 27 32" xfId="2263"/>
    <cellStyle name="표준 27 33" xfId="2264"/>
    <cellStyle name="표준 27 34" xfId="2265"/>
    <cellStyle name="표준 27 35" xfId="2266"/>
    <cellStyle name="표준 27 36" xfId="2267"/>
    <cellStyle name="표준 27 37" xfId="2268"/>
    <cellStyle name="표준 27 38" xfId="2269"/>
    <cellStyle name="표준 27 39" xfId="2270"/>
    <cellStyle name="표준 27 4" xfId="2271"/>
    <cellStyle name="표준 27 40" xfId="2272"/>
    <cellStyle name="표준 27 41" xfId="2273"/>
    <cellStyle name="표준 27 5" xfId="2274"/>
    <cellStyle name="표준 27 6" xfId="2275"/>
    <cellStyle name="표준 27 7" xfId="2276"/>
    <cellStyle name="표준 27 8" xfId="2277"/>
    <cellStyle name="표준 27 9" xfId="2278"/>
    <cellStyle name="표준 28 10" xfId="2279"/>
    <cellStyle name="표준 28 11" xfId="2280"/>
    <cellStyle name="표준 28 12" xfId="2281"/>
    <cellStyle name="표준 28 13" xfId="2282"/>
    <cellStyle name="표준 28 14" xfId="2283"/>
    <cellStyle name="표준 28 15" xfId="2284"/>
    <cellStyle name="표준 28 16" xfId="2285"/>
    <cellStyle name="표준 28 17" xfId="2286"/>
    <cellStyle name="표준 28 18" xfId="2287"/>
    <cellStyle name="표준 28 19" xfId="2288"/>
    <cellStyle name="표준 28 2" xfId="2289"/>
    <cellStyle name="표준 28 20" xfId="2290"/>
    <cellStyle name="표준 28 21" xfId="2291"/>
    <cellStyle name="표준 28 22" xfId="2292"/>
    <cellStyle name="표준 28 23" xfId="2293"/>
    <cellStyle name="표준 28 24" xfId="2294"/>
    <cellStyle name="표준 28 25" xfId="2295"/>
    <cellStyle name="표준 28 26" xfId="2296"/>
    <cellStyle name="표준 28 27" xfId="2297"/>
    <cellStyle name="표준 28 28" xfId="2298"/>
    <cellStyle name="표준 28 29" xfId="2299"/>
    <cellStyle name="표준 28 3" xfId="2300"/>
    <cellStyle name="표준 28 30" xfId="2301"/>
    <cellStyle name="표준 28 31" xfId="2302"/>
    <cellStyle name="표준 28 32" xfId="2303"/>
    <cellStyle name="표준 28 33" xfId="2304"/>
    <cellStyle name="표준 28 34" xfId="2305"/>
    <cellStyle name="표준 28 35" xfId="2306"/>
    <cellStyle name="표준 28 36" xfId="2307"/>
    <cellStyle name="표준 28 37" xfId="2308"/>
    <cellStyle name="표준 28 38" xfId="2309"/>
    <cellStyle name="표준 28 39" xfId="2310"/>
    <cellStyle name="표준 28 4" xfId="2311"/>
    <cellStyle name="표준 28 40" xfId="2312"/>
    <cellStyle name="표준 28 41" xfId="2313"/>
    <cellStyle name="표준 28 5" xfId="2314"/>
    <cellStyle name="표준 28 6" xfId="2315"/>
    <cellStyle name="표준 28 7" xfId="2316"/>
    <cellStyle name="표준 28 8" xfId="2317"/>
    <cellStyle name="표준 28 9" xfId="2318"/>
    <cellStyle name="표준 29 10" xfId="2319"/>
    <cellStyle name="표준 29 11" xfId="2320"/>
    <cellStyle name="표준 29 12" xfId="2321"/>
    <cellStyle name="표준 29 13" xfId="2322"/>
    <cellStyle name="표준 29 14" xfId="2323"/>
    <cellStyle name="표준 29 15" xfId="2324"/>
    <cellStyle name="표준 29 16" xfId="2325"/>
    <cellStyle name="표준 29 17" xfId="2326"/>
    <cellStyle name="표준 29 18" xfId="2327"/>
    <cellStyle name="표준 29 19" xfId="2328"/>
    <cellStyle name="표준 29 2" xfId="2329"/>
    <cellStyle name="표준 29 20" xfId="2330"/>
    <cellStyle name="표준 29 21" xfId="2331"/>
    <cellStyle name="표준 29 22" xfId="2332"/>
    <cellStyle name="표준 29 23" xfId="2333"/>
    <cellStyle name="표준 29 24" xfId="2334"/>
    <cellStyle name="표준 29 25" xfId="2335"/>
    <cellStyle name="표준 29 26" xfId="2336"/>
    <cellStyle name="표준 29 27" xfId="2337"/>
    <cellStyle name="표준 29 28" xfId="2338"/>
    <cellStyle name="표준 29 29" xfId="2339"/>
    <cellStyle name="표준 29 3" xfId="2340"/>
    <cellStyle name="표준 29 30" xfId="2341"/>
    <cellStyle name="표준 29 31" xfId="2342"/>
    <cellStyle name="표준 29 32" xfId="2343"/>
    <cellStyle name="표준 29 33" xfId="2344"/>
    <cellStyle name="표준 29 34" xfId="2345"/>
    <cellStyle name="표준 29 35" xfId="2346"/>
    <cellStyle name="표준 29 36" xfId="2347"/>
    <cellStyle name="표준 29 37" xfId="2348"/>
    <cellStyle name="표준 29 38" xfId="2349"/>
    <cellStyle name="표준 29 39" xfId="2350"/>
    <cellStyle name="표준 29 4" xfId="2351"/>
    <cellStyle name="표준 29 40" xfId="2352"/>
    <cellStyle name="표준 29 41" xfId="2353"/>
    <cellStyle name="표준 29 5" xfId="2354"/>
    <cellStyle name="표준 29 6" xfId="2355"/>
    <cellStyle name="표준 29 7" xfId="2356"/>
    <cellStyle name="표준 29 8" xfId="2357"/>
    <cellStyle name="표준 29 9" xfId="2358"/>
    <cellStyle name="표준 3 30" xfId="2359"/>
    <cellStyle name="표준 3 10 2 2" xfId="2360"/>
    <cellStyle name="표준 3 11 2" xfId="2361"/>
    <cellStyle name="표준 3 12 2" xfId="2362"/>
    <cellStyle name="표준 3 13 2 2" xfId="2363"/>
    <cellStyle name="표준 3 14 2" xfId="2364"/>
    <cellStyle name="표준 3 15 2" xfId="2365"/>
    <cellStyle name="표준 3 16 2" xfId="2366"/>
    <cellStyle name="표준 3 17 2" xfId="2367"/>
    <cellStyle name="표준 3 18 2" xfId="2368"/>
    <cellStyle name="표준 3 19" xfId="2369"/>
    <cellStyle name="표준 3 2 2 8" xfId="2370"/>
    <cellStyle name="표준 3 20" xfId="2371"/>
    <cellStyle name="표준 3 21" xfId="2372"/>
    <cellStyle name="표준 3 22" xfId="2373"/>
    <cellStyle name="표준 3 23" xfId="2374"/>
    <cellStyle name="표준 3 24" xfId="2375"/>
    <cellStyle name="표준 3 25" xfId="2376"/>
    <cellStyle name="표준 3 26" xfId="2377"/>
    <cellStyle name="표준 3 27" xfId="2378"/>
    <cellStyle name="표준 3 28" xfId="2379"/>
    <cellStyle name="표준 3 29" xfId="2380"/>
    <cellStyle name="표준 3 3 2 7" xfId="2381"/>
    <cellStyle name="표준 3 4 2 6" xfId="2382"/>
    <cellStyle name="표준 3 5 2 6" xfId="2383"/>
    <cellStyle name="표준 3 6 2 5" xfId="2384"/>
    <cellStyle name="표준 3 7 2 5" xfId="2385"/>
    <cellStyle name="표준 3 8 2 4" xfId="2386"/>
    <cellStyle name="표준 3 9 2 2" xfId="2387"/>
    <cellStyle name="표준 30 10" xfId="2388"/>
    <cellStyle name="표준 30 11" xfId="2389"/>
    <cellStyle name="표준 30 12" xfId="2390"/>
    <cellStyle name="표준 30 13" xfId="2391"/>
    <cellStyle name="표준 30 14" xfId="2392"/>
    <cellStyle name="표준 30 15" xfId="2393"/>
    <cellStyle name="표준 30 16" xfId="2394"/>
    <cellStyle name="표준 30 17" xfId="2395"/>
    <cellStyle name="표준 30 18" xfId="2396"/>
    <cellStyle name="표준 30 19" xfId="2397"/>
    <cellStyle name="표준 30 2" xfId="2398"/>
    <cellStyle name="표준 30 20" xfId="2399"/>
    <cellStyle name="표준 30 21" xfId="2400"/>
    <cellStyle name="표준 30 22" xfId="2401"/>
    <cellStyle name="표준 30 23" xfId="2402"/>
    <cellStyle name="표준 30 24" xfId="2403"/>
    <cellStyle name="표준 30 25" xfId="2404"/>
    <cellStyle name="표준 30 26" xfId="2405"/>
    <cellStyle name="표준 30 27" xfId="2406"/>
    <cellStyle name="표준 30 28" xfId="2407"/>
    <cellStyle name="표준 30 29" xfId="2408"/>
    <cellStyle name="표준 30 3" xfId="2409"/>
    <cellStyle name="표준 30 30" xfId="2410"/>
    <cellStyle name="표준 30 31" xfId="2411"/>
    <cellStyle name="표준 30 32" xfId="2412"/>
    <cellStyle name="표준 30 33" xfId="2413"/>
    <cellStyle name="표준 30 34" xfId="2414"/>
    <cellStyle name="표준 30 35" xfId="2415"/>
    <cellStyle name="표준 30 36" xfId="2416"/>
    <cellStyle name="표준 30 37" xfId="2417"/>
    <cellStyle name="표준 30 38" xfId="2418"/>
    <cellStyle name="표준 30 39" xfId="2419"/>
    <cellStyle name="표준 30 4" xfId="2420"/>
    <cellStyle name="표준 30 40" xfId="2421"/>
    <cellStyle name="표준 30 5" xfId="2422"/>
    <cellStyle name="표준 30 6" xfId="2423"/>
    <cellStyle name="표준 30 7" xfId="2424"/>
    <cellStyle name="표준 30 8" xfId="2425"/>
    <cellStyle name="표준 30 9" xfId="2426"/>
    <cellStyle name="표준 31 10" xfId="2427"/>
    <cellStyle name="표준 31 11" xfId="2428"/>
    <cellStyle name="표준 31 12" xfId="2429"/>
    <cellStyle name="표준 31 13" xfId="2430"/>
    <cellStyle name="표준 31 14" xfId="2431"/>
    <cellStyle name="표준 31 15" xfId="2432"/>
    <cellStyle name="표준 31 16" xfId="2433"/>
    <cellStyle name="표준 31 17" xfId="2434"/>
    <cellStyle name="표준 31 18" xfId="2435"/>
    <cellStyle name="표준 31 19" xfId="2436"/>
    <cellStyle name="표준 31 2" xfId="2437"/>
    <cellStyle name="표준 31 20" xfId="2438"/>
    <cellStyle name="표준 31 21" xfId="2439"/>
    <cellStyle name="표준 31 22" xfId="2440"/>
    <cellStyle name="표준 31 23" xfId="2441"/>
    <cellStyle name="표준 31 24" xfId="2442"/>
    <cellStyle name="표준 31 25" xfId="2443"/>
    <cellStyle name="표준 31 26" xfId="2444"/>
    <cellStyle name="표준 31 27" xfId="2445"/>
    <cellStyle name="표준 31 28" xfId="2446"/>
    <cellStyle name="표준 31 29" xfId="2447"/>
    <cellStyle name="표준 31 3" xfId="2448"/>
    <cellStyle name="표준 31 30" xfId="2449"/>
    <cellStyle name="표준 31 31" xfId="2450"/>
    <cellStyle name="표준 31 32" xfId="2451"/>
    <cellStyle name="표준 31 33" xfId="2452"/>
    <cellStyle name="표준 31 34" xfId="2453"/>
    <cellStyle name="표준 31 35" xfId="2454"/>
    <cellStyle name="표준 31 36" xfId="2455"/>
    <cellStyle name="표준 31 37" xfId="2456"/>
    <cellStyle name="표준 31 38" xfId="2457"/>
    <cellStyle name="표준 31 39" xfId="2458"/>
    <cellStyle name="표준 31 4" xfId="2459"/>
    <cellStyle name="표준 31 40" xfId="2460"/>
    <cellStyle name="표준 31 5" xfId="2461"/>
    <cellStyle name="표준 31 6" xfId="2462"/>
    <cellStyle name="표준 31 7" xfId="2463"/>
    <cellStyle name="표준 31 8" xfId="2464"/>
    <cellStyle name="표준 31 9" xfId="2465"/>
    <cellStyle name="표준 32 10" xfId="2466"/>
    <cellStyle name="표준 32 11" xfId="2467"/>
    <cellStyle name="표준 32 12" xfId="2468"/>
    <cellStyle name="표준 32 13" xfId="2469"/>
    <cellStyle name="표준 32 14" xfId="2470"/>
    <cellStyle name="표준 32 15" xfId="2471"/>
    <cellStyle name="표준 32 16" xfId="2472"/>
    <cellStyle name="표준 32 17" xfId="2473"/>
    <cellStyle name="표준 32 18" xfId="2474"/>
    <cellStyle name="표준 32 19" xfId="2475"/>
    <cellStyle name="표준 32 2" xfId="2476"/>
    <cellStyle name="표준 32 20" xfId="2477"/>
    <cellStyle name="표준 32 21" xfId="2478"/>
    <cellStyle name="표준 32 22" xfId="2479"/>
    <cellStyle name="표준 32 23" xfId="2480"/>
    <cellStyle name="표준 32 24" xfId="2481"/>
    <cellStyle name="표준 32 25" xfId="2482"/>
    <cellStyle name="표준 32 26" xfId="2483"/>
    <cellStyle name="표준 32 27" xfId="2484"/>
    <cellStyle name="표준 32 28" xfId="2485"/>
    <cellStyle name="표준 32 29" xfId="2486"/>
    <cellStyle name="표준 32 3" xfId="2487"/>
    <cellStyle name="표준 32 30" xfId="2488"/>
    <cellStyle name="표준 32 31" xfId="2489"/>
    <cellStyle name="표준 32 32" xfId="2490"/>
    <cellStyle name="표준 32 33" xfId="2491"/>
    <cellStyle name="표준 32 34" xfId="2492"/>
    <cellStyle name="표준 32 35" xfId="2493"/>
    <cellStyle name="표준 32 36" xfId="2494"/>
    <cellStyle name="표준 32 37" xfId="2495"/>
    <cellStyle name="표준 32 38" xfId="2496"/>
    <cellStyle name="표준 32 39" xfId="2497"/>
    <cellStyle name="표준 32 4" xfId="2498"/>
    <cellStyle name="표준 32 40" xfId="2499"/>
    <cellStyle name="표준 32 5" xfId="2500"/>
    <cellStyle name="표준 32 6" xfId="2501"/>
    <cellStyle name="표준 32 7" xfId="2502"/>
    <cellStyle name="표준 32 8" xfId="2503"/>
    <cellStyle name="표준 32 9" xfId="2504"/>
    <cellStyle name="표준 33 10" xfId="2505"/>
    <cellStyle name="표준 33 11" xfId="2506"/>
    <cellStyle name="표준 33 12" xfId="2507"/>
    <cellStyle name="표준 33 13" xfId="2508"/>
    <cellStyle name="표준 33 14" xfId="2509"/>
    <cellStyle name="표준 33 15" xfId="2510"/>
    <cellStyle name="표준 33 16" xfId="2511"/>
    <cellStyle name="표준 33 17" xfId="2512"/>
    <cellStyle name="표준 33 18" xfId="2513"/>
    <cellStyle name="표준 33 19" xfId="2514"/>
    <cellStyle name="표준 33 2" xfId="2515"/>
    <cellStyle name="표준 33 20" xfId="2516"/>
    <cellStyle name="표준 33 21" xfId="2517"/>
    <cellStyle name="표준 33 22" xfId="2518"/>
    <cellStyle name="표준 33 23" xfId="2519"/>
    <cellStyle name="표준 33 24" xfId="2520"/>
    <cellStyle name="표준 33 25" xfId="2521"/>
    <cellStyle name="표준 33 26" xfId="2522"/>
    <cellStyle name="표준 33 27" xfId="2523"/>
    <cellStyle name="표준 33 28" xfId="2524"/>
    <cellStyle name="표준 33 29" xfId="2525"/>
    <cellStyle name="표준 33 3" xfId="2526"/>
    <cellStyle name="표준 33 30" xfId="2527"/>
    <cellStyle name="표준 33 31" xfId="2528"/>
    <cellStyle name="표준 33 32" xfId="2529"/>
    <cellStyle name="표준 33 33" xfId="2530"/>
    <cellStyle name="표준 33 34" xfId="2531"/>
    <cellStyle name="표준 33 35" xfId="2532"/>
    <cellStyle name="표준 33 36" xfId="2533"/>
    <cellStyle name="표준 33 37" xfId="2534"/>
    <cellStyle name="표준 33 38" xfId="2535"/>
    <cellStyle name="표준 33 39" xfId="2536"/>
    <cellStyle name="표준 33 4" xfId="2537"/>
    <cellStyle name="표준 33 40" xfId="2538"/>
    <cellStyle name="표준 33 5" xfId="2539"/>
    <cellStyle name="표준 33 6" xfId="2540"/>
    <cellStyle name="표준 33 7" xfId="2541"/>
    <cellStyle name="표준 33 8" xfId="2542"/>
    <cellStyle name="표준 33 9" xfId="2543"/>
    <cellStyle name="표준 34 10" xfId="2544"/>
    <cellStyle name="표준 34 11" xfId="2545"/>
    <cellStyle name="표준 34 12" xfId="2546"/>
    <cellStyle name="표준 34 13" xfId="2547"/>
    <cellStyle name="표준 34 14" xfId="2548"/>
    <cellStyle name="표준 34 15" xfId="2549"/>
    <cellStyle name="표준 34 16" xfId="2550"/>
    <cellStyle name="표준 34 17" xfId="2551"/>
    <cellStyle name="표준 34 18" xfId="2552"/>
    <cellStyle name="표준 34 19" xfId="2553"/>
    <cellStyle name="표준 34 2" xfId="2554"/>
    <cellStyle name="표준 34 20" xfId="2555"/>
    <cellStyle name="표준 34 21" xfId="2556"/>
    <cellStyle name="표준 34 22" xfId="2557"/>
    <cellStyle name="표준 34 23" xfId="2558"/>
    <cellStyle name="표준 34 3" xfId="2559"/>
    <cellStyle name="표준 34 4" xfId="2560"/>
    <cellStyle name="표준 34 5" xfId="2561"/>
    <cellStyle name="표준 34 6" xfId="2562"/>
    <cellStyle name="표준 34 7" xfId="2563"/>
    <cellStyle name="표준 34 8" xfId="2564"/>
    <cellStyle name="표준 34 9" xfId="2565"/>
    <cellStyle name="표준 35 10" xfId="2566"/>
    <cellStyle name="표준 35 11" xfId="2567"/>
    <cellStyle name="표준 35 12" xfId="2568"/>
    <cellStyle name="표준 35 13" xfId="2569"/>
    <cellStyle name="표준 35 14" xfId="2570"/>
    <cellStyle name="표준 35 15" xfId="2571"/>
    <cellStyle name="표준 35 16" xfId="2572"/>
    <cellStyle name="표준 35 17" xfId="2573"/>
    <cellStyle name="표준 35 18" xfId="2574"/>
    <cellStyle name="표준 35 19" xfId="2575"/>
    <cellStyle name="표준 35 2" xfId="2576"/>
    <cellStyle name="표준 35 20" xfId="2577"/>
    <cellStyle name="표준 35 21" xfId="2578"/>
    <cellStyle name="표준 35 22" xfId="2579"/>
    <cellStyle name="표준 35 23" xfId="2580"/>
    <cellStyle name="표준 35 3" xfId="2581"/>
    <cellStyle name="표준 35 4" xfId="2582"/>
    <cellStyle name="표준 35 5" xfId="2583"/>
    <cellStyle name="표준 35 6" xfId="2584"/>
    <cellStyle name="표준 35 7" xfId="2585"/>
    <cellStyle name="표준 35 8" xfId="2586"/>
    <cellStyle name="표준 35 9" xfId="2587"/>
    <cellStyle name="표준 4 15" xfId="2588"/>
    <cellStyle name="표준 5 14" xfId="2589"/>
    <cellStyle name="표준 6 3" xfId="2590"/>
    <cellStyle name="표준 7 19" xfId="2591"/>
    <cellStyle name="표준 8 13" xfId="2592"/>
    <cellStyle name="표준 9 13" xfId="2593"/>
    <cellStyle name="표준 94 3" xfId="2594"/>
    <cellStyle name="표준 7 20" xfId="2595"/>
    <cellStyle name="표준 8 14" xfId="2596"/>
    <cellStyle name="표준 9 14" xfId="2597"/>
    <cellStyle name="표준 10 14" xfId="2598"/>
    <cellStyle name="표준 7 15 4" xfId="2599"/>
    <cellStyle name="표준 8 9 4" xfId="2600"/>
    <cellStyle name="표준 9 9 4" xfId="2601"/>
    <cellStyle name="표준 10 9 4" xfId="2602"/>
    <cellStyle name="표준 7 2 6" xfId="2603"/>
    <cellStyle name="표준 8 2 5" xfId="2604"/>
    <cellStyle name="표준 9 2 5" xfId="2605"/>
    <cellStyle name="표준 10 2 5" xfId="2606"/>
    <cellStyle name="표준 7 10 5" xfId="2607"/>
    <cellStyle name="표준 8 4 5" xfId="2608"/>
    <cellStyle name="표준 9 4 5" xfId="2609"/>
    <cellStyle name="표준 10 4 5" xfId="2610"/>
    <cellStyle name="표준 7 11 5" xfId="2611"/>
    <cellStyle name="표준 8 5 5" xfId="2612"/>
    <cellStyle name="표준 9 5 5" xfId="2613"/>
    <cellStyle name="표준 10 5 5" xfId="2614"/>
    <cellStyle name="표준 21 40" xfId="2615"/>
    <cellStyle name="표준 7 12 5" xfId="2616"/>
    <cellStyle name="표준 8 6 5" xfId="2617"/>
    <cellStyle name="표준 9 6 5" xfId="2618"/>
    <cellStyle name="표준 10 6 5" xfId="2619"/>
    <cellStyle name="표준 7 13 5" xfId="2620"/>
    <cellStyle name="표준 8 7 5" xfId="2621"/>
    <cellStyle name="표준 9 7 5" xfId="2622"/>
    <cellStyle name="표준 10 7 5" xfId="2623"/>
    <cellStyle name="표준 7 14 5" xfId="2624"/>
    <cellStyle name="표준 8 8 5" xfId="2625"/>
    <cellStyle name="표준 9 8 5" xfId="2626"/>
    <cellStyle name="표준 10 8 5" xfId="2627"/>
    <cellStyle name="표준 7 18 2" xfId="2628"/>
    <cellStyle name="표준 8 12 2" xfId="2629"/>
    <cellStyle name="표준 9 12 2" xfId="2630"/>
    <cellStyle name="표준 10 12 2" xfId="2631"/>
    <cellStyle name="표준 7 2 5 2" xfId="2632"/>
    <cellStyle name="표준 8 2 4 2" xfId="2633"/>
    <cellStyle name="표준 9 2 4 2" xfId="2634"/>
    <cellStyle name="표준 10 2 4 2" xfId="2635"/>
    <cellStyle name="표준 7 10 4 2" xfId="2636"/>
    <cellStyle name="표준 8 4 4 2" xfId="2637"/>
    <cellStyle name="표준 9 4 4 2" xfId="2638"/>
    <cellStyle name="표준 10 4 4 2" xfId="2639"/>
    <cellStyle name="표준 7 11 4 2" xfId="2640"/>
    <cellStyle name="표준 8 5 4 2" xfId="2641"/>
    <cellStyle name="표준 9 5 4 2" xfId="2642"/>
    <cellStyle name="표준 10 5 4 2" xfId="2643"/>
    <cellStyle name="표준 21 4 3" xfId="2644"/>
    <cellStyle name="표준 7 12 4 2" xfId="2645"/>
    <cellStyle name="표준 8 6 4 2" xfId="2646"/>
    <cellStyle name="표준 9 6 4 2" xfId="2647"/>
    <cellStyle name="표준 10 6 4 2" xfId="2648"/>
    <cellStyle name="표준 7 13 4 2" xfId="2649"/>
    <cellStyle name="표준 8 7 4 2" xfId="2650"/>
    <cellStyle name="표준 9 7 4 2" xfId="2651"/>
    <cellStyle name="표준 10 7 4 2" xfId="2652"/>
    <cellStyle name="표준 7 14 4 2" xfId="2653"/>
    <cellStyle name="표준 8 8 4 2" xfId="2654"/>
    <cellStyle name="표준 9 8 4 2" xfId="2655"/>
    <cellStyle name="표준 10 8 4 2" xfId="2656"/>
    <cellStyle name="표준 7 16 2" xfId="2657"/>
    <cellStyle name="표준 8 10 2" xfId="2658"/>
    <cellStyle name="표준 9 10 2" xfId="2659"/>
    <cellStyle name="표준 10 10 2" xfId="2660"/>
    <cellStyle name="표준 7 15 3 2" xfId="2661"/>
    <cellStyle name="표준 8 9 3 2" xfId="2662"/>
    <cellStyle name="표준 9 9 3 2" xfId="2663"/>
    <cellStyle name="표준 10 9 3 2" xfId="2664"/>
    <cellStyle name="표준 7 2 3 2" xfId="2665"/>
    <cellStyle name="표준 8 2 2 2" xfId="2666"/>
    <cellStyle name="표준 9 2 2 2" xfId="2667"/>
    <cellStyle name="표준 10 2 2 2" xfId="2668"/>
    <cellStyle name="표준 7 10 2 2" xfId="2669"/>
    <cellStyle name="표준 8 4 2 2" xfId="2670"/>
    <cellStyle name="표준 9 4 2 2" xfId="2671"/>
    <cellStyle name="표준 10 4 2 2" xfId="2672"/>
    <cellStyle name="표준 7 11 2 2" xfId="2673"/>
    <cellStyle name="표준 8 5 2 2" xfId="2674"/>
    <cellStyle name="표준 9 5 2 2" xfId="2675"/>
    <cellStyle name="표준 10 5 2 2" xfId="2676"/>
    <cellStyle name="표준 21 2 3" xfId="2677"/>
    <cellStyle name="표준 7 12 2 2" xfId="2678"/>
    <cellStyle name="표준 8 6 2 2" xfId="2679"/>
    <cellStyle name="표준 9 6 2 2" xfId="2680"/>
    <cellStyle name="표준 10 6 2 2" xfId="2681"/>
    <cellStyle name="표준 7 13 2 2" xfId="2682"/>
    <cellStyle name="표준 8 7 2 2" xfId="2683"/>
    <cellStyle name="표준 9 7 2 2" xfId="2684"/>
    <cellStyle name="표준 10 7 2 2" xfId="2685"/>
    <cellStyle name="표준 7 14 2 2" xfId="2686"/>
    <cellStyle name="표준 8 8 2 2" xfId="2687"/>
    <cellStyle name="표준 9 8 2 2" xfId="2688"/>
    <cellStyle name="표준 10 8 2 2" xfId="2689"/>
    <cellStyle name="표준 7 17 2" xfId="2690"/>
    <cellStyle name="표준 8 11 2" xfId="2691"/>
    <cellStyle name="표준 9 11 2" xfId="2692"/>
    <cellStyle name="표준 10 11 2" xfId="2693"/>
    <cellStyle name="표준 7 15 2 2" xfId="2694"/>
    <cellStyle name="표준 8 9 2 2" xfId="2695"/>
    <cellStyle name="표준 9 9 2 2" xfId="2696"/>
    <cellStyle name="표준 10 9 2 2" xfId="2697"/>
    <cellStyle name="표준 7 2 4 2" xfId="2698"/>
    <cellStyle name="표준 8 2 3 2" xfId="2699"/>
    <cellStyle name="표준 9 2 3 2" xfId="2700"/>
    <cellStyle name="표준 10 2 3 2" xfId="2701"/>
    <cellStyle name="표준 7 10 3 2" xfId="2702"/>
    <cellStyle name="표준 8 4 3 2" xfId="2703"/>
    <cellStyle name="표준 9 4 3 2" xfId="2704"/>
    <cellStyle name="표준 10 4 3 2" xfId="2705"/>
    <cellStyle name="표준 7 11 3 2" xfId="2706"/>
    <cellStyle name="표준 8 5 3 2" xfId="2707"/>
    <cellStyle name="표준 9 5 3 2" xfId="2708"/>
    <cellStyle name="표준 10 5 3 2" xfId="2709"/>
    <cellStyle name="표준 21 3 3" xfId="2710"/>
    <cellStyle name="표준 7 12 3 2" xfId="2711"/>
    <cellStyle name="표준 8 6 3 2" xfId="2712"/>
    <cellStyle name="표준 9 6 3 2" xfId="2713"/>
    <cellStyle name="표준 10 6 3 2" xfId="2714"/>
    <cellStyle name="표준 7 13 3 2" xfId="2715"/>
    <cellStyle name="표준 8 7 3 2" xfId="2716"/>
    <cellStyle name="표준 9 7 3 2" xfId="2717"/>
    <cellStyle name="표준 10 7 3 2" xfId="2718"/>
    <cellStyle name="표준 7 14 3 2" xfId="2719"/>
    <cellStyle name="표준 8 8 3 2" xfId="2720"/>
    <cellStyle name="표준 9 8 3 2" xfId="2721"/>
    <cellStyle name="표준 10 8 3 2" xfId="2722"/>
    <cellStyle name="표준 22 3" xfId="2723"/>
    <cellStyle name="표준 7 21" xfId="2724"/>
    <cellStyle name="표준 8 15" xfId="2725"/>
    <cellStyle name="표준 9 15" xfId="2726"/>
    <cellStyle name="표준 10 15" xfId="2727"/>
    <cellStyle name="표준 7 15 5" xfId="2728"/>
    <cellStyle name="표준 8 9 5" xfId="2729"/>
    <cellStyle name="표준 9 9 5" xfId="2730"/>
    <cellStyle name="표준 10 9 5" xfId="2731"/>
    <cellStyle name="표준 7 2 7" xfId="2732"/>
    <cellStyle name="표준 8 2 6" xfId="2733"/>
    <cellStyle name="표준 9 2 6" xfId="2734"/>
    <cellStyle name="표준 10 2 6" xfId="2735"/>
    <cellStyle name="표준 7 10 6" xfId="2736"/>
    <cellStyle name="표준 8 4 6" xfId="2737"/>
    <cellStyle name="표준 9 4 6" xfId="2738"/>
    <cellStyle name="표준 10 4 6" xfId="2739"/>
    <cellStyle name="표준 7 11 6" xfId="2740"/>
    <cellStyle name="표준 8 5 6" xfId="2741"/>
    <cellStyle name="표준 9 5 6" xfId="2742"/>
    <cellStyle name="표준 10 5 6" xfId="2743"/>
    <cellStyle name="표준 21 41" xfId="2744"/>
    <cellStyle name="표준 7 12 6" xfId="2745"/>
    <cellStyle name="표준 8 6 6" xfId="2746"/>
    <cellStyle name="표준 9 6 6" xfId="2747"/>
    <cellStyle name="표준 10 6 6" xfId="2748"/>
    <cellStyle name="표준 7 13 6" xfId="2749"/>
    <cellStyle name="표준 8 7 6" xfId="2750"/>
    <cellStyle name="표준 9 7 6" xfId="2751"/>
    <cellStyle name="표준 10 7 6" xfId="2752"/>
    <cellStyle name="표준 7 14 6" xfId="2753"/>
    <cellStyle name="표준 8 8 6" xfId="2754"/>
    <cellStyle name="표준 9 8 6" xfId="2755"/>
    <cellStyle name="표준 10 8 6" xfId="2756"/>
    <cellStyle name="표준 7 18 3" xfId="2757"/>
    <cellStyle name="표준 8 12 3" xfId="2758"/>
    <cellStyle name="표준 9 12 3" xfId="2759"/>
    <cellStyle name="표준 10 12 3" xfId="2760"/>
    <cellStyle name="표준 7 2 5 3" xfId="2761"/>
    <cellStyle name="표준 8 2 4 3" xfId="2762"/>
    <cellStyle name="표준 9 2 4 3" xfId="2763"/>
    <cellStyle name="표준 10 2 4 3" xfId="2764"/>
    <cellStyle name="표준 7 10 4 3" xfId="2765"/>
    <cellStyle name="표준 8 4 4 3" xfId="2766"/>
    <cellStyle name="표준 9 4 4 3" xfId="2767"/>
    <cellStyle name="표준 10 4 4 3" xfId="2768"/>
    <cellStyle name="표준 7 11 4 3" xfId="2769"/>
    <cellStyle name="표준 8 5 4 3" xfId="2770"/>
    <cellStyle name="표준 9 5 4 3" xfId="2771"/>
    <cellStyle name="표준 10 5 4 3" xfId="2772"/>
    <cellStyle name="표준 21 4 4" xfId="2773"/>
    <cellStyle name="표준 7 12 4 3" xfId="2774"/>
    <cellStyle name="표준 8 6 4 3" xfId="2775"/>
    <cellStyle name="표준 9 6 4 3" xfId="2776"/>
    <cellStyle name="표준 10 6 4 3" xfId="2777"/>
    <cellStyle name="표준 7 13 4 3" xfId="2778"/>
    <cellStyle name="표준 8 7 4 3" xfId="2779"/>
    <cellStyle name="표준 9 7 4 3" xfId="2780"/>
    <cellStyle name="표준 10 7 4 3" xfId="2781"/>
    <cellStyle name="표준 7 14 4 3" xfId="2782"/>
    <cellStyle name="표준 8 8 4 3" xfId="2783"/>
    <cellStyle name="표준 9 8 4 3" xfId="2784"/>
    <cellStyle name="표준 10 8 4 3" xfId="2785"/>
    <cellStyle name="표준 7 16 3" xfId="2786"/>
    <cellStyle name="표준 8 10 3" xfId="2787"/>
    <cellStyle name="표준 9 10 3" xfId="2788"/>
    <cellStyle name="표준 10 10 3" xfId="2789"/>
    <cellStyle name="표준 7 15 3 3" xfId="2790"/>
    <cellStyle name="표준 8 9 3 3" xfId="2791"/>
    <cellStyle name="표준 9 9 3 3" xfId="2792"/>
    <cellStyle name="표준 10 9 3 3" xfId="2793"/>
    <cellStyle name="표준 7 2 3 3" xfId="2794"/>
    <cellStyle name="표준 8 2 2 3" xfId="2795"/>
    <cellStyle name="표준 9 2 2 3" xfId="2796"/>
    <cellStyle name="표준 10 2 2 3" xfId="2797"/>
    <cellStyle name="표준 7 10 2 3" xfId="2798"/>
    <cellStyle name="표준 8 4 2 3" xfId="2799"/>
    <cellStyle name="표준 9 4 2 3" xfId="2800"/>
    <cellStyle name="표준 10 4 2 3" xfId="2801"/>
    <cellStyle name="표준 7 11 2 3" xfId="2802"/>
    <cellStyle name="표준 8 5 2 3" xfId="2803"/>
    <cellStyle name="표준 9 5 2 3" xfId="2804"/>
    <cellStyle name="표준 10 5 2 3" xfId="2805"/>
    <cellStyle name="표준 21 2 4" xfId="2806"/>
    <cellStyle name="표준 7 12 2 3" xfId="2807"/>
    <cellStyle name="표준 8 6 2 3" xfId="2808"/>
    <cellStyle name="표준 9 6 2 3" xfId="2809"/>
    <cellStyle name="표준 10 6 2 3" xfId="2810"/>
    <cellStyle name="표준 7 13 2 3" xfId="2811"/>
    <cellStyle name="표준 8 7 2 3" xfId="2812"/>
    <cellStyle name="표준 9 7 2 3" xfId="2813"/>
    <cellStyle name="표준 10 7 2 3" xfId="2814"/>
    <cellStyle name="표준 7 14 2 3" xfId="2815"/>
    <cellStyle name="표준 8 8 2 3" xfId="2816"/>
    <cellStyle name="표준 9 8 2 3" xfId="2817"/>
    <cellStyle name="표준 10 8 2 3" xfId="2818"/>
    <cellStyle name="표준 7 17 3" xfId="2819"/>
    <cellStyle name="표준 8 11 3" xfId="2820"/>
    <cellStyle name="표준 9 11 3" xfId="2821"/>
    <cellStyle name="표준 10 11 3" xfId="2822"/>
    <cellStyle name="표준 7 15 2 3" xfId="2823"/>
    <cellStyle name="표준 8 9 2 3" xfId="2824"/>
    <cellStyle name="표준 9 9 2 3" xfId="2825"/>
    <cellStyle name="표준 10 9 2 3" xfId="2826"/>
    <cellStyle name="표준 7 2 4 3" xfId="2827"/>
    <cellStyle name="표준 8 2 3 3" xfId="2828"/>
    <cellStyle name="표준 9 2 3 3" xfId="2829"/>
    <cellStyle name="표준 10 2 3 3" xfId="2830"/>
    <cellStyle name="표준 7 10 3 3" xfId="2831"/>
    <cellStyle name="표준 8 4 3 3" xfId="2832"/>
    <cellStyle name="표준 9 4 3 3" xfId="2833"/>
    <cellStyle name="표준 10 4 3 3" xfId="2834"/>
    <cellStyle name="표준 7 11 3 3" xfId="2835"/>
    <cellStyle name="표준 8 5 3 3" xfId="2836"/>
    <cellStyle name="표준 9 5 3 3" xfId="2837"/>
    <cellStyle name="표준 10 5 3 3" xfId="2838"/>
    <cellStyle name="표준 21 3 4" xfId="2839"/>
    <cellStyle name="표준 7 12 3 3" xfId="2840"/>
    <cellStyle name="표준 8 6 3 3" xfId="2841"/>
    <cellStyle name="표준 9 6 3 3" xfId="2842"/>
    <cellStyle name="표준 10 6 3 3" xfId="2843"/>
    <cellStyle name="표준 7 13 3 3" xfId="2844"/>
    <cellStyle name="표준 8 7 3 3" xfId="2845"/>
    <cellStyle name="표준 9 7 3 3" xfId="2846"/>
    <cellStyle name="표준 10 7 3 3" xfId="2847"/>
    <cellStyle name="표준 7 14 3 3" xfId="2848"/>
    <cellStyle name="표준 8 8 3 3" xfId="2849"/>
    <cellStyle name="표준 9 8 3 3" xfId="2850"/>
    <cellStyle name="표준 10 8 3 3" xfId="2851"/>
    <cellStyle name="표준 22 4" xfId="2852"/>
    <cellStyle name="표준 10 10 2 2" xfId="2853"/>
    <cellStyle name="표준 10 11 2 2" xfId="2854"/>
    <cellStyle name="표준 10 12 2 2" xfId="2855"/>
    <cellStyle name="표준 10 14 2" xfId="2856"/>
    <cellStyle name="표준 10 2 2 2 2" xfId="2857"/>
    <cellStyle name="표준 10 2 3 2 2" xfId="2858"/>
    <cellStyle name="표준 10 2 4 2 2" xfId="2859"/>
    <cellStyle name="표준 10 2 5 2" xfId="2860"/>
    <cellStyle name="표준 10 4 2 2 2" xfId="2861"/>
    <cellStyle name="표준 10 4 3 2 2" xfId="2862"/>
    <cellStyle name="표준 10 4 4 2 2" xfId="2863"/>
    <cellStyle name="표준 10 4 5 2" xfId="2864"/>
    <cellStyle name="표준 10 5 2 2 2" xfId="2865"/>
    <cellStyle name="표준 10 5 3 2 2" xfId="2866"/>
    <cellStyle name="표준 10 5 4 2 2" xfId="2867"/>
    <cellStyle name="표준 10 5 5 2" xfId="2868"/>
    <cellStyle name="표준 10 6 2 2 2" xfId="2869"/>
    <cellStyle name="표준 10 6 3 2 2" xfId="2870"/>
    <cellStyle name="표준 10 6 4 2 2" xfId="2871"/>
    <cellStyle name="표준 10 6 5 2" xfId="2872"/>
    <cellStyle name="표준 10 7 2 2 2" xfId="2873"/>
    <cellStyle name="표준 10 7 3 2 2" xfId="2874"/>
    <cellStyle name="표준 10 7 4 2 2" xfId="2875"/>
    <cellStyle name="표준 10 7 5 2" xfId="2876"/>
    <cellStyle name="표준 10 8 2 2 2" xfId="2877"/>
    <cellStyle name="표준 10 8 3 2 2" xfId="2878"/>
    <cellStyle name="표준 10 8 4 2 2" xfId="2879"/>
    <cellStyle name="표준 10 8 5 2" xfId="2880"/>
    <cellStyle name="표준 10 9 2 2 2" xfId="2881"/>
    <cellStyle name="표준 10 9 3 2 2" xfId="2882"/>
    <cellStyle name="표준 10 9 4 2" xfId="2883"/>
    <cellStyle name="표준 21 2 3 2" xfId="2884"/>
    <cellStyle name="표준 21 3 3 2" xfId="2885"/>
    <cellStyle name="표준 21 4 3 2" xfId="2886"/>
    <cellStyle name="표준 21 40 2" xfId="2887"/>
    <cellStyle name="표준 22 3 2" xfId="2888"/>
    <cellStyle name="표준 24" xfId="2889"/>
    <cellStyle name="표준 25" xfId="2890"/>
    <cellStyle name="표준 7 10 2 2 2" xfId="2891"/>
    <cellStyle name="표준 7 10 3 2 2" xfId="2892"/>
    <cellStyle name="표준 7 10 4 2 2" xfId="2893"/>
    <cellStyle name="표준 7 10 5 2" xfId="2894"/>
    <cellStyle name="표준 7 11 2 2 2" xfId="2895"/>
    <cellStyle name="표준 7 11 3 2 2" xfId="2896"/>
    <cellStyle name="표준 7 11 4 2 2" xfId="2897"/>
    <cellStyle name="표준 7 11 5 2" xfId="2898"/>
    <cellStyle name="표준 7 12 2 2 2" xfId="2899"/>
    <cellStyle name="표준 7 12 3 2 2" xfId="2900"/>
    <cellStyle name="표준 7 12 4 2 2" xfId="2901"/>
    <cellStyle name="표준 7 12 5 2" xfId="2902"/>
    <cellStyle name="표준 7 13 2 2 2" xfId="2903"/>
    <cellStyle name="표준 7 13 3 2 2" xfId="2904"/>
    <cellStyle name="표준 7 13 4 2 2" xfId="2905"/>
    <cellStyle name="표준 7 13 5 2" xfId="2906"/>
    <cellStyle name="표준 7 14 2 2 2" xfId="2907"/>
    <cellStyle name="표준 7 14 3 2 2" xfId="2908"/>
    <cellStyle name="표준 7 14 4 2 2" xfId="2909"/>
    <cellStyle name="표준 7 14 5 2" xfId="2910"/>
    <cellStyle name="표준 7 15 2 2 2" xfId="2911"/>
    <cellStyle name="표준 7 15 3 2 2" xfId="2912"/>
    <cellStyle name="표준 7 15 4 2" xfId="2913"/>
    <cellStyle name="표준 7 16 2 2" xfId="2914"/>
    <cellStyle name="표준 7 17 2 2" xfId="2915"/>
    <cellStyle name="표준 7 18 2 2" xfId="2916"/>
    <cellStyle name="표준 7 2 3 2 2" xfId="2917"/>
    <cellStyle name="표준 7 2 4 2 2" xfId="2918"/>
    <cellStyle name="표준 7 2 5 2 2" xfId="2919"/>
    <cellStyle name="표준 7 2 6 2" xfId="2920"/>
    <cellStyle name="표준 7 20 2" xfId="2921"/>
    <cellStyle name="표준 8 10 2 2" xfId="2922"/>
    <cellStyle name="표준 8 11 2 2" xfId="2923"/>
    <cellStyle name="표준 8 12 2 2" xfId="2924"/>
    <cellStyle name="표준 8 14 2" xfId="2925"/>
    <cellStyle name="표준 8 2 2 2 2" xfId="2926"/>
    <cellStyle name="표준 8 2 3 2 2" xfId="2927"/>
    <cellStyle name="표준 8 2 4 2 2" xfId="2928"/>
    <cellStyle name="표준 8 2 5 2" xfId="2929"/>
    <cellStyle name="표준 8 4 2 2 2" xfId="2930"/>
    <cellStyle name="표준 8 4 3 2 2" xfId="2931"/>
    <cellStyle name="표준 8 4 4 2 2" xfId="2932"/>
    <cellStyle name="표준 8 4 5 2" xfId="2933"/>
    <cellStyle name="표준 8 5 2 2 2" xfId="2934"/>
    <cellStyle name="표준 8 5 3 2 2" xfId="2935"/>
    <cellStyle name="표준 8 5 4 2 2" xfId="2936"/>
    <cellStyle name="표준 8 5 5 2" xfId="2937"/>
    <cellStyle name="표준 8 6 2 2 2" xfId="2938"/>
    <cellStyle name="표준 8 6 3 2 2" xfId="2939"/>
    <cellStyle name="표준 8 6 4 2 2" xfId="2940"/>
    <cellStyle name="표준 8 6 5 2" xfId="2941"/>
    <cellStyle name="표준 8 7 2 2 2" xfId="2942"/>
    <cellStyle name="표준 8 7 3 2 2" xfId="2943"/>
    <cellStyle name="표준 8 7 4 2 2" xfId="2944"/>
    <cellStyle name="표준 8 7 5 2" xfId="2945"/>
    <cellStyle name="표준 8 8 2 2 2" xfId="2946"/>
    <cellStyle name="표준 8 8 3 2 2" xfId="2947"/>
    <cellStyle name="표준 8 8 4 2 2" xfId="2948"/>
    <cellStyle name="표준 8 8 5 2" xfId="2949"/>
    <cellStyle name="표준 8 9 2 2 2" xfId="2950"/>
    <cellStyle name="표준 8 9 3 2 2" xfId="2951"/>
    <cellStyle name="표준 8 9 4 2" xfId="2952"/>
    <cellStyle name="표준 9 10 2 2" xfId="2953"/>
    <cellStyle name="표준 9 11 2 2" xfId="2954"/>
    <cellStyle name="표준 9 12 2 2" xfId="2955"/>
    <cellStyle name="표준 9 14 2" xfId="2956"/>
    <cellStyle name="표준 9 2 2 2 2" xfId="2957"/>
    <cellStyle name="표준 9 2 3 2 2" xfId="2958"/>
    <cellStyle name="표준 9 2 4 2 2" xfId="2959"/>
    <cellStyle name="표준 9 2 5 2" xfId="2960"/>
    <cellStyle name="표준 9 4 2 2 2" xfId="2961"/>
    <cellStyle name="표준 9 4 3 2 2" xfId="2962"/>
    <cellStyle name="표준 9 4 4 2 2" xfId="2963"/>
    <cellStyle name="표준 9 4 5 2" xfId="2964"/>
    <cellStyle name="표준 9 5 2 2 2" xfId="2965"/>
    <cellStyle name="표준 9 5 3 2 2" xfId="2966"/>
    <cellStyle name="표준 9 5 4 2 2" xfId="2967"/>
    <cellStyle name="표준 9 5 5 2" xfId="2968"/>
    <cellStyle name="표준 9 6 2 2 2" xfId="2969"/>
    <cellStyle name="표준 9 6 3 2 2" xfId="2970"/>
    <cellStyle name="표준 9 6 4 2 2" xfId="2971"/>
    <cellStyle name="표준 9 6 5 2" xfId="2972"/>
    <cellStyle name="표준 9 7 2 2 2" xfId="2973"/>
    <cellStyle name="표준 9 7 3 2 2" xfId="2974"/>
    <cellStyle name="표준 9 7 4 2 2" xfId="2975"/>
    <cellStyle name="표준 9 7 5 2" xfId="2976"/>
    <cellStyle name="표준 9 8 2 2 2" xfId="2977"/>
    <cellStyle name="표준 9 8 3 2 2" xfId="2978"/>
    <cellStyle name="표준 9 8 4 2 2" xfId="2979"/>
    <cellStyle name="표준 9 8 5 2" xfId="2980"/>
    <cellStyle name="표준 9 9 2 2 2" xfId="2981"/>
    <cellStyle name="표준 9 9 3 2 2" xfId="2982"/>
    <cellStyle name="표준 9 9 4 2" xfId="2983"/>
    <cellStyle name="표준 26" xfId="2984"/>
    <cellStyle name="표준 2 52" xfId="2985"/>
    <cellStyle name="쉼표 [0] 3 2" xfId="2986"/>
    <cellStyle name="표준 2 50" xfId="2987"/>
    <cellStyle name="표준 27" xfId="2988"/>
    <cellStyle name="하이퍼링크 2 3" xfId="2989"/>
    <cellStyle name="표준 3 31" xfId="2990"/>
    <cellStyle name="표준 4 16" xfId="2991"/>
    <cellStyle name="하이퍼링크 3 2" xfId="2992"/>
    <cellStyle name="쉼표 [0] 2 3" xfId="2993"/>
    <cellStyle name="통화 [0] 2" xfId="2994"/>
    <cellStyle name="표준 4 2 2 6" xfId="2995"/>
    <cellStyle name="쉼표 [0] 2 2" xfId="2996"/>
    <cellStyle name="통화 [0] 2 2" xfId="2997"/>
    <cellStyle name="표준 2 51" xfId="2998"/>
    <cellStyle name="표준 28" xfId="2999"/>
    <cellStyle name="표준 29" xfId="3000"/>
    <cellStyle name="표준 2 54" xfId="3001"/>
    <cellStyle name="표준 2 53" xfId="3002"/>
    <cellStyle name="표준 30" xfId="3003"/>
    <cellStyle name="표준 7 22" xfId="3004"/>
    <cellStyle name="표준 8 16" xfId="3005"/>
    <cellStyle name="표준 9 16" xfId="3006"/>
    <cellStyle name="표준 10 16" xfId="3007"/>
    <cellStyle name="표준 7 15 6" xfId="3008"/>
    <cellStyle name="표준 8 9 6" xfId="3009"/>
    <cellStyle name="표준 9 9 6" xfId="3010"/>
    <cellStyle name="표준 10 9 6" xfId="3011"/>
    <cellStyle name="표준 7 2 8" xfId="3012"/>
    <cellStyle name="표준 8 2 7" xfId="3013"/>
    <cellStyle name="표준 9 2 7" xfId="3014"/>
    <cellStyle name="표준 10 2 7" xfId="3015"/>
    <cellStyle name="표준 7 10 7" xfId="3016"/>
    <cellStyle name="표준 8 4 7" xfId="3017"/>
    <cellStyle name="표준 9 4 7" xfId="3018"/>
    <cellStyle name="표준 10 4 7" xfId="3019"/>
    <cellStyle name="표준 7 11 7" xfId="3020"/>
    <cellStyle name="표준 8 5 7" xfId="3021"/>
    <cellStyle name="표준 9 5 7" xfId="3022"/>
    <cellStyle name="표준 10 5 7" xfId="3023"/>
    <cellStyle name="표준 21 42" xfId="3024"/>
    <cellStyle name="표준 7 12 7" xfId="3025"/>
    <cellStyle name="표준 8 6 7" xfId="3026"/>
    <cellStyle name="표준 9 6 7" xfId="3027"/>
    <cellStyle name="표준 10 6 7" xfId="3028"/>
    <cellStyle name="표준 7 13 7" xfId="3029"/>
    <cellStyle name="표준 8 7 7" xfId="3030"/>
    <cellStyle name="표준 9 7 7" xfId="3031"/>
    <cellStyle name="표준 10 7 7" xfId="3032"/>
    <cellStyle name="표준 7 14 7" xfId="3033"/>
    <cellStyle name="표준 8 8 7" xfId="3034"/>
    <cellStyle name="표준 9 8 7" xfId="3035"/>
    <cellStyle name="표준 10 8 7" xfId="3036"/>
    <cellStyle name="표준 7 18 4" xfId="3037"/>
    <cellStyle name="표준 8 12 4" xfId="3038"/>
    <cellStyle name="표준 9 12 4" xfId="3039"/>
    <cellStyle name="표준 10 12 4" xfId="3040"/>
    <cellStyle name="표준 7 2 5 4" xfId="3041"/>
    <cellStyle name="표준 8 2 4 4" xfId="3042"/>
    <cellStyle name="표준 9 2 4 4" xfId="3043"/>
    <cellStyle name="표준 10 2 4 4" xfId="3044"/>
    <cellStyle name="표준 7 10 4 4" xfId="3045"/>
    <cellStyle name="표준 8 4 4 4" xfId="3046"/>
    <cellStyle name="표준 9 4 4 4" xfId="3047"/>
    <cellStyle name="표준 10 4 4 4" xfId="3048"/>
    <cellStyle name="표준 7 11 4 4" xfId="3049"/>
    <cellStyle name="표준 8 5 4 4" xfId="3050"/>
    <cellStyle name="표준 9 5 4 4" xfId="3051"/>
    <cellStyle name="표준 10 5 4 4" xfId="3052"/>
    <cellStyle name="표준 21 4 5" xfId="3053"/>
    <cellStyle name="표준 7 12 4 4" xfId="3054"/>
    <cellStyle name="표준 8 6 4 4" xfId="3055"/>
    <cellStyle name="표준 9 6 4 4" xfId="3056"/>
    <cellStyle name="표준 10 6 4 4" xfId="3057"/>
    <cellStyle name="표준 7 13 4 4" xfId="3058"/>
    <cellStyle name="표준 8 7 4 4" xfId="3059"/>
    <cellStyle name="표준 9 7 4 4" xfId="3060"/>
    <cellStyle name="표준 10 7 4 4" xfId="3061"/>
    <cellStyle name="표준 7 14 4 4" xfId="3062"/>
    <cellStyle name="표준 8 8 4 4" xfId="3063"/>
    <cellStyle name="표준 9 8 4 4" xfId="3064"/>
    <cellStyle name="표준 10 8 4 4" xfId="3065"/>
    <cellStyle name="표준 7 16 4" xfId="3066"/>
    <cellStyle name="표준 8 10 4" xfId="3067"/>
    <cellStyle name="표준 9 10 4" xfId="3068"/>
    <cellStyle name="표준 10 10 4" xfId="3069"/>
    <cellStyle name="표준 7 15 3 4" xfId="3070"/>
    <cellStyle name="표준 8 9 3 4" xfId="3071"/>
    <cellStyle name="표준 9 9 3 4" xfId="3072"/>
    <cellStyle name="표준 10 9 3 4" xfId="3073"/>
    <cellStyle name="표준 7 2 3 4" xfId="3074"/>
    <cellStyle name="표준 8 2 2 4" xfId="3075"/>
    <cellStyle name="표준 9 2 2 4" xfId="3076"/>
    <cellStyle name="표준 10 2 2 4" xfId="3077"/>
    <cellStyle name="표준 7 10 2 4" xfId="3078"/>
    <cellStyle name="표준 8 4 2 4" xfId="3079"/>
    <cellStyle name="표준 9 4 2 4" xfId="3080"/>
    <cellStyle name="표준 10 4 2 4" xfId="3081"/>
    <cellStyle name="표준 7 11 2 4" xfId="3082"/>
    <cellStyle name="표준 8 5 2 4" xfId="3083"/>
    <cellStyle name="표준 9 5 2 4" xfId="3084"/>
    <cellStyle name="표준 10 5 2 4" xfId="3085"/>
    <cellStyle name="표준 21 2 5" xfId="3086"/>
    <cellStyle name="표준 7 12 2 4" xfId="3087"/>
    <cellStyle name="표준 8 6 2 4" xfId="3088"/>
    <cellStyle name="표준 9 6 2 4" xfId="3089"/>
    <cellStyle name="표준 10 6 2 4" xfId="3090"/>
    <cellStyle name="표준 7 13 2 4" xfId="3091"/>
    <cellStyle name="표준 8 7 2 4" xfId="3092"/>
    <cellStyle name="표준 9 7 2 4" xfId="3093"/>
    <cellStyle name="표준 10 7 2 4" xfId="3094"/>
    <cellStyle name="표준 7 14 2 4" xfId="3095"/>
    <cellStyle name="표준 8 8 2 4" xfId="3096"/>
    <cellStyle name="표준 9 8 2 4" xfId="3097"/>
    <cellStyle name="표준 10 8 2 4" xfId="3098"/>
    <cellStyle name="표준 7 17 4" xfId="3099"/>
    <cellStyle name="표준 8 11 4" xfId="3100"/>
    <cellStyle name="표준 9 11 4" xfId="3101"/>
    <cellStyle name="표준 10 11 4" xfId="3102"/>
    <cellStyle name="표준 7 15 2 4" xfId="3103"/>
    <cellStyle name="표준 8 9 2 4" xfId="3104"/>
    <cellStyle name="표준 9 9 2 4" xfId="3105"/>
    <cellStyle name="표준 10 9 2 4" xfId="3106"/>
    <cellStyle name="표준 7 2 4 4" xfId="3107"/>
    <cellStyle name="표준 8 2 3 4" xfId="3108"/>
    <cellStyle name="표준 9 2 3 4" xfId="3109"/>
    <cellStyle name="표준 10 2 3 4" xfId="3110"/>
    <cellStyle name="표준 7 10 3 4" xfId="3111"/>
    <cellStyle name="표준 8 4 3 4" xfId="3112"/>
    <cellStyle name="표준 9 4 3 4" xfId="3113"/>
    <cellStyle name="표준 10 4 3 4" xfId="3114"/>
    <cellStyle name="표준 7 11 3 4" xfId="3115"/>
    <cellStyle name="표준 8 5 3 4" xfId="3116"/>
    <cellStyle name="표준 9 5 3 4" xfId="3117"/>
    <cellStyle name="표준 10 5 3 4" xfId="3118"/>
    <cellStyle name="표준 21 3 5" xfId="3119"/>
    <cellStyle name="표준 7 12 3 4" xfId="3120"/>
    <cellStyle name="표준 8 6 3 4" xfId="3121"/>
    <cellStyle name="표준 9 6 3 4" xfId="3122"/>
    <cellStyle name="표준 10 6 3 4" xfId="3123"/>
    <cellStyle name="표준 7 13 3 4" xfId="3124"/>
    <cellStyle name="표준 8 7 3 4" xfId="3125"/>
    <cellStyle name="표준 9 7 3 4" xfId="3126"/>
    <cellStyle name="표준 10 7 3 4" xfId="3127"/>
    <cellStyle name="표준 7 14 3 4" xfId="3128"/>
    <cellStyle name="표준 8 8 3 4" xfId="3129"/>
    <cellStyle name="표준 9 8 3 4" xfId="3130"/>
    <cellStyle name="표준 10 8 3 4" xfId="3131"/>
    <cellStyle name="표준 22 5" xfId="3132"/>
    <cellStyle name="표준 7 20 3" xfId="3133"/>
    <cellStyle name="표준 8 14 3" xfId="3134"/>
    <cellStyle name="표준 9 14 3" xfId="3135"/>
    <cellStyle name="표준 10 14 3" xfId="3136"/>
    <cellStyle name="표준 7 15 4 3" xfId="3137"/>
    <cellStyle name="표준 8 9 4 3" xfId="3138"/>
    <cellStyle name="표준 9 9 4 3" xfId="3139"/>
    <cellStyle name="표준 10 9 4 3" xfId="3140"/>
    <cellStyle name="표준 7 2 6 3" xfId="3141"/>
    <cellStyle name="표준 8 2 5 3" xfId="3142"/>
    <cellStyle name="표준 9 2 5 3" xfId="3143"/>
    <cellStyle name="표준 10 2 5 3" xfId="3144"/>
    <cellStyle name="표준 7 10 5 3" xfId="3145"/>
    <cellStyle name="표준 8 4 5 3" xfId="3146"/>
    <cellStyle name="표준 9 4 5 3" xfId="3147"/>
    <cellStyle name="표준 10 4 5 3" xfId="3148"/>
    <cellStyle name="표준 7 11 5 3" xfId="3149"/>
    <cellStyle name="표준 8 5 5 3" xfId="3150"/>
    <cellStyle name="표준 9 5 5 3" xfId="3151"/>
    <cellStyle name="표준 10 5 5 3" xfId="3152"/>
    <cellStyle name="표준 21 40 3" xfId="3153"/>
    <cellStyle name="표준 7 12 5 3" xfId="3154"/>
    <cellStyle name="표준 8 6 5 3" xfId="3155"/>
    <cellStyle name="표준 9 6 5 3" xfId="3156"/>
    <cellStyle name="표준 10 6 5 3" xfId="3157"/>
    <cellStyle name="표준 7 13 5 3" xfId="3158"/>
    <cellStyle name="표준 8 7 5 3" xfId="3159"/>
    <cellStyle name="표준 9 7 5 3" xfId="3160"/>
    <cellStyle name="표준 10 7 5 3" xfId="3161"/>
    <cellStyle name="표준 7 14 5 3" xfId="3162"/>
    <cellStyle name="표준 8 8 5 3" xfId="3163"/>
    <cellStyle name="표준 9 8 5 3" xfId="3164"/>
    <cellStyle name="표준 10 8 5 3" xfId="3165"/>
    <cellStyle name="표준 7 18 2 3" xfId="3166"/>
    <cellStyle name="표준 8 12 2 3" xfId="3167"/>
    <cellStyle name="표준 9 12 2 3" xfId="3168"/>
    <cellStyle name="표준 10 12 2 3" xfId="3169"/>
    <cellStyle name="표준 7 2 5 2 3" xfId="3170"/>
    <cellStyle name="표준 8 2 4 2 3" xfId="3171"/>
    <cellStyle name="표준 9 2 4 2 3" xfId="3172"/>
    <cellStyle name="표준 10 2 4 2 3" xfId="3173"/>
    <cellStyle name="표준 7 10 4 2 3" xfId="3174"/>
    <cellStyle name="표준 8 4 4 2 3" xfId="3175"/>
    <cellStyle name="표준 9 4 4 2 3" xfId="3176"/>
    <cellStyle name="표준 10 4 4 2 3" xfId="3177"/>
    <cellStyle name="표준 7 11 4 2 3" xfId="3178"/>
    <cellStyle name="표준 8 5 4 2 3" xfId="3179"/>
    <cellStyle name="표준 9 5 4 2 3" xfId="3180"/>
    <cellStyle name="표준 10 5 4 2 3" xfId="3181"/>
    <cellStyle name="표준 21 4 3 3" xfId="3182"/>
    <cellStyle name="표준 7 12 4 2 3" xfId="3183"/>
    <cellStyle name="표준 8 6 4 2 3" xfId="3184"/>
    <cellStyle name="표준 9 6 4 2 3" xfId="3185"/>
    <cellStyle name="표준 10 6 4 2 3" xfId="3186"/>
    <cellStyle name="표준 7 13 4 2 3" xfId="3187"/>
    <cellStyle name="표준 8 7 4 2 3" xfId="3188"/>
    <cellStyle name="표준 9 7 4 2 3" xfId="3189"/>
    <cellStyle name="표준 10 7 4 2 3" xfId="3190"/>
    <cellStyle name="표준 7 14 4 2 3" xfId="3191"/>
    <cellStyle name="표준 8 8 4 2 3" xfId="3192"/>
    <cellStyle name="표준 9 8 4 2 3" xfId="3193"/>
    <cellStyle name="표준 10 8 4 2 3" xfId="3194"/>
    <cellStyle name="표준 7 16 2 3" xfId="3195"/>
    <cellStyle name="표준 8 10 2 3" xfId="3196"/>
    <cellStyle name="표준 9 10 2 3" xfId="3197"/>
    <cellStyle name="표준 10 10 2 3" xfId="3198"/>
    <cellStyle name="표준 7 15 3 2 3" xfId="3199"/>
    <cellStyle name="표준 8 9 3 2 3" xfId="3200"/>
    <cellStyle name="표준 9 9 3 2 3" xfId="3201"/>
    <cellStyle name="표준 10 9 3 2 3" xfId="3202"/>
    <cellStyle name="표준 7 2 3 2 3" xfId="3203"/>
    <cellStyle name="표준 8 2 2 2 3" xfId="3204"/>
    <cellStyle name="표준 9 2 2 2 3" xfId="3205"/>
    <cellStyle name="표준 10 2 2 2 3" xfId="3206"/>
    <cellStyle name="표준 7 10 2 2 3" xfId="3207"/>
    <cellStyle name="표준 8 4 2 2 3" xfId="3208"/>
    <cellStyle name="표준 9 4 2 2 3" xfId="3209"/>
    <cellStyle name="표준 10 4 2 2 3" xfId="3210"/>
    <cellStyle name="표준 7 11 2 2 3" xfId="3211"/>
    <cellStyle name="표준 8 5 2 2 3" xfId="3212"/>
    <cellStyle name="표준 9 5 2 2 3" xfId="3213"/>
    <cellStyle name="표준 10 5 2 2 3" xfId="3214"/>
    <cellStyle name="표준 21 2 3 3" xfId="3215"/>
    <cellStyle name="표준 7 12 2 2 3" xfId="3216"/>
    <cellStyle name="표준 8 6 2 2 3" xfId="3217"/>
    <cellStyle name="표준 9 6 2 2 3" xfId="3218"/>
    <cellStyle name="표준 10 6 2 2 3" xfId="3219"/>
    <cellStyle name="표준 7 13 2 2 3" xfId="3220"/>
    <cellStyle name="표준 8 7 2 2 3" xfId="3221"/>
    <cellStyle name="표준 9 7 2 2 3" xfId="3222"/>
    <cellStyle name="표준 10 7 2 2 3" xfId="3223"/>
    <cellStyle name="표준 7 14 2 2 3" xfId="3224"/>
    <cellStyle name="표준 8 8 2 2 3" xfId="3225"/>
    <cellStyle name="표준 9 8 2 2 3" xfId="3226"/>
    <cellStyle name="표준 10 8 2 2 3" xfId="3227"/>
    <cellStyle name="표준 7 17 2 3" xfId="3228"/>
    <cellStyle name="표준 8 11 2 3" xfId="3229"/>
    <cellStyle name="표준 9 11 2 3" xfId="3230"/>
    <cellStyle name="표준 10 11 2 3" xfId="3231"/>
    <cellStyle name="표준 7 15 2 2 3" xfId="3232"/>
    <cellStyle name="표준 8 9 2 2 3" xfId="3233"/>
    <cellStyle name="표준 9 9 2 2 3" xfId="3234"/>
    <cellStyle name="표준 10 9 2 2 3" xfId="3235"/>
    <cellStyle name="표준 7 2 4 2 3" xfId="3236"/>
    <cellStyle name="표준 8 2 3 2 3" xfId="3237"/>
    <cellStyle name="표준 9 2 3 2 3" xfId="3238"/>
    <cellStyle name="표준 10 2 3 2 3" xfId="3239"/>
    <cellStyle name="표준 7 10 3 2 3" xfId="3240"/>
    <cellStyle name="표준 8 4 3 2 3" xfId="3241"/>
    <cellStyle name="표준 9 4 3 2 3" xfId="3242"/>
    <cellStyle name="표준 10 4 3 2 3" xfId="3243"/>
    <cellStyle name="표준 7 11 3 2 3" xfId="3244"/>
    <cellStyle name="표준 8 5 3 2 3" xfId="3245"/>
    <cellStyle name="표준 9 5 3 2 3" xfId="3246"/>
    <cellStyle name="표준 10 5 3 2 3" xfId="3247"/>
    <cellStyle name="표준 21 3 3 3" xfId="3248"/>
    <cellStyle name="표준 7 12 3 2 3" xfId="3249"/>
    <cellStyle name="표준 8 6 3 2 3" xfId="3250"/>
    <cellStyle name="표준 9 6 3 2 3" xfId="3251"/>
    <cellStyle name="표준 10 6 3 2 3" xfId="3252"/>
    <cellStyle name="표준 7 13 3 2 3" xfId="3253"/>
    <cellStyle name="표준 8 7 3 2 3" xfId="3254"/>
    <cellStyle name="표준 9 7 3 2 3" xfId="3255"/>
    <cellStyle name="표준 10 7 3 2 3" xfId="3256"/>
    <cellStyle name="표준 7 14 3 2 3" xfId="3257"/>
    <cellStyle name="표준 8 8 3 2 3" xfId="3258"/>
    <cellStyle name="표준 9 8 3 2 3" xfId="3259"/>
    <cellStyle name="표준 10 8 3 2 3" xfId="3260"/>
    <cellStyle name="표준 22 3 3" xfId="3261"/>
    <cellStyle name="표준 7 21 2" xfId="3262"/>
    <cellStyle name="표준 8 15 2" xfId="3263"/>
    <cellStyle name="표준 9 15 2" xfId="3264"/>
    <cellStyle name="표준 10 15 2" xfId="3265"/>
    <cellStyle name="표준 7 15 5 2" xfId="3266"/>
    <cellStyle name="표준 8 9 5 2" xfId="3267"/>
    <cellStyle name="표준 9 9 5 2" xfId="3268"/>
    <cellStyle name="표준 10 9 5 2" xfId="3269"/>
    <cellStyle name="표준 7 2 7 2" xfId="3270"/>
    <cellStyle name="표준 8 2 6 2" xfId="3271"/>
    <cellStyle name="표준 9 2 6 2" xfId="3272"/>
    <cellStyle name="표준 10 2 6 2" xfId="3273"/>
    <cellStyle name="표준 7 10 6 2" xfId="3274"/>
    <cellStyle name="표준 8 4 6 2" xfId="3275"/>
    <cellStyle name="표준 9 4 6 2" xfId="3276"/>
    <cellStyle name="표준 10 4 6 2" xfId="3277"/>
    <cellStyle name="표준 7 11 6 2" xfId="3278"/>
    <cellStyle name="표준 8 5 6 2" xfId="3279"/>
    <cellStyle name="표준 9 5 6 2" xfId="3280"/>
    <cellStyle name="표준 10 5 6 2" xfId="3281"/>
    <cellStyle name="표준 21 41 2" xfId="3282"/>
    <cellStyle name="표준 7 12 6 2" xfId="3283"/>
    <cellStyle name="표준 8 6 6 2" xfId="3284"/>
    <cellStyle name="표준 9 6 6 2" xfId="3285"/>
    <cellStyle name="표준 10 6 6 2" xfId="3286"/>
    <cellStyle name="표준 7 13 6 2" xfId="3287"/>
    <cellStyle name="표준 8 7 6 2" xfId="3288"/>
    <cellStyle name="표준 9 7 6 2" xfId="3289"/>
    <cellStyle name="표준 10 7 6 2" xfId="3290"/>
    <cellStyle name="표준 7 14 6 2" xfId="3291"/>
    <cellStyle name="표준 8 8 6 2" xfId="3292"/>
    <cellStyle name="표준 9 8 6 2" xfId="3293"/>
    <cellStyle name="표준 10 8 6 2" xfId="3294"/>
    <cellStyle name="표준 7 18 3 2" xfId="3295"/>
    <cellStyle name="표준 8 12 3 2" xfId="3296"/>
    <cellStyle name="표준 9 12 3 2" xfId="3297"/>
    <cellStyle name="표준 10 12 3 2" xfId="3298"/>
    <cellStyle name="표준 7 2 5 3 2" xfId="3299"/>
    <cellStyle name="표준 8 2 4 3 2" xfId="3300"/>
    <cellStyle name="표준 9 2 4 3 2" xfId="3301"/>
    <cellStyle name="표준 10 2 4 3 2" xfId="3302"/>
    <cellStyle name="표준 7 10 4 3 2" xfId="3303"/>
    <cellStyle name="표준 8 4 4 3 2" xfId="3304"/>
    <cellStyle name="표준 9 4 4 3 2" xfId="3305"/>
    <cellStyle name="표준 10 4 4 3 2" xfId="3306"/>
    <cellStyle name="표준 7 11 4 3 2" xfId="3307"/>
    <cellStyle name="표준 8 5 4 3 2" xfId="3308"/>
    <cellStyle name="표준 9 5 4 3 2" xfId="3309"/>
    <cellStyle name="표준 10 5 4 3 2" xfId="3310"/>
    <cellStyle name="표준 21 4 4 2" xfId="3311"/>
    <cellStyle name="표준 7 12 4 3 2" xfId="3312"/>
    <cellStyle name="표준 8 6 4 3 2" xfId="3313"/>
    <cellStyle name="표준 9 6 4 3 2" xfId="3314"/>
    <cellStyle name="표준 10 6 4 3 2" xfId="3315"/>
    <cellStyle name="표준 7 13 4 3 2" xfId="3316"/>
    <cellStyle name="표준 8 7 4 3 2" xfId="3317"/>
    <cellStyle name="표준 9 7 4 3 2" xfId="3318"/>
    <cellStyle name="표준 10 7 4 3 2" xfId="3319"/>
    <cellStyle name="표준 7 14 4 3 2" xfId="3320"/>
    <cellStyle name="표준 8 8 4 3 2" xfId="3321"/>
    <cellStyle name="표준 9 8 4 3 2" xfId="3322"/>
    <cellStyle name="표준 10 8 4 3 2" xfId="3323"/>
    <cellStyle name="표준 7 16 3 2" xfId="3324"/>
    <cellStyle name="표준 8 10 3 2" xfId="3325"/>
    <cellStyle name="표준 9 10 3 2" xfId="3326"/>
    <cellStyle name="표준 10 10 3 2" xfId="3327"/>
    <cellStyle name="표준 7 15 3 3 2" xfId="3328"/>
    <cellStyle name="표준 8 9 3 3 2" xfId="3329"/>
    <cellStyle name="표준 9 9 3 3 2" xfId="3330"/>
    <cellStyle name="표준 10 9 3 3 2" xfId="3331"/>
    <cellStyle name="표준 7 2 3 3 2" xfId="3332"/>
    <cellStyle name="표준 8 2 2 3 2" xfId="3333"/>
    <cellStyle name="표준 9 2 2 3 2" xfId="3334"/>
    <cellStyle name="표준 10 2 2 3 2" xfId="3335"/>
    <cellStyle name="표준 7 10 2 3 2" xfId="3336"/>
    <cellStyle name="표준 8 4 2 3 2" xfId="3337"/>
    <cellStyle name="표준 9 4 2 3 2" xfId="3338"/>
    <cellStyle name="표준 10 4 2 3 2" xfId="3339"/>
    <cellStyle name="표준 7 11 2 3 2" xfId="3340"/>
    <cellStyle name="표준 8 5 2 3 2" xfId="3341"/>
    <cellStyle name="표준 9 5 2 3 2" xfId="3342"/>
    <cellStyle name="표준 10 5 2 3 2" xfId="3343"/>
    <cellStyle name="표준 21 2 4 2" xfId="3344"/>
    <cellStyle name="표준 7 12 2 3 2" xfId="3345"/>
    <cellStyle name="표준 8 6 2 3 2" xfId="3346"/>
    <cellStyle name="표준 9 6 2 3 2" xfId="3347"/>
    <cellStyle name="표준 10 6 2 3 2" xfId="3348"/>
    <cellStyle name="표준 7 13 2 3 2" xfId="3349"/>
    <cellStyle name="표준 8 7 2 3 2" xfId="3350"/>
    <cellStyle name="표준 9 7 2 3 2" xfId="3351"/>
    <cellStyle name="표준 10 7 2 3 2" xfId="3352"/>
    <cellStyle name="표준 7 14 2 3 2" xfId="3353"/>
    <cellStyle name="표준 8 8 2 3 2" xfId="3354"/>
    <cellStyle name="표준 9 8 2 3 2" xfId="3355"/>
    <cellStyle name="표준 10 8 2 3 2" xfId="3356"/>
    <cellStyle name="표준 7 17 3 2" xfId="3357"/>
    <cellStyle name="표준 8 11 3 2" xfId="3358"/>
    <cellStyle name="표준 9 11 3 2" xfId="3359"/>
    <cellStyle name="표준 10 11 3 2" xfId="3360"/>
    <cellStyle name="표준 7 15 2 3 2" xfId="3361"/>
    <cellStyle name="표준 8 9 2 3 2" xfId="3362"/>
    <cellStyle name="표준 9 9 2 3 2" xfId="3363"/>
    <cellStyle name="표준 10 9 2 3 2" xfId="3364"/>
    <cellStyle name="표준 7 2 4 3 2" xfId="3365"/>
    <cellStyle name="표준 8 2 3 3 2" xfId="3366"/>
    <cellStyle name="표준 9 2 3 3 2" xfId="3367"/>
    <cellStyle name="표준 10 2 3 3 2" xfId="3368"/>
    <cellStyle name="표준 7 10 3 3 2" xfId="3369"/>
    <cellStyle name="표준 8 4 3 3 2" xfId="3370"/>
    <cellStyle name="표준 9 4 3 3 2" xfId="3371"/>
    <cellStyle name="표준 10 4 3 3 2" xfId="3372"/>
    <cellStyle name="표준 7 11 3 3 2" xfId="3373"/>
    <cellStyle name="표준 8 5 3 3 2" xfId="3374"/>
    <cellStyle name="표준 9 5 3 3 2" xfId="3375"/>
    <cellStyle name="표준 10 5 3 3 2" xfId="3376"/>
    <cellStyle name="표준 21 3 4 2" xfId="3377"/>
    <cellStyle name="표준 7 12 3 3 2" xfId="3378"/>
    <cellStyle name="표준 8 6 3 3 2" xfId="3379"/>
    <cellStyle name="표준 9 6 3 3 2" xfId="3380"/>
    <cellStyle name="표준 10 6 3 3 2" xfId="3381"/>
    <cellStyle name="표준 7 13 3 3 2" xfId="3382"/>
    <cellStyle name="표준 8 7 3 3 2" xfId="3383"/>
    <cellStyle name="표준 9 7 3 3 2" xfId="3384"/>
    <cellStyle name="표준 10 7 3 3 2" xfId="3385"/>
    <cellStyle name="표준 7 14 3 3 2" xfId="3386"/>
    <cellStyle name="표준 8 8 3 3 2" xfId="3387"/>
    <cellStyle name="표준 9 8 3 3 2" xfId="3388"/>
    <cellStyle name="표준 10 8 3 3 2" xfId="3389"/>
    <cellStyle name="표준 22 4 2" xfId="3390"/>
    <cellStyle name="표준 10 10 2 2 2" xfId="3391"/>
    <cellStyle name="표준 10 11 2 2 2" xfId="3392"/>
    <cellStyle name="표준 10 12 2 2 2" xfId="3393"/>
    <cellStyle name="표준 10 14 2 2" xfId="3394"/>
    <cellStyle name="표준 10 2 2 2 2 2" xfId="3395"/>
    <cellStyle name="표준 10 2 3 2 2 2" xfId="3396"/>
    <cellStyle name="표준 10 2 4 2 2 2" xfId="3397"/>
    <cellStyle name="표준 10 2 5 2 2" xfId="3398"/>
    <cellStyle name="표준 10 4 2 2 2 2" xfId="3399"/>
    <cellStyle name="표준 10 4 3 2 2 2" xfId="3400"/>
    <cellStyle name="표준 10 4 4 2 2 2" xfId="3401"/>
    <cellStyle name="표준 10 4 5 2 2" xfId="3402"/>
    <cellStyle name="표준 10 5 2 2 2 2" xfId="3403"/>
    <cellStyle name="표준 10 5 3 2 2 2" xfId="3404"/>
    <cellStyle name="표준 10 5 4 2 2 2" xfId="3405"/>
    <cellStyle name="표준 10 5 5 2 2" xfId="3406"/>
    <cellStyle name="표준 10 6 2 2 2 2" xfId="3407"/>
    <cellStyle name="표준 10 6 3 2 2 2" xfId="3408"/>
    <cellStyle name="표준 10 6 4 2 2 2" xfId="3409"/>
    <cellStyle name="표준 10 6 5 2 2" xfId="3410"/>
    <cellStyle name="표준 10 7 2 2 2 2" xfId="3411"/>
    <cellStyle name="표준 10 7 3 2 2 2" xfId="3412"/>
    <cellStyle name="표준 10 7 4 2 2 2" xfId="3413"/>
    <cellStyle name="표준 10 7 5 2 2" xfId="3414"/>
    <cellStyle name="표준 10 8 2 2 2 2" xfId="3415"/>
    <cellStyle name="표준 10 8 3 2 2 2" xfId="3416"/>
    <cellStyle name="표준 10 8 4 2 2 2" xfId="3417"/>
    <cellStyle name="표준 10 8 5 2 2" xfId="3418"/>
    <cellStyle name="표준 10 9 2 2 2 2" xfId="3419"/>
    <cellStyle name="표준 10 9 3 2 2 2" xfId="3420"/>
    <cellStyle name="표준 10 9 4 2 2" xfId="3421"/>
    <cellStyle name="표준 21 2 3 2 2" xfId="3422"/>
    <cellStyle name="표준 21 3 3 2 2" xfId="3423"/>
    <cellStyle name="표준 21 4 3 2 2" xfId="3424"/>
    <cellStyle name="표준 21 40 2 2" xfId="3425"/>
    <cellStyle name="표준 22 3 2 2" xfId="3426"/>
    <cellStyle name="표준 24 40" xfId="3427"/>
    <cellStyle name="표준 25 24" xfId="3428"/>
    <cellStyle name="표준 7 10 2 2 2 2" xfId="3429"/>
    <cellStyle name="표준 7 10 3 2 2 2" xfId="3430"/>
    <cellStyle name="표준 7 10 4 2 2 2" xfId="3431"/>
    <cellStyle name="표준 7 10 5 2 2" xfId="3432"/>
    <cellStyle name="표준 7 11 2 2 2 2" xfId="3433"/>
    <cellStyle name="표준 7 11 3 2 2 2" xfId="3434"/>
    <cellStyle name="표준 7 11 4 2 2 2" xfId="3435"/>
    <cellStyle name="표준 7 11 5 2 2" xfId="3436"/>
    <cellStyle name="표준 7 12 2 2 2 2" xfId="3437"/>
    <cellStyle name="표준 7 12 3 2 2 2" xfId="3438"/>
    <cellStyle name="표준 7 12 4 2 2 2" xfId="3439"/>
    <cellStyle name="표준 7 12 5 2 2" xfId="3440"/>
    <cellStyle name="표준 7 13 2 2 2 2" xfId="3441"/>
    <cellStyle name="표준 7 13 3 2 2 2" xfId="3442"/>
    <cellStyle name="표준 7 13 4 2 2 2" xfId="3443"/>
    <cellStyle name="표준 7 13 5 2 2" xfId="3444"/>
    <cellStyle name="표준 7 14 2 2 2 2" xfId="3445"/>
    <cellStyle name="표준 7 14 3 2 2 2" xfId="3446"/>
    <cellStyle name="표준 7 14 4 2 2 2" xfId="3447"/>
    <cellStyle name="표준 7 14 5 2 2" xfId="3448"/>
    <cellStyle name="표준 7 15 2 2 2 2" xfId="3449"/>
    <cellStyle name="표준 7 15 3 2 2 2" xfId="3450"/>
    <cellStyle name="표준 7 15 4 2 2" xfId="3451"/>
    <cellStyle name="표준 7 16 2 2 2" xfId="3452"/>
    <cellStyle name="표준 7 17 2 2 2" xfId="3453"/>
    <cellStyle name="표준 7 18 2 2 2" xfId="3454"/>
    <cellStyle name="표준 7 2 3 2 2 2" xfId="3455"/>
    <cellStyle name="표준 7 2 4 2 2 2" xfId="3456"/>
    <cellStyle name="표준 7 2 5 2 2 2" xfId="3457"/>
    <cellStyle name="표준 7 2 6 2 2" xfId="3458"/>
    <cellStyle name="표준 7 20 2 2" xfId="3459"/>
    <cellStyle name="표준 8 10 2 2 2" xfId="3460"/>
    <cellStyle name="표준 8 11 2 2 2" xfId="3461"/>
    <cellStyle name="표준 8 12 2 2 2" xfId="3462"/>
    <cellStyle name="표준 8 14 2 2" xfId="3463"/>
    <cellStyle name="표준 8 2 2 2 2 2" xfId="3464"/>
    <cellStyle name="표준 8 2 3 2 2 2" xfId="3465"/>
    <cellStyle name="표준 8 2 4 2 2 2" xfId="3466"/>
    <cellStyle name="표준 8 2 5 2 2" xfId="3467"/>
    <cellStyle name="표준 8 4 2 2 2 2" xfId="3468"/>
    <cellStyle name="표준 8 4 3 2 2 2" xfId="3469"/>
    <cellStyle name="표준 8 4 4 2 2 2" xfId="3470"/>
    <cellStyle name="표준 8 4 5 2 2" xfId="3471"/>
    <cellStyle name="표준 8 5 2 2 2 2" xfId="3472"/>
    <cellStyle name="표준 8 5 3 2 2 2" xfId="3473"/>
    <cellStyle name="표준 8 5 4 2 2 2" xfId="3474"/>
    <cellStyle name="표준 8 5 5 2 2" xfId="3475"/>
    <cellStyle name="표준 8 6 2 2 2 2" xfId="3476"/>
    <cellStyle name="표준 8 6 3 2 2 2" xfId="3477"/>
    <cellStyle name="표준 8 6 4 2 2 2" xfId="3478"/>
    <cellStyle name="표준 8 6 5 2 2" xfId="3479"/>
    <cellStyle name="표준 8 7 2 2 2 2" xfId="3480"/>
    <cellStyle name="표준 8 7 3 2 2 2" xfId="3481"/>
    <cellStyle name="표준 8 7 4 2 2 2" xfId="3482"/>
    <cellStyle name="표준 8 7 5 2 2" xfId="3483"/>
    <cellStyle name="표준 8 8 2 2 2 2" xfId="3484"/>
    <cellStyle name="표준 8 8 3 2 2 2" xfId="3485"/>
    <cellStyle name="표준 8 8 4 2 2 2" xfId="3486"/>
    <cellStyle name="표준 8 8 5 2 2" xfId="3487"/>
    <cellStyle name="표준 8 9 2 2 2 2" xfId="3488"/>
    <cellStyle name="표준 8 9 3 2 2 2" xfId="3489"/>
    <cellStyle name="표준 8 9 4 2 2" xfId="3490"/>
    <cellStyle name="표준 9 10 2 2 2" xfId="3491"/>
    <cellStyle name="표준 9 11 2 2 2" xfId="3492"/>
    <cellStyle name="표준 9 12 2 2 2" xfId="3493"/>
    <cellStyle name="표준 9 14 2 2" xfId="3494"/>
    <cellStyle name="표준 9 2 2 2 2 2" xfId="3495"/>
    <cellStyle name="표준 9 2 3 2 2 2" xfId="3496"/>
    <cellStyle name="표준 9 2 4 2 2 2" xfId="3497"/>
    <cellStyle name="표준 9 2 5 2 2" xfId="3498"/>
    <cellStyle name="표준 9 4 2 2 2 2" xfId="3499"/>
    <cellStyle name="표준 9 4 3 2 2 2" xfId="3500"/>
    <cellStyle name="표준 9 4 4 2 2 2" xfId="3501"/>
    <cellStyle name="표준 9 4 5 2 2" xfId="3502"/>
    <cellStyle name="표준 9 5 2 2 2 2" xfId="3503"/>
    <cellStyle name="표준 9 5 3 2 2 2" xfId="3504"/>
    <cellStyle name="표준 9 5 4 2 2 2" xfId="3505"/>
    <cellStyle name="표준 9 5 5 2 2" xfId="3506"/>
    <cellStyle name="표준 9 6 2 2 2 2" xfId="3507"/>
    <cellStyle name="표준 9 6 3 2 2 2" xfId="3508"/>
    <cellStyle name="표준 9 6 4 2 2 2" xfId="3509"/>
    <cellStyle name="표준 9 6 5 2 2" xfId="3510"/>
    <cellStyle name="표준 9 7 2 2 2 2" xfId="3511"/>
    <cellStyle name="표준 9 7 3 2 2 2" xfId="3512"/>
    <cellStyle name="표준 9 7 4 2 2 2" xfId="3513"/>
    <cellStyle name="표준 9 7 5 2 2" xfId="3514"/>
    <cellStyle name="표준 9 8 2 2 2 2" xfId="3515"/>
    <cellStyle name="표준 9 8 3 2 2 2" xfId="3516"/>
    <cellStyle name="표준 9 8 4 2 2 2" xfId="3517"/>
    <cellStyle name="표준 9 8 5 2 2" xfId="3518"/>
    <cellStyle name="표준 9 9 2 2 2 2" xfId="3519"/>
    <cellStyle name="표준 9 9 3 2 2 2" xfId="3520"/>
    <cellStyle name="표준 9 9 4 2 2" xfId="3521"/>
    <cellStyle name="표준 7 23" xfId="3522"/>
    <cellStyle name="표준 8 17" xfId="3523"/>
    <cellStyle name="표준 9 17" xfId="3524"/>
    <cellStyle name="표준 10 17" xfId="3525"/>
    <cellStyle name="표준 7 15 7" xfId="3526"/>
    <cellStyle name="표준 8 9 7" xfId="3527"/>
    <cellStyle name="표준 9 9 7" xfId="3528"/>
    <cellStyle name="표준 10 9 7" xfId="3529"/>
    <cellStyle name="표준 7 2 9" xfId="3530"/>
    <cellStyle name="표준 8 2 8" xfId="3531"/>
    <cellStyle name="표준 9 2 8" xfId="3532"/>
    <cellStyle name="표준 10 2 8" xfId="3533"/>
    <cellStyle name="표준 7 10 8" xfId="3534"/>
    <cellStyle name="표준 8 4 8" xfId="3535"/>
    <cellStyle name="표준 9 4 8" xfId="3536"/>
    <cellStyle name="표준 10 4 8" xfId="3537"/>
    <cellStyle name="표준 7 11 8" xfId="3538"/>
    <cellStyle name="표준 8 5 8" xfId="3539"/>
    <cellStyle name="표준 9 5 8" xfId="3540"/>
    <cellStyle name="표준 10 5 8" xfId="3541"/>
    <cellStyle name="표준 21 43" xfId="3542"/>
    <cellStyle name="표준 7 12 8" xfId="3543"/>
    <cellStyle name="표준 8 6 8" xfId="3544"/>
    <cellStyle name="표준 9 6 8" xfId="3545"/>
    <cellStyle name="표준 10 6 8" xfId="3546"/>
    <cellStyle name="표준 7 13 8" xfId="3547"/>
    <cellStyle name="표준 8 7 8" xfId="3548"/>
    <cellStyle name="표준 9 7 8" xfId="3549"/>
    <cellStyle name="표준 10 7 8" xfId="3550"/>
    <cellStyle name="표준 7 14 8" xfId="3551"/>
    <cellStyle name="표준 8 8 8" xfId="3552"/>
    <cellStyle name="표준 9 8 8" xfId="3553"/>
    <cellStyle name="표준 10 8 8" xfId="3554"/>
    <cellStyle name="표준 7 18 5" xfId="3555"/>
    <cellStyle name="표준 8 12 5" xfId="3556"/>
    <cellStyle name="표준 9 12 5" xfId="3557"/>
    <cellStyle name="표준 10 12 5" xfId="3558"/>
    <cellStyle name="표준 7 2 5 5" xfId="3559"/>
    <cellStyle name="표준 8 2 4 5" xfId="3560"/>
    <cellStyle name="표준 9 2 4 5" xfId="3561"/>
    <cellStyle name="표준 10 2 4 5" xfId="3562"/>
    <cellStyle name="표준 7 10 4 5" xfId="3563"/>
    <cellStyle name="표준 8 4 4 5" xfId="3564"/>
    <cellStyle name="표준 9 4 4 5" xfId="3565"/>
    <cellStyle name="표준 10 4 4 5" xfId="3566"/>
    <cellStyle name="표준 7 11 4 5" xfId="3567"/>
    <cellStyle name="표준 8 5 4 5" xfId="3568"/>
    <cellStyle name="표준 9 5 4 5" xfId="3569"/>
    <cellStyle name="표준 10 5 4 5" xfId="3570"/>
    <cellStyle name="표준 21 4 6" xfId="3571"/>
    <cellStyle name="표준 7 12 4 5" xfId="3572"/>
    <cellStyle name="표준 8 6 4 5" xfId="3573"/>
    <cellStyle name="표준 9 6 4 5" xfId="3574"/>
    <cellStyle name="표준 10 6 4 5" xfId="3575"/>
    <cellStyle name="표준 7 13 4 5" xfId="3576"/>
    <cellStyle name="표준 8 7 4 5" xfId="3577"/>
    <cellStyle name="표준 9 7 4 5" xfId="3578"/>
    <cellStyle name="표준 10 7 4 5" xfId="3579"/>
    <cellStyle name="표준 7 14 4 5" xfId="3580"/>
    <cellStyle name="표준 8 8 4 5" xfId="3581"/>
    <cellStyle name="표준 9 8 4 5" xfId="3582"/>
    <cellStyle name="표준 10 8 4 5" xfId="3583"/>
    <cellStyle name="표준 7 16 5" xfId="3584"/>
    <cellStyle name="표준 8 10 5" xfId="3585"/>
    <cellStyle name="표준 9 10 5" xfId="3586"/>
    <cellStyle name="표준 10 10 5" xfId="3587"/>
    <cellStyle name="표준 7 15 3 5" xfId="3588"/>
    <cellStyle name="표준 8 9 3 5" xfId="3589"/>
    <cellStyle name="표준 9 9 3 5" xfId="3590"/>
    <cellStyle name="표준 10 9 3 5" xfId="3591"/>
    <cellStyle name="표준 7 2 3 5" xfId="3592"/>
    <cellStyle name="표준 8 2 2 5" xfId="3593"/>
    <cellStyle name="표준 9 2 2 5" xfId="3594"/>
    <cellStyle name="표준 10 2 2 5" xfId="3595"/>
    <cellStyle name="표준 7 10 2 5" xfId="3596"/>
    <cellStyle name="표준 8 4 2 5" xfId="3597"/>
    <cellStyle name="표준 9 4 2 5" xfId="3598"/>
    <cellStyle name="표준 10 4 2 5" xfId="3599"/>
    <cellStyle name="표준 7 11 2 5" xfId="3600"/>
    <cellStyle name="표준 8 5 2 5" xfId="3601"/>
    <cellStyle name="표준 9 5 2 5" xfId="3602"/>
    <cellStyle name="표준 10 5 2 5" xfId="3603"/>
    <cellStyle name="표준 21 2 6" xfId="3604"/>
    <cellStyle name="표준 7 12 2 5" xfId="3605"/>
    <cellStyle name="표준 8 6 2 5" xfId="3606"/>
    <cellStyle name="표준 9 6 2 5" xfId="3607"/>
    <cellStyle name="표준 10 6 2 5" xfId="3608"/>
    <cellStyle name="표준 7 13 2 5" xfId="3609"/>
    <cellStyle name="표준 8 7 2 5" xfId="3610"/>
    <cellStyle name="표준 9 7 2 5" xfId="3611"/>
    <cellStyle name="표준 10 7 2 5" xfId="3612"/>
    <cellStyle name="표준 7 14 2 5" xfId="3613"/>
    <cellStyle name="표준 8 8 2 5" xfId="3614"/>
    <cellStyle name="표준 9 8 2 5" xfId="3615"/>
    <cellStyle name="표준 10 8 2 5" xfId="3616"/>
    <cellStyle name="표준 7 17 5" xfId="3617"/>
    <cellStyle name="표준 8 11 5" xfId="3618"/>
    <cellStyle name="표준 9 11 5" xfId="3619"/>
    <cellStyle name="표준 10 11 5" xfId="3620"/>
    <cellStyle name="표준 7 15 2 5" xfId="3621"/>
    <cellStyle name="표준 8 9 2 5" xfId="3622"/>
    <cellStyle name="표준 9 9 2 5" xfId="3623"/>
    <cellStyle name="표준 10 9 2 5" xfId="3624"/>
    <cellStyle name="표준 7 2 4 5" xfId="3625"/>
    <cellStyle name="표준 8 2 3 5" xfId="3626"/>
    <cellStyle name="표준 9 2 3 5" xfId="3627"/>
    <cellStyle name="표준 10 2 3 5" xfId="3628"/>
    <cellStyle name="표준 7 10 3 5" xfId="3629"/>
    <cellStyle name="표준 8 4 3 5" xfId="3630"/>
    <cellStyle name="표준 9 4 3 5" xfId="3631"/>
    <cellStyle name="표준 10 4 3 5" xfId="3632"/>
    <cellStyle name="표준 7 11 3 5" xfId="3633"/>
    <cellStyle name="표준 8 5 3 5" xfId="3634"/>
    <cellStyle name="표준 9 5 3 5" xfId="3635"/>
    <cellStyle name="표준 10 5 3 5" xfId="3636"/>
    <cellStyle name="표준 21 3 6" xfId="3637"/>
    <cellStyle name="표준 7 12 3 5" xfId="3638"/>
    <cellStyle name="표준 8 6 3 5" xfId="3639"/>
    <cellStyle name="표준 9 6 3 5" xfId="3640"/>
    <cellStyle name="표준 10 6 3 5" xfId="3641"/>
    <cellStyle name="표준 7 13 3 5" xfId="3642"/>
    <cellStyle name="표준 8 7 3 5" xfId="3643"/>
    <cellStyle name="표준 9 7 3 5" xfId="3644"/>
    <cellStyle name="표준 10 7 3 5" xfId="3645"/>
    <cellStyle name="표준 7 14 3 5" xfId="3646"/>
    <cellStyle name="표준 8 8 3 5" xfId="3647"/>
    <cellStyle name="표준 9 8 3 5" xfId="3648"/>
    <cellStyle name="표준 10 8 3 5" xfId="3649"/>
    <cellStyle name="표준 22 6" xfId="3650"/>
    <cellStyle name="표준 7 20 4" xfId="3651"/>
    <cellStyle name="표준 8 14 4" xfId="3652"/>
    <cellStyle name="표준 9 14 4" xfId="3653"/>
    <cellStyle name="표준 10 14 4" xfId="3654"/>
    <cellStyle name="표준 7 15 4 4" xfId="3655"/>
    <cellStyle name="표준 8 9 4 4" xfId="3656"/>
    <cellStyle name="표준 9 9 4 4" xfId="3657"/>
    <cellStyle name="표준 10 9 4 4" xfId="3658"/>
    <cellStyle name="표준 7 2 6 4" xfId="3659"/>
    <cellStyle name="표준 8 2 5 4" xfId="3660"/>
    <cellStyle name="표준 9 2 5 4" xfId="3661"/>
    <cellStyle name="표준 10 2 5 4" xfId="3662"/>
    <cellStyle name="표준 7 10 5 4" xfId="3663"/>
    <cellStyle name="표준 8 4 5 4" xfId="3664"/>
    <cellStyle name="표준 9 4 5 4" xfId="3665"/>
    <cellStyle name="표준 10 4 5 4" xfId="3666"/>
    <cellStyle name="표준 7 11 5 4" xfId="3667"/>
    <cellStyle name="표준 8 5 5 4" xfId="3668"/>
    <cellStyle name="표준 9 5 5 4" xfId="3669"/>
    <cellStyle name="표준 10 5 5 4" xfId="3670"/>
    <cellStyle name="표준 21 40 4" xfId="3671"/>
    <cellStyle name="표준 7 12 5 4" xfId="3672"/>
    <cellStyle name="표준 8 6 5 4" xfId="3673"/>
    <cellStyle name="표준 9 6 5 4" xfId="3674"/>
    <cellStyle name="표준 10 6 5 4" xfId="3675"/>
    <cellStyle name="표준 7 13 5 4" xfId="3676"/>
    <cellStyle name="표준 8 7 5 4" xfId="3677"/>
    <cellStyle name="표준 9 7 5 4" xfId="3678"/>
    <cellStyle name="표준 10 7 5 4" xfId="3679"/>
    <cellStyle name="표준 7 14 5 4" xfId="3680"/>
    <cellStyle name="표준 8 8 5 4" xfId="3681"/>
    <cellStyle name="표준 9 8 5 4" xfId="3682"/>
    <cellStyle name="표준 10 8 5 4" xfId="3683"/>
    <cellStyle name="표준 7 18 2 4" xfId="3684"/>
    <cellStyle name="표준 8 12 2 4" xfId="3685"/>
    <cellStyle name="표준 9 12 2 4" xfId="3686"/>
    <cellStyle name="표준 10 12 2 4" xfId="3687"/>
    <cellStyle name="표준 7 2 5 2 4" xfId="3688"/>
    <cellStyle name="표준 8 2 4 2 4" xfId="3689"/>
    <cellStyle name="표준 9 2 4 2 4" xfId="3690"/>
    <cellStyle name="표준 10 2 4 2 4" xfId="3691"/>
    <cellStyle name="표준 7 10 4 2 4" xfId="3692"/>
    <cellStyle name="표준 8 4 4 2 4" xfId="3693"/>
    <cellStyle name="표준 9 4 4 2 4" xfId="3694"/>
    <cellStyle name="표준 10 4 4 2 4" xfId="3695"/>
    <cellStyle name="표준 7 11 4 2 4" xfId="3696"/>
    <cellStyle name="표준 8 5 4 2 4" xfId="3697"/>
    <cellStyle name="표준 9 5 4 2 4" xfId="3698"/>
    <cellStyle name="표준 10 5 4 2 4" xfId="3699"/>
    <cellStyle name="표준 21 4 3 4" xfId="3700"/>
    <cellStyle name="표준 7 12 4 2 4" xfId="3701"/>
    <cellStyle name="표준 8 6 4 2 4" xfId="3702"/>
    <cellStyle name="표준 9 6 4 2 4" xfId="3703"/>
    <cellStyle name="표준 10 6 4 2 4" xfId="3704"/>
    <cellStyle name="표준 7 13 4 2 4" xfId="3705"/>
    <cellStyle name="표준 8 7 4 2 4" xfId="3706"/>
    <cellStyle name="표준 9 7 4 2 4" xfId="3707"/>
    <cellStyle name="표준 10 7 4 2 4" xfId="3708"/>
    <cellStyle name="표준 7 14 4 2 4" xfId="3709"/>
    <cellStyle name="표준 8 8 4 2 4" xfId="3710"/>
    <cellStyle name="표준 9 8 4 2 4" xfId="3711"/>
    <cellStyle name="표준 10 8 4 2 4" xfId="3712"/>
    <cellStyle name="표준 7 16 2 4" xfId="3713"/>
    <cellStyle name="표준 8 10 2 4" xfId="3714"/>
    <cellStyle name="표준 9 10 2 4" xfId="3715"/>
    <cellStyle name="표준 10 10 2 4" xfId="3716"/>
    <cellStyle name="표준 7 15 3 2 4" xfId="3717"/>
    <cellStyle name="표준 8 9 3 2 4" xfId="3718"/>
    <cellStyle name="표준 9 9 3 2 4" xfId="3719"/>
    <cellStyle name="표준 10 9 3 2 4" xfId="3720"/>
    <cellStyle name="표준 7 2 3 2 4" xfId="3721"/>
    <cellStyle name="표준 8 2 2 2 4" xfId="3722"/>
    <cellStyle name="표준 9 2 2 2 4" xfId="3723"/>
    <cellStyle name="표준 10 2 2 2 4" xfId="3724"/>
    <cellStyle name="표준 7 10 2 2 4" xfId="3725"/>
    <cellStyle name="표준 8 4 2 2 4" xfId="3726"/>
    <cellStyle name="표준 9 4 2 2 4" xfId="3727"/>
    <cellStyle name="표준 10 4 2 2 4" xfId="3728"/>
    <cellStyle name="표준 7 11 2 2 4" xfId="3729"/>
    <cellStyle name="표준 8 5 2 2 4" xfId="3730"/>
    <cellStyle name="표준 9 5 2 2 4" xfId="3731"/>
    <cellStyle name="표준 10 5 2 2 4" xfId="3732"/>
    <cellStyle name="표준 21 2 3 4" xfId="3733"/>
    <cellStyle name="표준 7 12 2 2 4" xfId="3734"/>
    <cellStyle name="표준 8 6 2 2 4" xfId="3735"/>
    <cellStyle name="표준 9 6 2 2 4" xfId="3736"/>
    <cellStyle name="표준 10 6 2 2 4" xfId="3737"/>
    <cellStyle name="표준 7 13 2 2 4" xfId="3738"/>
    <cellStyle name="표준 8 7 2 2 4" xfId="3739"/>
    <cellStyle name="표준 9 7 2 2 4" xfId="3740"/>
    <cellStyle name="표준 10 7 2 2 4" xfId="3741"/>
    <cellStyle name="표준 7 14 2 2 4" xfId="3742"/>
    <cellStyle name="표준 8 8 2 2 4" xfId="3743"/>
    <cellStyle name="표준 9 8 2 2 4" xfId="3744"/>
    <cellStyle name="표준 10 8 2 2 4" xfId="3745"/>
    <cellStyle name="표준 7 17 2 4" xfId="3746"/>
    <cellStyle name="표준 8 11 2 4" xfId="3747"/>
    <cellStyle name="표준 9 11 2 4" xfId="3748"/>
    <cellStyle name="표준 10 11 2 4" xfId="3749"/>
    <cellStyle name="표준 7 15 2 2 4" xfId="3750"/>
    <cellStyle name="표준 8 9 2 2 4" xfId="3751"/>
    <cellStyle name="표준 9 9 2 2 4" xfId="3752"/>
    <cellStyle name="표준 10 9 2 2 4" xfId="3753"/>
    <cellStyle name="표준 7 2 4 2 4" xfId="3754"/>
    <cellStyle name="표준 8 2 3 2 4" xfId="3755"/>
    <cellStyle name="표준 9 2 3 2 4" xfId="3756"/>
    <cellStyle name="표준 10 2 3 2 4" xfId="3757"/>
    <cellStyle name="표준 7 10 3 2 4" xfId="3758"/>
    <cellStyle name="표준 8 4 3 2 4" xfId="3759"/>
    <cellStyle name="표준 9 4 3 2 4" xfId="3760"/>
    <cellStyle name="표준 10 4 3 2 4" xfId="3761"/>
    <cellStyle name="표준 7 11 3 2 4" xfId="3762"/>
    <cellStyle name="표준 8 5 3 2 4" xfId="3763"/>
    <cellStyle name="표준 9 5 3 2 4" xfId="3764"/>
    <cellStyle name="표준 10 5 3 2 4" xfId="3765"/>
    <cellStyle name="표준 21 3 3 4" xfId="3766"/>
    <cellStyle name="표준 7 12 3 2 4" xfId="3767"/>
    <cellStyle name="표준 8 6 3 2 4" xfId="3768"/>
    <cellStyle name="표준 9 6 3 2 4" xfId="3769"/>
    <cellStyle name="표준 10 6 3 2 4" xfId="3770"/>
    <cellStyle name="표준 7 13 3 2 4" xfId="3771"/>
    <cellStyle name="표준 8 7 3 2 4" xfId="3772"/>
    <cellStyle name="표준 9 7 3 2 4" xfId="3773"/>
    <cellStyle name="표준 10 7 3 2 4" xfId="3774"/>
    <cellStyle name="표준 7 14 3 2 4" xfId="3775"/>
    <cellStyle name="표준 8 8 3 2 4" xfId="3776"/>
    <cellStyle name="표준 9 8 3 2 4" xfId="3777"/>
    <cellStyle name="표준 10 8 3 2 4" xfId="3778"/>
    <cellStyle name="표준 22 3 4" xfId="3779"/>
    <cellStyle name="표준 7 21 3" xfId="3780"/>
    <cellStyle name="표준 8 15 3" xfId="3781"/>
    <cellStyle name="표준 9 15 3" xfId="3782"/>
    <cellStyle name="표준 10 15 3" xfId="3783"/>
    <cellStyle name="표준 7 15 5 3" xfId="3784"/>
    <cellStyle name="표준 8 9 5 3" xfId="3785"/>
    <cellStyle name="표준 9 9 5 3" xfId="3786"/>
    <cellStyle name="표준 10 9 5 3" xfId="3787"/>
    <cellStyle name="표준 7 2 7 3" xfId="3788"/>
    <cellStyle name="표준 8 2 6 3" xfId="3789"/>
    <cellStyle name="표준 9 2 6 3" xfId="3790"/>
    <cellStyle name="표준 10 2 6 3" xfId="3791"/>
    <cellStyle name="표준 7 10 6 3" xfId="3792"/>
    <cellStyle name="표준 8 4 6 3" xfId="3793"/>
    <cellStyle name="표준 9 4 6 3" xfId="3794"/>
    <cellStyle name="표준 10 4 6 3" xfId="3795"/>
    <cellStyle name="표준 7 11 6 3" xfId="3796"/>
    <cellStyle name="표준 8 5 6 3" xfId="3797"/>
    <cellStyle name="표준 9 5 6 3" xfId="3798"/>
    <cellStyle name="표준 10 5 6 3" xfId="3799"/>
    <cellStyle name="표준 21 41 3" xfId="3800"/>
    <cellStyle name="표준 7 12 6 3" xfId="3801"/>
    <cellStyle name="표준 8 6 6 3" xfId="3802"/>
    <cellStyle name="표준 9 6 6 3" xfId="3803"/>
    <cellStyle name="표준 10 6 6 3" xfId="3804"/>
    <cellStyle name="표준 7 13 6 3" xfId="3805"/>
    <cellStyle name="표준 8 7 6 3" xfId="3806"/>
    <cellStyle name="표준 9 7 6 3" xfId="3807"/>
    <cellStyle name="표준 10 7 6 3" xfId="3808"/>
    <cellStyle name="표준 7 14 6 3" xfId="3809"/>
    <cellStyle name="표준 8 8 6 3" xfId="3810"/>
    <cellStyle name="표준 9 8 6 3" xfId="3811"/>
    <cellStyle name="표준 10 8 6 3" xfId="3812"/>
    <cellStyle name="표준 7 18 3 3" xfId="3813"/>
    <cellStyle name="표준 8 12 3 3" xfId="3814"/>
    <cellStyle name="표준 9 12 3 3" xfId="3815"/>
    <cellStyle name="표준 10 12 3 3" xfId="3816"/>
    <cellStyle name="표준 7 2 5 3 3" xfId="3817"/>
    <cellStyle name="표준 8 2 4 3 3" xfId="3818"/>
    <cellStyle name="표준 9 2 4 3 3" xfId="3819"/>
    <cellStyle name="표준 10 2 4 3 3" xfId="3820"/>
    <cellStyle name="표준 7 10 4 3 3" xfId="3821"/>
    <cellStyle name="표준 8 4 4 3 3" xfId="3822"/>
    <cellStyle name="표준 9 4 4 3 3" xfId="3823"/>
    <cellStyle name="표준 10 4 4 3 3" xfId="3824"/>
    <cellStyle name="표준 7 11 4 3 3" xfId="3825"/>
    <cellStyle name="표준 8 5 4 3 3" xfId="3826"/>
    <cellStyle name="표준 9 5 4 3 3" xfId="3827"/>
    <cellStyle name="표준 10 5 4 3 3" xfId="3828"/>
    <cellStyle name="표준 21 4 4 3" xfId="3829"/>
    <cellStyle name="표준 7 12 4 3 3" xfId="3830"/>
    <cellStyle name="표준 8 6 4 3 3" xfId="3831"/>
    <cellStyle name="표준 9 6 4 3 3" xfId="3832"/>
    <cellStyle name="표준 10 6 4 3 3" xfId="3833"/>
    <cellStyle name="표준 7 13 4 3 3" xfId="3834"/>
    <cellStyle name="표준 8 7 4 3 3" xfId="3835"/>
    <cellStyle name="표준 9 7 4 3 3" xfId="3836"/>
    <cellStyle name="표준 10 7 4 3 3" xfId="3837"/>
    <cellStyle name="표준 7 14 4 3 3" xfId="3838"/>
    <cellStyle name="표준 8 8 4 3 3" xfId="3839"/>
    <cellStyle name="표준 9 8 4 3 3" xfId="3840"/>
    <cellStyle name="표준 10 8 4 3 3" xfId="3841"/>
    <cellStyle name="표준 7 16 3 3" xfId="3842"/>
    <cellStyle name="표준 8 10 3 3" xfId="3843"/>
    <cellStyle name="표준 9 10 3 3" xfId="3844"/>
    <cellStyle name="표준 10 10 3 3" xfId="3845"/>
    <cellStyle name="표준 7 15 3 3 3" xfId="3846"/>
    <cellStyle name="표준 8 9 3 3 3" xfId="3847"/>
    <cellStyle name="표준 9 9 3 3 3" xfId="3848"/>
    <cellStyle name="표준 10 9 3 3 3" xfId="3849"/>
    <cellStyle name="표준 7 2 3 3 3" xfId="3850"/>
    <cellStyle name="표준 8 2 2 3 3" xfId="3851"/>
    <cellStyle name="표준 9 2 2 3 3" xfId="3852"/>
    <cellStyle name="표준 10 2 2 3 3" xfId="3853"/>
    <cellStyle name="표준 7 10 2 3 3" xfId="3854"/>
    <cellStyle name="표준 8 4 2 3 3" xfId="3855"/>
    <cellStyle name="표준 9 4 2 3 3" xfId="3856"/>
    <cellStyle name="표준 10 4 2 3 3" xfId="3857"/>
    <cellStyle name="표준 7 11 2 3 3" xfId="3858"/>
    <cellStyle name="표준 8 5 2 3 3" xfId="3859"/>
    <cellStyle name="표준 9 5 2 3 3" xfId="3860"/>
    <cellStyle name="표준 10 5 2 3 3" xfId="3861"/>
    <cellStyle name="표준 21 2 4 3" xfId="3862"/>
    <cellStyle name="표준 7 12 2 3 3" xfId="3863"/>
    <cellStyle name="표준 8 6 2 3 3" xfId="3864"/>
    <cellStyle name="표준 9 6 2 3 3" xfId="3865"/>
    <cellStyle name="표준 10 6 2 3 3" xfId="3866"/>
    <cellStyle name="표준 7 13 2 3 3" xfId="3867"/>
    <cellStyle name="표준 8 7 2 3 3" xfId="3868"/>
    <cellStyle name="표준 9 7 2 3 3" xfId="3869"/>
    <cellStyle name="표준 10 7 2 3 3" xfId="3870"/>
    <cellStyle name="표준 7 14 2 3 3" xfId="3871"/>
    <cellStyle name="표준 8 8 2 3 3" xfId="3872"/>
    <cellStyle name="표준 9 8 2 3 3" xfId="3873"/>
    <cellStyle name="표준 10 8 2 3 3" xfId="3874"/>
    <cellStyle name="표준 7 17 3 3" xfId="3875"/>
    <cellStyle name="표준 8 11 3 3" xfId="3876"/>
    <cellStyle name="표준 9 11 3 3" xfId="3877"/>
    <cellStyle name="표준 10 11 3 3" xfId="3878"/>
    <cellStyle name="표준 7 15 2 3 3" xfId="3879"/>
    <cellStyle name="표준 8 9 2 3 3" xfId="3880"/>
    <cellStyle name="표준 9 9 2 3 3" xfId="3881"/>
    <cellStyle name="표준 10 9 2 3 3" xfId="3882"/>
    <cellStyle name="표준 7 2 4 3 3" xfId="3883"/>
    <cellStyle name="표준 8 2 3 3 3" xfId="3884"/>
    <cellStyle name="표준 9 2 3 3 3" xfId="3885"/>
    <cellStyle name="표준 10 2 3 3 3" xfId="3886"/>
    <cellStyle name="표준 7 10 3 3 3" xfId="3887"/>
    <cellStyle name="표준 8 4 3 3 3" xfId="3888"/>
    <cellStyle name="표준 9 4 3 3 3" xfId="3889"/>
    <cellStyle name="표준 10 4 3 3 3" xfId="3890"/>
    <cellStyle name="표준 7 11 3 3 3" xfId="3891"/>
    <cellStyle name="표준 8 5 3 3 3" xfId="3892"/>
    <cellStyle name="표준 9 5 3 3 3" xfId="3893"/>
    <cellStyle name="표준 10 5 3 3 3" xfId="3894"/>
    <cellStyle name="표준 21 3 4 3" xfId="3895"/>
    <cellStyle name="표준 7 12 3 3 3" xfId="3896"/>
    <cellStyle name="표준 8 6 3 3 3" xfId="3897"/>
    <cellStyle name="표준 9 6 3 3 3" xfId="3898"/>
    <cellStyle name="표준 10 6 3 3 3" xfId="3899"/>
    <cellStyle name="표준 7 13 3 3 3" xfId="3900"/>
    <cellStyle name="표준 8 7 3 3 3" xfId="3901"/>
    <cellStyle name="표준 9 7 3 3 3" xfId="3902"/>
    <cellStyle name="표준 10 7 3 3 3" xfId="3903"/>
    <cellStyle name="표준 7 14 3 3 3" xfId="3904"/>
    <cellStyle name="표준 8 8 3 3 3" xfId="3905"/>
    <cellStyle name="표준 9 8 3 3 3" xfId="3906"/>
    <cellStyle name="표준 10 8 3 3 3" xfId="3907"/>
    <cellStyle name="표준 22 4 3" xfId="3908"/>
    <cellStyle name="표준 10 10 2 2 3" xfId="3909"/>
    <cellStyle name="표준 10 11 2 2 3" xfId="3910"/>
    <cellStyle name="표준 10 12 2 2 3" xfId="3911"/>
    <cellStyle name="표준 10 14 2 3" xfId="3912"/>
    <cellStyle name="표준 10 2 2 2 2 3" xfId="3913"/>
    <cellStyle name="표준 10 2 3 2 2 3" xfId="3914"/>
    <cellStyle name="표준 10 2 4 2 2 3" xfId="3915"/>
    <cellStyle name="표준 10 2 5 2 3" xfId="3916"/>
    <cellStyle name="표준 10 4 2 2 2 3" xfId="3917"/>
    <cellStyle name="표준 10 4 3 2 2 3" xfId="3918"/>
    <cellStyle name="표준 10 4 4 2 2 3" xfId="3919"/>
    <cellStyle name="표준 10 4 5 2 3" xfId="3920"/>
    <cellStyle name="표준 10 5 2 2 2 3" xfId="3921"/>
    <cellStyle name="표준 10 5 3 2 2 3" xfId="3922"/>
    <cellStyle name="표준 10 5 4 2 2 3" xfId="3923"/>
    <cellStyle name="표준 10 5 5 2 3" xfId="3924"/>
    <cellStyle name="표준 10 6 2 2 2 3" xfId="3925"/>
    <cellStyle name="표준 10 6 3 2 2 3" xfId="3926"/>
    <cellStyle name="표준 10 6 4 2 2 3" xfId="3927"/>
    <cellStyle name="표준 10 6 5 2 3" xfId="3928"/>
    <cellStyle name="표준 10 7 2 2 2 3" xfId="3929"/>
    <cellStyle name="표준 10 7 3 2 2 3" xfId="3930"/>
    <cellStyle name="표준 10 7 4 2 2 3" xfId="3931"/>
    <cellStyle name="표준 10 7 5 2 3" xfId="3932"/>
    <cellStyle name="표준 10 8 2 2 2 3" xfId="3933"/>
    <cellStyle name="표준 10 8 3 2 2 3" xfId="3934"/>
    <cellStyle name="표준 10 8 4 2 2 3" xfId="3935"/>
    <cellStyle name="표준 10 8 5 2 3" xfId="3936"/>
    <cellStyle name="표준 10 9 2 2 2 3" xfId="3937"/>
    <cellStyle name="표준 10 9 3 2 2 3" xfId="3938"/>
    <cellStyle name="표준 10 9 4 2 3" xfId="3939"/>
    <cellStyle name="표준 21 2 3 2 3" xfId="3940"/>
    <cellStyle name="표준 21 3 3 2 3" xfId="3941"/>
    <cellStyle name="표준 21 4 3 2 3" xfId="3942"/>
    <cellStyle name="표준 21 40 2 3" xfId="3943"/>
    <cellStyle name="표준 22 3 2 3" xfId="3944"/>
    <cellStyle name="표준 24 41" xfId="3945"/>
    <cellStyle name="표준 25 25" xfId="3946"/>
    <cellStyle name="표준 7 10 2 2 2 3" xfId="3947"/>
    <cellStyle name="표준 7 10 3 2 2 3" xfId="3948"/>
    <cellStyle name="표준 7 10 4 2 2 3" xfId="3949"/>
    <cellStyle name="표준 7 10 5 2 3" xfId="3950"/>
    <cellStyle name="표준 7 11 2 2 2 3" xfId="3951"/>
    <cellStyle name="표준 7 11 3 2 2 3" xfId="3952"/>
    <cellStyle name="표준 7 11 4 2 2 3" xfId="3953"/>
    <cellStyle name="표준 7 11 5 2 3" xfId="3954"/>
    <cellStyle name="표준 7 12 2 2 2 3" xfId="3955"/>
    <cellStyle name="표준 7 12 3 2 2 3" xfId="3956"/>
    <cellStyle name="표준 7 12 4 2 2 3" xfId="3957"/>
    <cellStyle name="표준 7 12 5 2 3" xfId="3958"/>
    <cellStyle name="표준 7 13 2 2 2 3" xfId="3959"/>
    <cellStyle name="표준 7 13 3 2 2 3" xfId="3960"/>
    <cellStyle name="표준 7 13 4 2 2 3" xfId="3961"/>
    <cellStyle name="표준 7 13 5 2 3" xfId="3962"/>
    <cellStyle name="표준 7 14 2 2 2 3" xfId="3963"/>
    <cellStyle name="표준 7 14 3 2 2 3" xfId="3964"/>
    <cellStyle name="표준 7 14 4 2 2 3" xfId="3965"/>
    <cellStyle name="표준 7 14 5 2 3" xfId="3966"/>
    <cellStyle name="표준 7 15 2 2 2 3" xfId="3967"/>
    <cellStyle name="표준 7 15 3 2 2 3" xfId="3968"/>
    <cellStyle name="표준 7 15 4 2 3" xfId="3969"/>
    <cellStyle name="표준 7 16 2 2 3" xfId="3970"/>
    <cellStyle name="표준 7 17 2 2 3" xfId="3971"/>
    <cellStyle name="표준 7 18 2 2 3" xfId="3972"/>
    <cellStyle name="표준 7 2 3 2 2 3" xfId="3973"/>
    <cellStyle name="표준 7 2 4 2 2 3" xfId="3974"/>
    <cellStyle name="표준 7 2 5 2 2 3" xfId="3975"/>
    <cellStyle name="표준 7 2 6 2 3" xfId="3976"/>
    <cellStyle name="표준 7 20 2 3" xfId="3977"/>
    <cellStyle name="표준 8 10 2 2 3" xfId="3978"/>
    <cellStyle name="표준 8 11 2 2 3" xfId="3979"/>
    <cellStyle name="표준 8 12 2 2 3" xfId="3980"/>
    <cellStyle name="표준 8 14 2 3" xfId="3981"/>
    <cellStyle name="표준 8 2 2 2 2 3" xfId="3982"/>
    <cellStyle name="표준 8 2 3 2 2 3" xfId="3983"/>
    <cellStyle name="표준 8 2 4 2 2 3" xfId="3984"/>
    <cellStyle name="표준 8 2 5 2 3" xfId="3985"/>
    <cellStyle name="표준 8 4 2 2 2 3" xfId="3986"/>
    <cellStyle name="표준 8 4 3 2 2 3" xfId="3987"/>
    <cellStyle name="표준 8 4 4 2 2 3" xfId="3988"/>
    <cellStyle name="표준 8 4 5 2 3" xfId="3989"/>
    <cellStyle name="표준 8 5 2 2 2 3" xfId="3990"/>
    <cellStyle name="표준 8 5 3 2 2 3" xfId="3991"/>
    <cellStyle name="표준 8 5 4 2 2 3" xfId="3992"/>
    <cellStyle name="표준 8 5 5 2 3" xfId="3993"/>
    <cellStyle name="표준 8 6 2 2 2 3" xfId="3994"/>
    <cellStyle name="표준 8 6 3 2 2 3" xfId="3995"/>
    <cellStyle name="표준 8 6 4 2 2 3" xfId="3996"/>
    <cellStyle name="표준 8 6 5 2 3" xfId="3997"/>
    <cellStyle name="표준 8 7 2 2 2 3" xfId="3998"/>
    <cellStyle name="표준 8 7 3 2 2 3" xfId="3999"/>
    <cellStyle name="표준 8 7 4 2 2 3" xfId="4000"/>
    <cellStyle name="표준 8 7 5 2 3" xfId="4001"/>
    <cellStyle name="표준 8 8 2 2 2 3" xfId="4002"/>
    <cellStyle name="표준 8 8 3 2 2 3" xfId="4003"/>
    <cellStyle name="표준 8 8 4 2 2 3" xfId="4004"/>
    <cellStyle name="표준 8 8 5 2 3" xfId="4005"/>
    <cellStyle name="표준 8 9 2 2 2 3" xfId="4006"/>
    <cellStyle name="표준 8 9 3 2 2 3" xfId="4007"/>
    <cellStyle name="표준 8 9 4 2 3" xfId="4008"/>
    <cellStyle name="표준 9 10 2 2 3" xfId="4009"/>
    <cellStyle name="표준 9 11 2 2 3" xfId="4010"/>
    <cellStyle name="표준 9 12 2 2 3" xfId="4011"/>
    <cellStyle name="표준 9 14 2 3" xfId="4012"/>
    <cellStyle name="표준 9 2 2 2 2 3" xfId="4013"/>
    <cellStyle name="표준 9 2 3 2 2 3" xfId="4014"/>
    <cellStyle name="표준 9 2 4 2 2 3" xfId="4015"/>
    <cellStyle name="표준 9 2 5 2 3" xfId="4016"/>
    <cellStyle name="표준 9 4 2 2 2 3" xfId="4017"/>
    <cellStyle name="표준 9 4 3 2 2 3" xfId="4018"/>
    <cellStyle name="표준 9 4 4 2 2 3" xfId="4019"/>
    <cellStyle name="표준 9 4 5 2 3" xfId="4020"/>
    <cellStyle name="표준 9 5 2 2 2 3" xfId="4021"/>
    <cellStyle name="표준 9 5 3 2 2 3" xfId="4022"/>
    <cellStyle name="표준 9 5 4 2 2 3" xfId="4023"/>
    <cellStyle name="표준 9 5 5 2 3" xfId="4024"/>
    <cellStyle name="표준 9 6 2 2 2 3" xfId="4025"/>
    <cellStyle name="표준 9 6 3 2 2 3" xfId="4026"/>
    <cellStyle name="표준 9 6 4 2 2 3" xfId="4027"/>
    <cellStyle name="표준 9 6 5 2 3" xfId="4028"/>
    <cellStyle name="표준 9 7 2 2 2 3" xfId="4029"/>
    <cellStyle name="표준 9 7 3 2 2 3" xfId="4030"/>
    <cellStyle name="표준 9 7 4 2 2 3" xfId="4031"/>
    <cellStyle name="표준 9 7 5 2 3" xfId="4032"/>
    <cellStyle name="표준 9 8 2 2 2 3" xfId="4033"/>
    <cellStyle name="표준 9 8 3 2 2 3" xfId="4034"/>
    <cellStyle name="표준 9 8 4 2 2 3" xfId="4035"/>
    <cellStyle name="표준 9 8 5 2 3" xfId="4036"/>
    <cellStyle name="표준 9 9 2 2 2 3" xfId="4037"/>
    <cellStyle name="표준 9 9 3 2 2 3" xfId="4038"/>
    <cellStyle name="표준 9 9 4 2 3" xfId="4039"/>
    <cellStyle name="표준 26 42" xfId="4040"/>
    <cellStyle name="표준 27 42" xfId="4041"/>
    <cellStyle name="표준 4 16 2" xfId="4042"/>
    <cellStyle name="쉼표 [0] 2 3 2" xfId="4043"/>
    <cellStyle name="통화 [0] 2 3" xfId="4044"/>
    <cellStyle name="표준 4 2 2 2 4" xfId="4045"/>
    <cellStyle name="쉼표 [0] 2 2 2" xfId="4046"/>
    <cellStyle name="통화 [0] 2 2 2" xfId="4047"/>
    <cellStyle name="표준 28 42" xfId="4048"/>
    <cellStyle name="표준 29 42" xfId="4049"/>
    <cellStyle name="표준 30 41" xfId="4050"/>
    <cellStyle name="표준 7 22 2" xfId="4051"/>
    <cellStyle name="표준 8 16 2" xfId="4052"/>
    <cellStyle name="표준 9 16 2" xfId="4053"/>
    <cellStyle name="표준 10 16 2" xfId="4054"/>
    <cellStyle name="표준 7 15 6 2" xfId="4055"/>
    <cellStyle name="표준 8 9 6 2" xfId="4056"/>
    <cellStyle name="표준 9 9 6 2" xfId="4057"/>
    <cellStyle name="표준 10 9 6 2" xfId="4058"/>
    <cellStyle name="표준 7 2 8 2" xfId="4059"/>
    <cellStyle name="표준 8 2 7 2" xfId="4060"/>
    <cellStyle name="표준 9 2 7 2" xfId="4061"/>
    <cellStyle name="표준 10 2 7 2" xfId="4062"/>
    <cellStyle name="표준 7 10 7 2" xfId="4063"/>
    <cellStyle name="표준 8 4 7 2" xfId="4064"/>
    <cellStyle name="표준 9 4 7 2" xfId="4065"/>
    <cellStyle name="표준 10 4 7 2" xfId="4066"/>
    <cellStyle name="표준 7 11 7 2" xfId="4067"/>
    <cellStyle name="표준 8 5 7 2" xfId="4068"/>
    <cellStyle name="표준 9 5 7 2" xfId="4069"/>
    <cellStyle name="표준 10 5 7 2" xfId="4070"/>
    <cellStyle name="표준 21 42 2" xfId="4071"/>
    <cellStyle name="표준 7 12 7 2" xfId="4072"/>
    <cellStyle name="표준 8 6 7 2" xfId="4073"/>
    <cellStyle name="표준 9 6 7 2" xfId="4074"/>
    <cellStyle name="표준 10 6 7 2" xfId="4075"/>
    <cellStyle name="표준 7 13 7 2" xfId="4076"/>
    <cellStyle name="표준 8 7 7 2" xfId="4077"/>
    <cellStyle name="표준 9 7 7 2" xfId="4078"/>
    <cellStyle name="표준 10 7 7 2" xfId="4079"/>
    <cellStyle name="표준 7 14 7 2" xfId="4080"/>
    <cellStyle name="표준 8 8 7 2" xfId="4081"/>
    <cellStyle name="표준 9 8 7 2" xfId="4082"/>
    <cellStyle name="표준 10 8 7 2" xfId="4083"/>
    <cellStyle name="표준 7 18 4 2" xfId="4084"/>
    <cellStyle name="표준 8 12 4 2" xfId="4085"/>
    <cellStyle name="표준 9 12 4 2" xfId="4086"/>
    <cellStyle name="표준 10 12 4 2" xfId="4087"/>
    <cellStyle name="표준 7 2 5 4 2" xfId="4088"/>
    <cellStyle name="표준 8 2 4 4 2" xfId="4089"/>
    <cellStyle name="표준 9 2 4 4 2" xfId="4090"/>
    <cellStyle name="표준 10 2 4 4 2" xfId="4091"/>
    <cellStyle name="표준 7 10 4 4 2" xfId="4092"/>
    <cellStyle name="표준 8 4 4 4 2" xfId="4093"/>
    <cellStyle name="표준 9 4 4 4 2" xfId="4094"/>
    <cellStyle name="표준 10 4 4 4 2" xfId="4095"/>
    <cellStyle name="표준 7 11 4 4 2" xfId="4096"/>
    <cellStyle name="표준 8 5 4 4 2" xfId="4097"/>
    <cellStyle name="표준 9 5 4 4 2" xfId="4098"/>
    <cellStyle name="표준 10 5 4 4 2" xfId="4099"/>
    <cellStyle name="표준 21 4 5 2" xfId="4100"/>
    <cellStyle name="표준 7 12 4 4 2" xfId="4101"/>
    <cellStyle name="표준 8 6 4 4 2" xfId="4102"/>
    <cellStyle name="표준 9 6 4 4 2" xfId="4103"/>
    <cellStyle name="표준 10 6 4 4 2" xfId="4104"/>
    <cellStyle name="표준 7 13 4 4 2" xfId="4105"/>
    <cellStyle name="표준 8 7 4 4 2" xfId="4106"/>
    <cellStyle name="표준 9 7 4 4 2" xfId="4107"/>
    <cellStyle name="표준 10 7 4 4 2" xfId="4108"/>
    <cellStyle name="표준 7 14 4 4 2" xfId="4109"/>
    <cellStyle name="표준 8 8 4 4 2" xfId="4110"/>
    <cellStyle name="표준 9 8 4 4 2" xfId="4111"/>
    <cellStyle name="표준 10 8 4 4 2" xfId="4112"/>
    <cellStyle name="표준 7 16 4 2" xfId="4113"/>
    <cellStyle name="표준 8 10 4 2" xfId="4114"/>
    <cellStyle name="표준 9 10 4 2" xfId="4115"/>
    <cellStyle name="표준 10 10 4 2" xfId="4116"/>
    <cellStyle name="표준 7 15 3 4 2" xfId="4117"/>
    <cellStyle name="표준 8 9 3 4 2" xfId="4118"/>
    <cellStyle name="표준 9 9 3 4 2" xfId="4119"/>
    <cellStyle name="표준 10 9 3 4 2" xfId="4120"/>
    <cellStyle name="표준 7 2 3 4 2" xfId="4121"/>
    <cellStyle name="표준 8 2 2 4 2" xfId="4122"/>
    <cellStyle name="표준 9 2 2 4 2" xfId="4123"/>
    <cellStyle name="표준 10 2 2 4 2" xfId="4124"/>
    <cellStyle name="표준 7 10 2 4 2" xfId="4125"/>
    <cellStyle name="표준 8 4 2 4 2" xfId="4126"/>
    <cellStyle name="표준 9 4 2 4 2" xfId="4127"/>
    <cellStyle name="표준 10 4 2 4 2" xfId="4128"/>
    <cellStyle name="표준 7 11 2 4 2" xfId="4129"/>
    <cellStyle name="표준 8 5 2 4 2" xfId="4130"/>
    <cellStyle name="표준 9 5 2 4 2" xfId="4131"/>
    <cellStyle name="표준 10 5 2 4 2" xfId="4132"/>
    <cellStyle name="표준 21 2 5 2" xfId="4133"/>
    <cellStyle name="표준 7 12 2 4 2" xfId="4134"/>
    <cellStyle name="표준 8 6 2 4 2" xfId="4135"/>
    <cellStyle name="표준 9 6 2 4 2" xfId="4136"/>
    <cellStyle name="표준 10 6 2 4 2" xfId="4137"/>
    <cellStyle name="표준 7 13 2 4 2" xfId="4138"/>
    <cellStyle name="표준 8 7 2 4 2" xfId="4139"/>
    <cellStyle name="표준 9 7 2 4 2" xfId="4140"/>
    <cellStyle name="표준 10 7 2 4 2" xfId="4141"/>
    <cellStyle name="표준 7 14 2 4 2" xfId="4142"/>
    <cellStyle name="표준 8 8 2 4 2" xfId="4143"/>
    <cellStyle name="표준 9 8 2 4 2" xfId="4144"/>
    <cellStyle name="표준 10 8 2 4 2" xfId="4145"/>
    <cellStyle name="표준 7 17 4 2" xfId="4146"/>
    <cellStyle name="표준 8 11 4 2" xfId="4147"/>
    <cellStyle name="표준 9 11 4 2" xfId="4148"/>
    <cellStyle name="표준 10 11 4 2" xfId="4149"/>
    <cellStyle name="표준 7 15 2 4 2" xfId="4150"/>
    <cellStyle name="표준 8 9 2 4 2" xfId="4151"/>
    <cellStyle name="표준 9 9 2 4 2" xfId="4152"/>
    <cellStyle name="표준 10 9 2 4 2" xfId="4153"/>
    <cellStyle name="표준 7 2 4 4 2" xfId="4154"/>
    <cellStyle name="표준 8 2 3 4 2" xfId="4155"/>
    <cellStyle name="표준 9 2 3 4 2" xfId="4156"/>
    <cellStyle name="표준 10 2 3 4 2" xfId="4157"/>
    <cellStyle name="표준 7 10 3 4 2" xfId="4158"/>
    <cellStyle name="표준 8 4 3 4 2" xfId="4159"/>
    <cellStyle name="표준 9 4 3 4 2" xfId="4160"/>
    <cellStyle name="표준 10 4 3 4 2" xfId="4161"/>
    <cellStyle name="표준 7 11 3 4 2" xfId="4162"/>
    <cellStyle name="표준 8 5 3 4 2" xfId="4163"/>
    <cellStyle name="표준 9 5 3 4 2" xfId="4164"/>
    <cellStyle name="표준 10 5 3 4 2" xfId="4165"/>
    <cellStyle name="표준 21 3 5 2" xfId="4166"/>
    <cellStyle name="표준 7 12 3 4 2" xfId="4167"/>
    <cellStyle name="표준 8 6 3 4 2" xfId="4168"/>
    <cellStyle name="표준 9 6 3 4 2" xfId="4169"/>
    <cellStyle name="표준 10 6 3 4 2" xfId="4170"/>
    <cellStyle name="표준 7 13 3 4 2" xfId="4171"/>
    <cellStyle name="표준 8 7 3 4 2" xfId="4172"/>
    <cellStyle name="표준 9 7 3 4 2" xfId="4173"/>
    <cellStyle name="표준 10 7 3 4 2" xfId="4174"/>
    <cellStyle name="표준 7 14 3 4 2" xfId="4175"/>
    <cellStyle name="표준 8 8 3 4 2" xfId="4176"/>
    <cellStyle name="표준 9 8 3 4 2" xfId="4177"/>
    <cellStyle name="표준 10 8 3 4 2" xfId="4178"/>
    <cellStyle name="표준 22 5 2" xfId="4179"/>
    <cellStyle name="표준 7 20 3 2" xfId="4180"/>
    <cellStyle name="표준 8 14 3 2" xfId="4181"/>
    <cellStyle name="표준 9 14 3 2" xfId="4182"/>
    <cellStyle name="표준 10 14 3 2" xfId="4183"/>
    <cellStyle name="표준 7 15 4 3 2" xfId="4184"/>
    <cellStyle name="표준 8 9 4 3 2" xfId="4185"/>
    <cellStyle name="표준 9 9 4 3 2" xfId="4186"/>
    <cellStyle name="표준 10 9 4 3 2" xfId="4187"/>
    <cellStyle name="표준 7 2 6 3 2" xfId="4188"/>
    <cellStyle name="표준 8 2 5 3 2" xfId="4189"/>
    <cellStyle name="표준 9 2 5 3 2" xfId="4190"/>
    <cellStyle name="표준 10 2 5 3 2" xfId="4191"/>
    <cellStyle name="표준 7 10 5 3 2" xfId="4192"/>
    <cellStyle name="표준 8 4 5 3 2" xfId="4193"/>
    <cellStyle name="표준 9 4 5 3 2" xfId="4194"/>
    <cellStyle name="표준 10 4 5 3 2" xfId="4195"/>
    <cellStyle name="표준 7 11 5 3 2" xfId="4196"/>
    <cellStyle name="표준 8 5 5 3 2" xfId="4197"/>
    <cellStyle name="표준 9 5 5 3 2" xfId="4198"/>
    <cellStyle name="표준 10 5 5 3 2" xfId="4199"/>
    <cellStyle name="표준 21 40 3 2" xfId="4200"/>
    <cellStyle name="표준 7 12 5 3 2" xfId="4201"/>
    <cellStyle name="표준 8 6 5 3 2" xfId="4202"/>
    <cellStyle name="표준 9 6 5 3 2" xfId="4203"/>
    <cellStyle name="표준 10 6 5 3 2" xfId="4204"/>
    <cellStyle name="표준 7 13 5 3 2" xfId="4205"/>
    <cellStyle name="표준 8 7 5 3 2" xfId="4206"/>
    <cellStyle name="표준 9 7 5 3 2" xfId="4207"/>
    <cellStyle name="표준 10 7 5 3 2" xfId="4208"/>
    <cellStyle name="표준 7 14 5 3 2" xfId="4209"/>
    <cellStyle name="표준 8 8 5 3 2" xfId="4210"/>
    <cellStyle name="표준 9 8 5 3 2" xfId="4211"/>
    <cellStyle name="표준 10 8 5 3 2" xfId="4212"/>
    <cellStyle name="표준 7 18 2 3 2" xfId="4213"/>
    <cellStyle name="표준 8 12 2 3 2" xfId="4214"/>
    <cellStyle name="표준 9 12 2 3 2" xfId="4215"/>
    <cellStyle name="표준 10 12 2 3 2" xfId="4216"/>
    <cellStyle name="표준 7 2 5 2 3 2" xfId="4217"/>
    <cellStyle name="표준 8 2 4 2 3 2" xfId="4218"/>
    <cellStyle name="표준 9 2 4 2 3 2" xfId="4219"/>
    <cellStyle name="표준 10 2 4 2 3 2" xfId="4220"/>
    <cellStyle name="표준 7 10 4 2 3 2" xfId="4221"/>
    <cellStyle name="표준 8 4 4 2 3 2" xfId="4222"/>
    <cellStyle name="표준 9 4 4 2 3 2" xfId="4223"/>
    <cellStyle name="표준 10 4 4 2 3 2" xfId="4224"/>
    <cellStyle name="표준 7 11 4 2 3 2" xfId="4225"/>
    <cellStyle name="표준 8 5 4 2 3 2" xfId="4226"/>
    <cellStyle name="표준 9 5 4 2 3 2" xfId="4227"/>
    <cellStyle name="표준 10 5 4 2 3 2" xfId="4228"/>
    <cellStyle name="표준 21 4 3 3 2" xfId="4229"/>
    <cellStyle name="표준 7 12 4 2 3 2" xfId="4230"/>
    <cellStyle name="표준 8 6 4 2 3 2" xfId="4231"/>
    <cellStyle name="표준 9 6 4 2 3 2" xfId="4232"/>
    <cellStyle name="표준 10 6 4 2 3 2" xfId="4233"/>
    <cellStyle name="표준 7 13 4 2 3 2" xfId="4234"/>
    <cellStyle name="표준 8 7 4 2 3 2" xfId="4235"/>
    <cellStyle name="표준 9 7 4 2 3 2" xfId="4236"/>
    <cellStyle name="표준 10 7 4 2 3 2" xfId="4237"/>
    <cellStyle name="표준 7 14 4 2 3 2" xfId="4238"/>
    <cellStyle name="표준 8 8 4 2 3 2" xfId="4239"/>
    <cellStyle name="표준 9 8 4 2 3 2" xfId="4240"/>
    <cellStyle name="표준 10 8 4 2 3 2" xfId="4241"/>
    <cellStyle name="표준 7 16 2 3 2" xfId="4242"/>
    <cellStyle name="표준 8 10 2 3 2" xfId="4243"/>
    <cellStyle name="표준 9 10 2 3 2" xfId="4244"/>
    <cellStyle name="표준 10 10 2 3 2" xfId="4245"/>
    <cellStyle name="표준 7 15 3 2 3 2" xfId="4246"/>
    <cellStyle name="표준 8 9 3 2 3 2" xfId="4247"/>
    <cellStyle name="표준 9 9 3 2 3 2" xfId="4248"/>
    <cellStyle name="표준 10 9 3 2 3 2" xfId="4249"/>
    <cellStyle name="표준 7 2 3 2 3 2" xfId="4250"/>
    <cellStyle name="표준 8 2 2 2 3 2" xfId="4251"/>
    <cellStyle name="표준 9 2 2 2 3 2" xfId="4252"/>
    <cellStyle name="표준 10 2 2 2 3 2" xfId="4253"/>
    <cellStyle name="표준 7 10 2 2 3 2" xfId="4254"/>
    <cellStyle name="표준 8 4 2 2 3 2" xfId="4255"/>
    <cellStyle name="표준 9 4 2 2 3 2" xfId="4256"/>
    <cellStyle name="표준 10 4 2 2 3 2" xfId="4257"/>
    <cellStyle name="표준 7 11 2 2 3 2" xfId="4258"/>
    <cellStyle name="표준 8 5 2 2 3 2" xfId="4259"/>
    <cellStyle name="표준 9 5 2 2 3 2" xfId="4260"/>
    <cellStyle name="표준 10 5 2 2 3 2" xfId="4261"/>
    <cellStyle name="표준 21 2 3 3 2" xfId="4262"/>
    <cellStyle name="표준 7 12 2 2 3 2" xfId="4263"/>
    <cellStyle name="표준 8 6 2 2 3 2" xfId="4264"/>
    <cellStyle name="표준 9 6 2 2 3 2" xfId="4265"/>
    <cellStyle name="표준 10 6 2 2 3 2" xfId="4266"/>
    <cellStyle name="표준 7 13 2 2 3 2" xfId="4267"/>
    <cellStyle name="표준 8 7 2 2 3 2" xfId="4268"/>
    <cellStyle name="표준 9 7 2 2 3 2" xfId="4269"/>
    <cellStyle name="표준 10 7 2 2 3 2" xfId="4270"/>
    <cellStyle name="표준 7 14 2 2 3 2" xfId="4271"/>
    <cellStyle name="표준 8 8 2 2 3 2" xfId="4272"/>
    <cellStyle name="표준 9 8 2 2 3 2" xfId="4273"/>
    <cellStyle name="표준 10 8 2 2 3 2" xfId="4274"/>
    <cellStyle name="표준 7 17 2 3 2" xfId="4275"/>
    <cellStyle name="표준 8 11 2 3 2" xfId="4276"/>
    <cellStyle name="표준 9 11 2 3 2" xfId="4277"/>
    <cellStyle name="표준 10 11 2 3 2" xfId="4278"/>
    <cellStyle name="표준 7 15 2 2 3 2" xfId="4279"/>
    <cellStyle name="표준 8 9 2 2 3 2" xfId="4280"/>
    <cellStyle name="표준 9 9 2 2 3 2" xfId="4281"/>
    <cellStyle name="표준 10 9 2 2 3 2" xfId="4282"/>
    <cellStyle name="표준 7 2 4 2 3 2" xfId="4283"/>
    <cellStyle name="표준 8 2 3 2 3 2" xfId="4284"/>
    <cellStyle name="표준 9 2 3 2 3 2" xfId="4285"/>
    <cellStyle name="표준 10 2 3 2 3 2" xfId="4286"/>
    <cellStyle name="표준 7 10 3 2 3 2" xfId="4287"/>
    <cellStyle name="표준 8 4 3 2 3 2" xfId="4288"/>
    <cellStyle name="표준 9 4 3 2 3 2" xfId="4289"/>
    <cellStyle name="표준 10 4 3 2 3 2" xfId="4290"/>
    <cellStyle name="표준 7 11 3 2 3 2" xfId="4291"/>
    <cellStyle name="표준 8 5 3 2 3 2" xfId="4292"/>
    <cellStyle name="표준 9 5 3 2 3 2" xfId="4293"/>
    <cellStyle name="표준 10 5 3 2 3 2" xfId="4294"/>
    <cellStyle name="표준 21 3 3 3 2" xfId="4295"/>
    <cellStyle name="표준 7 12 3 2 3 2" xfId="4296"/>
    <cellStyle name="표준 8 6 3 2 3 2" xfId="4297"/>
    <cellStyle name="표준 9 6 3 2 3 2" xfId="4298"/>
    <cellStyle name="표준 10 6 3 2 3 2" xfId="4299"/>
    <cellStyle name="표준 7 13 3 2 3 2" xfId="4300"/>
    <cellStyle name="표준 8 7 3 2 3 2" xfId="4301"/>
    <cellStyle name="표준 9 7 3 2 3 2" xfId="4302"/>
    <cellStyle name="표준 10 7 3 2 3 2" xfId="4303"/>
    <cellStyle name="표준 7 14 3 2 3 2" xfId="4304"/>
    <cellStyle name="표준 8 8 3 2 3 2" xfId="4305"/>
    <cellStyle name="표준 9 8 3 2 3 2" xfId="4306"/>
    <cellStyle name="표준 10 8 3 2 3 2" xfId="4307"/>
    <cellStyle name="표준 22 3 3 2" xfId="4308"/>
    <cellStyle name="표준 7 21 2 2" xfId="4309"/>
    <cellStyle name="표준 8 15 2 2" xfId="4310"/>
    <cellStyle name="표준 9 15 2 2" xfId="4311"/>
    <cellStyle name="표준 10 15 2 2" xfId="4312"/>
    <cellStyle name="표준 7 15 5 2 2" xfId="4313"/>
    <cellStyle name="표준 8 9 5 2 2" xfId="4314"/>
    <cellStyle name="표준 9 9 5 2 2" xfId="4315"/>
    <cellStyle name="표준 10 9 5 2 2" xfId="4316"/>
    <cellStyle name="표준 7 2 7 2 2" xfId="4317"/>
    <cellStyle name="표준 8 2 6 2 2" xfId="4318"/>
    <cellStyle name="표준 9 2 6 2 2" xfId="4319"/>
    <cellStyle name="표준 10 2 6 2 2" xfId="4320"/>
    <cellStyle name="표준 7 10 6 2 2" xfId="4321"/>
    <cellStyle name="표준 8 4 6 2 2" xfId="4322"/>
    <cellStyle name="표준 9 4 6 2 2" xfId="4323"/>
    <cellStyle name="표준 10 4 6 2 2" xfId="4324"/>
    <cellStyle name="표준 7 11 6 2 2" xfId="4325"/>
    <cellStyle name="표준 8 5 6 2 2" xfId="4326"/>
    <cellStyle name="표준 9 5 6 2 2" xfId="4327"/>
    <cellStyle name="표준 10 5 6 2 2" xfId="4328"/>
    <cellStyle name="표준 21 41 2 2" xfId="4329"/>
    <cellStyle name="표준 7 12 6 2 2" xfId="4330"/>
    <cellStyle name="표준 8 6 6 2 2" xfId="4331"/>
    <cellStyle name="표준 9 6 6 2 2" xfId="4332"/>
    <cellStyle name="표준 10 6 6 2 2" xfId="4333"/>
    <cellStyle name="표준 7 13 6 2 2" xfId="4334"/>
    <cellStyle name="표준 8 7 6 2 2" xfId="4335"/>
    <cellStyle name="표준 9 7 6 2 2" xfId="4336"/>
    <cellStyle name="표준 10 7 6 2 2" xfId="4337"/>
    <cellStyle name="표준 7 14 6 2 2" xfId="4338"/>
    <cellStyle name="표준 8 8 6 2 2" xfId="4339"/>
    <cellStyle name="표준 9 8 6 2 2" xfId="4340"/>
    <cellStyle name="표준 10 8 6 2 2" xfId="4341"/>
    <cellStyle name="표준 7 18 3 2 2" xfId="4342"/>
    <cellStyle name="표준 8 12 3 2 2" xfId="4343"/>
    <cellStyle name="표준 9 12 3 2 2" xfId="4344"/>
    <cellStyle name="표준 10 12 3 2 2" xfId="4345"/>
    <cellStyle name="표준 7 2 5 3 2 2" xfId="4346"/>
    <cellStyle name="표준 8 2 4 3 2 2" xfId="4347"/>
    <cellStyle name="표준 9 2 4 3 2 2" xfId="4348"/>
    <cellStyle name="표준 10 2 4 3 2 2" xfId="4349"/>
    <cellStyle name="표준 7 10 4 3 2 2" xfId="4350"/>
    <cellStyle name="표준 8 4 4 3 2 2" xfId="4351"/>
    <cellStyle name="표준 9 4 4 3 2 2" xfId="4352"/>
    <cellStyle name="표준 10 4 4 3 2 2" xfId="4353"/>
    <cellStyle name="표준 7 11 4 3 2 2" xfId="4354"/>
    <cellStyle name="표준 8 5 4 3 2 2" xfId="4355"/>
    <cellStyle name="표준 9 5 4 3 2 2" xfId="4356"/>
    <cellStyle name="표준 10 5 4 3 2 2" xfId="4357"/>
    <cellStyle name="표준 21 4 4 2 2" xfId="4358"/>
    <cellStyle name="표준 7 12 4 3 2 2" xfId="4359"/>
    <cellStyle name="표준 8 6 4 3 2 2" xfId="4360"/>
    <cellStyle name="표준 9 6 4 3 2 2" xfId="4361"/>
    <cellStyle name="표준 10 6 4 3 2 2" xfId="4362"/>
    <cellStyle name="표준 7 13 4 3 2 2" xfId="4363"/>
    <cellStyle name="표준 8 7 4 3 2 2" xfId="4364"/>
    <cellStyle name="표준 9 7 4 3 2 2" xfId="4365"/>
    <cellStyle name="표준 10 7 4 3 2 2" xfId="4366"/>
    <cellStyle name="표준 7 14 4 3 2 2" xfId="4367"/>
    <cellStyle name="표준 8 8 4 3 2 2" xfId="4368"/>
    <cellStyle name="표준 9 8 4 3 2 2" xfId="4369"/>
    <cellStyle name="표준 10 8 4 3 2 2" xfId="4370"/>
    <cellStyle name="표준 7 16 3 2 2" xfId="4371"/>
    <cellStyle name="표준 8 10 3 2 2" xfId="4372"/>
    <cellStyle name="표준 9 10 3 2 2" xfId="4373"/>
    <cellStyle name="표준 10 10 3 2 2" xfId="4374"/>
    <cellStyle name="표준 7 15 3 3 2 2" xfId="4375"/>
    <cellStyle name="표준 8 9 3 3 2 2" xfId="4376"/>
    <cellStyle name="표준 9 9 3 3 2 2" xfId="4377"/>
    <cellStyle name="표준 10 9 3 3 2 2" xfId="4378"/>
    <cellStyle name="표준 7 2 3 3 2 2" xfId="4379"/>
    <cellStyle name="표준 8 2 2 3 2 2" xfId="4380"/>
    <cellStyle name="표준 9 2 2 3 2 2" xfId="4381"/>
    <cellStyle name="표준 10 2 2 3 2 2" xfId="4382"/>
    <cellStyle name="표준 7 10 2 3 2 2" xfId="4383"/>
    <cellStyle name="표준 8 4 2 3 2 2" xfId="4384"/>
    <cellStyle name="표준 9 4 2 3 2 2" xfId="4385"/>
    <cellStyle name="표준 10 4 2 3 2 2" xfId="4386"/>
    <cellStyle name="표준 7 11 2 3 2 2" xfId="4387"/>
    <cellStyle name="표준 8 5 2 3 2 2" xfId="4388"/>
    <cellStyle name="표준 9 5 2 3 2 2" xfId="4389"/>
    <cellStyle name="표준 10 5 2 3 2 2" xfId="4390"/>
    <cellStyle name="표준 21 2 4 2 2" xfId="4391"/>
    <cellStyle name="표준 7 12 2 3 2 2" xfId="4392"/>
    <cellStyle name="표준 8 6 2 3 2 2" xfId="4393"/>
    <cellStyle name="표준 9 6 2 3 2 2" xfId="4394"/>
    <cellStyle name="표준 10 6 2 3 2 2" xfId="4395"/>
    <cellStyle name="표준 7 13 2 3 2 2" xfId="4396"/>
    <cellStyle name="표준 8 7 2 3 2 2" xfId="4397"/>
    <cellStyle name="표준 9 7 2 3 2 2" xfId="4398"/>
    <cellStyle name="표준 10 7 2 3 2 2" xfId="4399"/>
    <cellStyle name="표준 7 14 2 3 2 2" xfId="4400"/>
    <cellStyle name="표준 8 8 2 3 2 2" xfId="4401"/>
    <cellStyle name="표준 9 8 2 3 2 2" xfId="4402"/>
    <cellStyle name="표준 10 8 2 3 2 2" xfId="4403"/>
    <cellStyle name="표준 7 17 3 2 2" xfId="4404"/>
    <cellStyle name="표준 8 11 3 2 2" xfId="4405"/>
    <cellStyle name="표준 9 11 3 2 2" xfId="4406"/>
    <cellStyle name="표준 10 11 3 2 2" xfId="4407"/>
    <cellStyle name="표준 7 15 2 3 2 2" xfId="4408"/>
    <cellStyle name="표준 8 9 2 3 2 2" xfId="4409"/>
    <cellStyle name="표준 9 9 2 3 2 2" xfId="4410"/>
    <cellStyle name="표준 10 9 2 3 2 2" xfId="4411"/>
    <cellStyle name="표준 7 2 4 3 2 2" xfId="4412"/>
    <cellStyle name="표준 8 2 3 3 2 2" xfId="4413"/>
    <cellStyle name="표준 9 2 3 3 2 2" xfId="4414"/>
    <cellStyle name="표준 10 2 3 3 2 2" xfId="4415"/>
    <cellStyle name="표준 7 10 3 3 2 2" xfId="4416"/>
    <cellStyle name="표준 8 4 3 3 2 2" xfId="4417"/>
    <cellStyle name="표준 9 4 3 3 2 2" xfId="4418"/>
    <cellStyle name="표준 10 4 3 3 2 2" xfId="4419"/>
    <cellStyle name="표준 7 11 3 3 2 2" xfId="4420"/>
    <cellStyle name="표준 8 5 3 3 2 2" xfId="4421"/>
    <cellStyle name="표준 9 5 3 3 2 2" xfId="4422"/>
    <cellStyle name="표준 10 5 3 3 2 2" xfId="4423"/>
    <cellStyle name="표준 21 3 4 2 2" xfId="4424"/>
    <cellStyle name="표준 7 12 3 3 2 2" xfId="4425"/>
    <cellStyle name="표준 8 6 3 3 2 2" xfId="4426"/>
    <cellStyle name="표준 9 6 3 3 2 2" xfId="4427"/>
    <cellStyle name="표준 10 6 3 3 2 2" xfId="4428"/>
    <cellStyle name="표준 7 13 3 3 2 2" xfId="4429"/>
    <cellStyle name="표준 8 7 3 3 2 2" xfId="4430"/>
    <cellStyle name="표준 9 7 3 3 2 2" xfId="4431"/>
    <cellStyle name="표준 10 7 3 3 2 2" xfId="4432"/>
    <cellStyle name="표준 7 14 3 3 2 2" xfId="4433"/>
    <cellStyle name="표준 8 8 3 3 2 2" xfId="4434"/>
    <cellStyle name="표준 9 8 3 3 2 2" xfId="4435"/>
    <cellStyle name="표준 10 8 3 3 2 2" xfId="4436"/>
    <cellStyle name="표준 22 4 2 2" xfId="4437"/>
    <cellStyle name="표준 10 10 2 2 2 2" xfId="4438"/>
    <cellStyle name="표준 10 11 2 2 2 2" xfId="4439"/>
    <cellStyle name="표준 10 12 2 2 2 2" xfId="4440"/>
    <cellStyle name="표준 10 14 2 2 2" xfId="4441"/>
    <cellStyle name="표준 10 2 2 2 2 2 2" xfId="4442"/>
    <cellStyle name="표준 10 2 3 2 2 2 2" xfId="4443"/>
    <cellStyle name="표준 10 2 4 2 2 2 2" xfId="4444"/>
    <cellStyle name="표준 10 2 5 2 2 2" xfId="4445"/>
    <cellStyle name="표준 10 4 2 2 2 2 2" xfId="4446"/>
    <cellStyle name="표준 10 4 3 2 2 2 2" xfId="4447"/>
    <cellStyle name="표준 10 4 4 2 2 2 2" xfId="4448"/>
    <cellStyle name="표준 10 4 5 2 2 2" xfId="4449"/>
    <cellStyle name="표준 10 5 2 2 2 2 2" xfId="4450"/>
    <cellStyle name="표준 10 5 3 2 2 2 2" xfId="4451"/>
    <cellStyle name="표준 10 5 4 2 2 2 2" xfId="4452"/>
    <cellStyle name="표준 10 5 5 2 2 2" xfId="4453"/>
    <cellStyle name="표준 10 6 2 2 2 2 2" xfId="4454"/>
    <cellStyle name="표준 10 6 3 2 2 2 2" xfId="4455"/>
    <cellStyle name="표준 10 6 4 2 2 2 2" xfId="4456"/>
    <cellStyle name="표준 10 6 5 2 2 2" xfId="4457"/>
    <cellStyle name="표준 10 7 2 2 2 2 2" xfId="4458"/>
    <cellStyle name="표준 10 7 3 2 2 2 2" xfId="4459"/>
    <cellStyle name="표준 10 7 4 2 2 2 2" xfId="4460"/>
    <cellStyle name="표준 10 7 5 2 2 2" xfId="4461"/>
    <cellStyle name="표준 10 8 2 2 2 2 2" xfId="4462"/>
    <cellStyle name="표준 10 8 3 2 2 2 2" xfId="4463"/>
    <cellStyle name="표준 10 8 4 2 2 2 2" xfId="4464"/>
    <cellStyle name="표준 10 8 5 2 2 2" xfId="4465"/>
    <cellStyle name="표준 10 9 2 2 2 2 2" xfId="4466"/>
    <cellStyle name="표준 10 9 3 2 2 2 2" xfId="4467"/>
    <cellStyle name="표준 10 9 4 2 2 2" xfId="4468"/>
    <cellStyle name="표준 21 2 3 2 2 2" xfId="4469"/>
    <cellStyle name="표준 21 3 3 2 2 2" xfId="4470"/>
    <cellStyle name="표준 21 4 3 2 2 2" xfId="4471"/>
    <cellStyle name="표준 21 40 2 2 2" xfId="4472"/>
    <cellStyle name="표준 22 3 2 2 2" xfId="4473"/>
    <cellStyle name="표준 24 40 2" xfId="4474"/>
    <cellStyle name="표준 25 24 2" xfId="4475"/>
    <cellStyle name="표준 7 10 2 2 2 2 2" xfId="4476"/>
    <cellStyle name="표준 7 10 3 2 2 2 2" xfId="4477"/>
    <cellStyle name="표준 7 10 4 2 2 2 2" xfId="4478"/>
    <cellStyle name="표준 7 10 5 2 2 2" xfId="4479"/>
    <cellStyle name="표준 7 11 2 2 2 2 2" xfId="4480"/>
    <cellStyle name="표준 7 11 3 2 2 2 2" xfId="4481"/>
    <cellStyle name="표준 7 11 4 2 2 2 2" xfId="4482"/>
    <cellStyle name="표준 7 11 5 2 2 2" xfId="4483"/>
    <cellStyle name="표준 7 12 2 2 2 2 2" xfId="4484"/>
    <cellStyle name="표준 7 12 3 2 2 2 2" xfId="4485"/>
    <cellStyle name="표준 7 12 4 2 2 2 2" xfId="4486"/>
    <cellStyle name="표준 7 12 5 2 2 2" xfId="4487"/>
    <cellStyle name="표준 7 13 2 2 2 2 2" xfId="4488"/>
    <cellStyle name="표준 7 13 3 2 2 2 2" xfId="4489"/>
    <cellStyle name="표준 7 13 4 2 2 2 2" xfId="4490"/>
    <cellStyle name="표준 7 13 5 2 2 2" xfId="4491"/>
    <cellStyle name="표준 7 14 2 2 2 2 2" xfId="4492"/>
    <cellStyle name="표준 7 14 3 2 2 2 2" xfId="4493"/>
    <cellStyle name="표준 7 14 4 2 2 2 2" xfId="4494"/>
    <cellStyle name="표준 7 14 5 2 2 2" xfId="4495"/>
    <cellStyle name="표준 7 15 2 2 2 2 2" xfId="4496"/>
    <cellStyle name="표준 7 15 3 2 2 2 2" xfId="4497"/>
    <cellStyle name="표준 7 15 4 2 2 2" xfId="4498"/>
    <cellStyle name="표준 7 16 2 2 2 2" xfId="4499"/>
    <cellStyle name="표준 7 17 2 2 2 2" xfId="4500"/>
    <cellStyle name="표준 7 18 2 2 2 2" xfId="4501"/>
    <cellStyle name="표준 7 2 3 2 2 2 2" xfId="4502"/>
    <cellStyle name="표준 7 2 4 2 2 2 2" xfId="4503"/>
    <cellStyle name="표준 7 2 5 2 2 2 2" xfId="4504"/>
    <cellStyle name="표준 7 2 6 2 2 2" xfId="4505"/>
    <cellStyle name="표준 7 20 2 2 2" xfId="4506"/>
    <cellStyle name="표준 8 10 2 2 2 2" xfId="4507"/>
    <cellStyle name="표준 8 11 2 2 2 2" xfId="4508"/>
    <cellStyle name="표준 8 12 2 2 2 2" xfId="4509"/>
    <cellStyle name="표준 8 14 2 2 2" xfId="4510"/>
    <cellStyle name="표준 8 2 2 2 2 2 2" xfId="4511"/>
    <cellStyle name="표준 8 2 3 2 2 2 2" xfId="4512"/>
    <cellStyle name="표준 8 2 4 2 2 2 2" xfId="4513"/>
    <cellStyle name="표준 8 2 5 2 2 2" xfId="4514"/>
    <cellStyle name="표준 8 4 2 2 2 2 2" xfId="4515"/>
    <cellStyle name="표준 8 4 3 2 2 2 2" xfId="4516"/>
    <cellStyle name="표준 8 4 4 2 2 2 2" xfId="4517"/>
    <cellStyle name="표준 8 4 5 2 2 2" xfId="4518"/>
    <cellStyle name="표준 8 5 2 2 2 2 2" xfId="4519"/>
    <cellStyle name="표준 8 5 3 2 2 2 2" xfId="4520"/>
    <cellStyle name="표준 8 5 4 2 2 2 2" xfId="4521"/>
    <cellStyle name="표준 8 5 5 2 2 2" xfId="4522"/>
    <cellStyle name="표준 8 6 2 2 2 2 2" xfId="4523"/>
    <cellStyle name="표준 8 6 3 2 2 2 2" xfId="4524"/>
    <cellStyle name="표준 8 6 4 2 2 2 2" xfId="4525"/>
    <cellStyle name="표준 8 6 5 2 2 2" xfId="4526"/>
    <cellStyle name="표준 8 7 2 2 2 2 2" xfId="4527"/>
    <cellStyle name="표준 8 7 3 2 2 2 2" xfId="4528"/>
    <cellStyle name="표준 8 7 4 2 2 2 2" xfId="4529"/>
    <cellStyle name="표준 8 7 5 2 2 2" xfId="4530"/>
    <cellStyle name="표준 8 8 2 2 2 2 2" xfId="4531"/>
    <cellStyle name="표준 8 8 3 2 2 2 2" xfId="4532"/>
    <cellStyle name="표준 8 8 4 2 2 2 2" xfId="4533"/>
    <cellStyle name="표준 8 8 5 2 2 2" xfId="4534"/>
    <cellStyle name="표준 8 9 2 2 2 2 2" xfId="4535"/>
    <cellStyle name="표준 8 9 3 2 2 2 2" xfId="4536"/>
    <cellStyle name="표준 8 9 4 2 2 2" xfId="4537"/>
    <cellStyle name="표준 9 10 2 2 2 2" xfId="4538"/>
    <cellStyle name="표준 9 11 2 2 2 2" xfId="4539"/>
    <cellStyle name="표준 9 12 2 2 2 2" xfId="4540"/>
    <cellStyle name="표준 9 14 2 2 2" xfId="4541"/>
    <cellStyle name="표준 9 2 2 2 2 2 2" xfId="4542"/>
    <cellStyle name="표준 9 2 3 2 2 2 2" xfId="4543"/>
    <cellStyle name="표준 9 2 4 2 2 2 2" xfId="4544"/>
    <cellStyle name="표준 9 2 5 2 2 2" xfId="4545"/>
    <cellStyle name="표준 9 4 2 2 2 2 2" xfId="4546"/>
    <cellStyle name="표준 9 4 3 2 2 2 2" xfId="4547"/>
    <cellStyle name="표준 9 4 4 2 2 2 2" xfId="4548"/>
    <cellStyle name="표준 9 4 5 2 2 2" xfId="4549"/>
    <cellStyle name="표준 9 5 2 2 2 2 2" xfId="4550"/>
    <cellStyle name="표준 9 5 3 2 2 2 2" xfId="4551"/>
    <cellStyle name="표준 9 5 4 2 2 2 2" xfId="4552"/>
    <cellStyle name="표준 9 5 5 2 2 2" xfId="4553"/>
    <cellStyle name="표준 9 6 2 2 2 2 2" xfId="4554"/>
    <cellStyle name="표준 9 6 3 2 2 2 2" xfId="4555"/>
    <cellStyle name="표준 9 6 4 2 2 2 2" xfId="4556"/>
    <cellStyle name="표준 9 6 5 2 2 2" xfId="4557"/>
    <cellStyle name="표준 9 7 2 2 2 2 2" xfId="4558"/>
    <cellStyle name="표준 9 7 3 2 2 2 2" xfId="4559"/>
    <cellStyle name="표준 9 7 4 2 2 2 2" xfId="4560"/>
    <cellStyle name="표준 9 7 5 2 2 2" xfId="4561"/>
    <cellStyle name="표준 9 8 2 2 2 2 2" xfId="4562"/>
    <cellStyle name="표준 9 8 3 2 2 2 2" xfId="4563"/>
    <cellStyle name="표준 9 8 4 2 2 2 2" xfId="4564"/>
    <cellStyle name="표준 9 8 5 2 2 2" xfId="4565"/>
    <cellStyle name="표준 9 9 2 2 2 2 2" xfId="4566"/>
    <cellStyle name="표준 9 9 3 2 2 2 2" xfId="4567"/>
    <cellStyle name="표준 9 9 4 2 2 2" xfId="4568"/>
    <cellStyle name="표준 7 24" xfId="4569"/>
    <cellStyle name="표준 8 18" xfId="4570"/>
    <cellStyle name="표준 9 18" xfId="4571"/>
    <cellStyle name="표준 10 18" xfId="4572"/>
    <cellStyle name="표준 7 15 8" xfId="4573"/>
    <cellStyle name="표준 8 9 8" xfId="4574"/>
    <cellStyle name="표준 9 9 8" xfId="4575"/>
    <cellStyle name="표준 10 9 8" xfId="4576"/>
    <cellStyle name="표준 7 2 10" xfId="4577"/>
    <cellStyle name="표준 8 2 9" xfId="4578"/>
    <cellStyle name="표준 9 2 9" xfId="4579"/>
    <cellStyle name="표준 10 2 9" xfId="4580"/>
    <cellStyle name="표준 7 10 9" xfId="4581"/>
    <cellStyle name="표준 8 4 9" xfId="4582"/>
    <cellStyle name="표준 9 4 9" xfId="4583"/>
    <cellStyle name="표준 10 4 9" xfId="4584"/>
    <cellStyle name="표준 7 11 9" xfId="4585"/>
    <cellStyle name="표준 8 5 9" xfId="4586"/>
    <cellStyle name="표준 9 5 9" xfId="4587"/>
    <cellStyle name="표준 10 5 9" xfId="4588"/>
    <cellStyle name="표준 21 44" xfId="4589"/>
    <cellStyle name="표준 7 12 9" xfId="4590"/>
    <cellStyle name="표준 8 6 9" xfId="4591"/>
    <cellStyle name="표준 9 6 9" xfId="4592"/>
    <cellStyle name="표준 10 6 9" xfId="4593"/>
    <cellStyle name="표준 7 13 9" xfId="4594"/>
    <cellStyle name="표준 8 7 9" xfId="4595"/>
    <cellStyle name="표준 9 7 9" xfId="4596"/>
    <cellStyle name="표준 10 7 9" xfId="4597"/>
    <cellStyle name="표준 7 14 9" xfId="4598"/>
    <cellStyle name="표준 8 8 9" xfId="4599"/>
    <cellStyle name="표준 9 8 9" xfId="4600"/>
    <cellStyle name="표준 10 8 9" xfId="4601"/>
    <cellStyle name="표준 7 18 6" xfId="4602"/>
    <cellStyle name="표준 8 12 6" xfId="4603"/>
    <cellStyle name="표준 9 12 6" xfId="4604"/>
    <cellStyle name="표준 10 12 6" xfId="4605"/>
    <cellStyle name="표준 7 2 5 6" xfId="4606"/>
    <cellStyle name="표준 8 2 4 6" xfId="4607"/>
    <cellStyle name="표준 9 2 4 6" xfId="4608"/>
    <cellStyle name="표준 10 2 4 6" xfId="4609"/>
    <cellStyle name="표준 7 10 4 6" xfId="4610"/>
    <cellStyle name="표준 8 4 4 6" xfId="4611"/>
    <cellStyle name="표준 9 4 4 6" xfId="4612"/>
    <cellStyle name="표준 10 4 4 6" xfId="4613"/>
    <cellStyle name="표준 7 11 4 6" xfId="4614"/>
    <cellStyle name="표준 8 5 4 6" xfId="4615"/>
    <cellStyle name="표준 9 5 4 6" xfId="4616"/>
    <cellStyle name="표준 10 5 4 6" xfId="4617"/>
    <cellStyle name="표준 21 4 7" xfId="4618"/>
    <cellStyle name="표준 7 12 4 6" xfId="4619"/>
    <cellStyle name="표준 8 6 4 6" xfId="4620"/>
    <cellStyle name="표준 9 6 4 6" xfId="4621"/>
    <cellStyle name="표준 10 6 4 6" xfId="4622"/>
    <cellStyle name="표준 7 13 4 6" xfId="4623"/>
    <cellStyle name="표준 8 7 4 6" xfId="4624"/>
    <cellStyle name="표준 9 7 4 6" xfId="4625"/>
    <cellStyle name="표준 10 7 4 6" xfId="4626"/>
    <cellStyle name="표준 7 14 4 6" xfId="4627"/>
    <cellStyle name="표준 8 8 4 6" xfId="4628"/>
    <cellStyle name="표준 9 8 4 6" xfId="4629"/>
    <cellStyle name="표준 10 8 4 6" xfId="4630"/>
    <cellStyle name="표준 7 16 6" xfId="4631"/>
    <cellStyle name="표준 8 10 6" xfId="4632"/>
    <cellStyle name="표준 9 10 6" xfId="4633"/>
    <cellStyle name="표준 10 10 6" xfId="4634"/>
    <cellStyle name="표준 7 15 3 6" xfId="4635"/>
    <cellStyle name="표준 8 9 3 6" xfId="4636"/>
    <cellStyle name="표준 9 9 3 6" xfId="4637"/>
    <cellStyle name="표준 10 9 3 6" xfId="4638"/>
    <cellStyle name="표준 7 2 3 6" xfId="4639"/>
    <cellStyle name="표준 8 2 2 6" xfId="4640"/>
    <cellStyle name="표준 9 2 2 6" xfId="4641"/>
    <cellStyle name="표준 10 2 2 6" xfId="4642"/>
    <cellStyle name="표준 7 10 2 6" xfId="4643"/>
    <cellStyle name="표준 8 4 2 6" xfId="4644"/>
    <cellStyle name="표준 9 4 2 6" xfId="4645"/>
    <cellStyle name="표준 10 4 2 6" xfId="4646"/>
    <cellStyle name="표준 7 11 2 6" xfId="4647"/>
    <cellStyle name="표준 8 5 2 6" xfId="4648"/>
    <cellStyle name="표준 9 5 2 6" xfId="4649"/>
    <cellStyle name="표준 10 5 2 6" xfId="4650"/>
    <cellStyle name="표준 21 2 7" xfId="4651"/>
    <cellStyle name="표준 7 12 2 6" xfId="4652"/>
    <cellStyle name="표준 8 6 2 6" xfId="4653"/>
    <cellStyle name="표준 9 6 2 6" xfId="4654"/>
    <cellStyle name="표준 10 6 2 6" xfId="4655"/>
    <cellStyle name="표준 7 13 2 6" xfId="4656"/>
    <cellStyle name="표준 8 7 2 6" xfId="4657"/>
    <cellStyle name="표준 9 7 2 6" xfId="4658"/>
    <cellStyle name="표준 10 7 2 6" xfId="4659"/>
    <cellStyle name="표준 7 14 2 6" xfId="4660"/>
    <cellStyle name="표준 8 8 2 6" xfId="4661"/>
    <cellStyle name="표준 9 8 2 6" xfId="4662"/>
    <cellStyle name="표준 10 8 2 6" xfId="4663"/>
    <cellStyle name="표준 7 17 6" xfId="4664"/>
    <cellStyle name="표준 8 11 6" xfId="4665"/>
    <cellStyle name="표준 9 11 6" xfId="4666"/>
    <cellStyle name="표준 10 11 6" xfId="4667"/>
    <cellStyle name="표준 7 15 2 6" xfId="4668"/>
    <cellStyle name="표준 8 9 2 6" xfId="4669"/>
    <cellStyle name="표준 9 9 2 6" xfId="4670"/>
    <cellStyle name="표준 10 9 2 6" xfId="4671"/>
    <cellStyle name="표준 7 2 4 6" xfId="4672"/>
    <cellStyle name="표준 8 2 3 6" xfId="4673"/>
    <cellStyle name="표준 9 2 3 6" xfId="4674"/>
    <cellStyle name="표준 10 2 3 6" xfId="4675"/>
    <cellStyle name="표준 7 10 3 6" xfId="4676"/>
    <cellStyle name="표준 8 4 3 6" xfId="4677"/>
    <cellStyle name="표준 9 4 3 6" xfId="4678"/>
    <cellStyle name="표준 10 4 3 6" xfId="4679"/>
    <cellStyle name="표준 7 11 3 6" xfId="4680"/>
    <cellStyle name="표준 8 5 3 6" xfId="4681"/>
    <cellStyle name="표준 9 5 3 6" xfId="4682"/>
    <cellStyle name="표준 10 5 3 6" xfId="4683"/>
    <cellStyle name="표준 21 3 7" xfId="4684"/>
    <cellStyle name="표준 7 12 3 6" xfId="4685"/>
    <cellStyle name="표준 8 6 3 6" xfId="4686"/>
    <cellStyle name="표준 9 6 3 6" xfId="4687"/>
    <cellStyle name="표준 10 6 3 6" xfId="4688"/>
    <cellStyle name="표준 7 13 3 6" xfId="4689"/>
    <cellStyle name="표준 8 7 3 6" xfId="4690"/>
    <cellStyle name="표준 9 7 3 6" xfId="4691"/>
    <cellStyle name="표준 10 7 3 6" xfId="4692"/>
    <cellStyle name="표준 7 14 3 6" xfId="4693"/>
    <cellStyle name="표준 8 8 3 6" xfId="4694"/>
    <cellStyle name="표준 9 8 3 6" xfId="4695"/>
    <cellStyle name="표준 10 8 3 6" xfId="4696"/>
    <cellStyle name="표준 22 7" xfId="4697"/>
    <cellStyle name="표준 7 20 5" xfId="4698"/>
    <cellStyle name="표준 8 14 5" xfId="4699"/>
    <cellStyle name="표준 9 14 5" xfId="4700"/>
    <cellStyle name="표준 10 14 5" xfId="4701"/>
    <cellStyle name="표준 7 15 4 5" xfId="4702"/>
    <cellStyle name="표준 8 9 4 5" xfId="4703"/>
    <cellStyle name="표준 9 9 4 5" xfId="4704"/>
    <cellStyle name="표준 10 9 4 5" xfId="4705"/>
    <cellStyle name="표준 7 2 6 5" xfId="4706"/>
    <cellStyle name="표준 8 2 5 5" xfId="4707"/>
    <cellStyle name="표준 9 2 5 5" xfId="4708"/>
    <cellStyle name="표준 10 2 5 5" xfId="4709"/>
    <cellStyle name="표준 7 10 5 5" xfId="4710"/>
    <cellStyle name="표준 8 4 5 5" xfId="4711"/>
    <cellStyle name="표준 9 4 5 5" xfId="4712"/>
    <cellStyle name="표준 10 4 5 5" xfId="4713"/>
    <cellStyle name="표준 7 11 5 5" xfId="4714"/>
    <cellStyle name="표준 8 5 5 5" xfId="4715"/>
    <cellStyle name="표준 9 5 5 5" xfId="4716"/>
    <cellStyle name="표준 10 5 5 5" xfId="4717"/>
    <cellStyle name="표준 21 40 5" xfId="4718"/>
    <cellStyle name="표준 7 12 5 5" xfId="4719"/>
    <cellStyle name="표준 8 6 5 5" xfId="4720"/>
    <cellStyle name="표준 9 6 5 5" xfId="4721"/>
    <cellStyle name="표준 10 6 5 5" xfId="4722"/>
    <cellStyle name="표준 7 13 5 5" xfId="4723"/>
    <cellStyle name="표준 8 7 5 5" xfId="4724"/>
    <cellStyle name="표준 9 7 5 5" xfId="4725"/>
    <cellStyle name="표준 10 7 5 5" xfId="4726"/>
    <cellStyle name="표준 7 14 5 5" xfId="4727"/>
    <cellStyle name="표준 8 8 5 5" xfId="4728"/>
    <cellStyle name="표준 9 8 5 5" xfId="4729"/>
    <cellStyle name="표준 10 8 5 5" xfId="4730"/>
    <cellStyle name="표준 7 18 2 5" xfId="4731"/>
    <cellStyle name="표준 8 12 2 5" xfId="4732"/>
    <cellStyle name="표준 9 12 2 5" xfId="4733"/>
    <cellStyle name="표준 10 12 2 5" xfId="4734"/>
    <cellStyle name="표준 7 2 5 2 5" xfId="4735"/>
    <cellStyle name="표준 8 2 4 2 5" xfId="4736"/>
    <cellStyle name="표준 9 2 4 2 5" xfId="4737"/>
    <cellStyle name="표준 10 2 4 2 5" xfId="4738"/>
    <cellStyle name="표준 7 10 4 2 5" xfId="4739"/>
    <cellStyle name="표준 8 4 4 2 5" xfId="4740"/>
    <cellStyle name="표준 9 4 4 2 5" xfId="4741"/>
    <cellStyle name="표준 10 4 4 2 5" xfId="4742"/>
    <cellStyle name="표준 7 11 4 2 5" xfId="4743"/>
    <cellStyle name="표준 8 5 4 2 5" xfId="4744"/>
    <cellStyle name="표준 9 5 4 2 5" xfId="4745"/>
    <cellStyle name="표준 10 5 4 2 5" xfId="4746"/>
    <cellStyle name="표준 21 4 3 5" xfId="4747"/>
    <cellStyle name="표준 7 12 4 2 5" xfId="4748"/>
    <cellStyle name="표준 8 6 4 2 5" xfId="4749"/>
    <cellStyle name="표준 9 6 4 2 5" xfId="4750"/>
    <cellStyle name="표준 10 6 4 2 5" xfId="4751"/>
    <cellStyle name="표준 7 13 4 2 5" xfId="4752"/>
    <cellStyle name="표준 8 7 4 2 5" xfId="4753"/>
    <cellStyle name="표준 9 7 4 2 5" xfId="4754"/>
    <cellStyle name="표준 10 7 4 2 5" xfId="4755"/>
    <cellStyle name="표준 7 14 4 2 5" xfId="4756"/>
    <cellStyle name="표준 8 8 4 2 5" xfId="4757"/>
    <cellStyle name="표준 9 8 4 2 5" xfId="4758"/>
    <cellStyle name="표준 10 8 4 2 5" xfId="4759"/>
    <cellStyle name="표준 7 16 2 5" xfId="4760"/>
    <cellStyle name="표준 8 10 2 5" xfId="4761"/>
    <cellStyle name="표준 9 10 2 5" xfId="4762"/>
    <cellStyle name="표준 10 10 2 5" xfId="4763"/>
    <cellStyle name="표준 7 15 3 2 5" xfId="4764"/>
    <cellStyle name="표준 8 9 3 2 5" xfId="4765"/>
    <cellStyle name="표준 9 9 3 2 5" xfId="4766"/>
    <cellStyle name="표준 10 9 3 2 5" xfId="4767"/>
    <cellStyle name="표준 7 2 3 2 5" xfId="4768"/>
    <cellStyle name="표준 8 2 2 2 5" xfId="4769"/>
    <cellStyle name="표준 9 2 2 2 5" xfId="4770"/>
    <cellStyle name="표준 10 2 2 2 5" xfId="4771"/>
    <cellStyle name="표준 7 10 2 2 5" xfId="4772"/>
    <cellStyle name="표준 8 4 2 2 5" xfId="4773"/>
    <cellStyle name="표준 9 4 2 2 5" xfId="4774"/>
    <cellStyle name="표준 10 4 2 2 5" xfId="4775"/>
    <cellStyle name="표준 7 11 2 2 5" xfId="4776"/>
    <cellStyle name="표준 8 5 2 2 5" xfId="4777"/>
    <cellStyle name="표준 9 5 2 2 5" xfId="4778"/>
    <cellStyle name="표준 10 5 2 2 5" xfId="4779"/>
    <cellStyle name="표준 21 2 3 5" xfId="4780"/>
    <cellStyle name="표준 7 12 2 2 5" xfId="4781"/>
    <cellStyle name="표준 8 6 2 2 5" xfId="4782"/>
    <cellStyle name="표준 9 6 2 2 5" xfId="4783"/>
    <cellStyle name="표준 10 6 2 2 5" xfId="4784"/>
    <cellStyle name="표준 7 13 2 2 5" xfId="4785"/>
    <cellStyle name="표준 8 7 2 2 5" xfId="4786"/>
    <cellStyle name="표준 9 7 2 2 5" xfId="4787"/>
    <cellStyle name="표준 10 7 2 2 5" xfId="4788"/>
    <cellStyle name="표준 7 14 2 2 5" xfId="4789"/>
    <cellStyle name="표준 8 8 2 2 5" xfId="4790"/>
    <cellStyle name="표준 9 8 2 2 5" xfId="4791"/>
    <cellStyle name="표준 10 8 2 2 5" xfId="4792"/>
    <cellStyle name="표준 7 17 2 5" xfId="4793"/>
    <cellStyle name="표준 8 11 2 5" xfId="4794"/>
    <cellStyle name="표준 9 11 2 5" xfId="4795"/>
    <cellStyle name="표준 10 11 2 5" xfId="4796"/>
    <cellStyle name="표준 7 15 2 2 5" xfId="4797"/>
    <cellStyle name="표준 8 9 2 2 5" xfId="4798"/>
    <cellStyle name="표준 9 9 2 2 5" xfId="4799"/>
    <cellStyle name="표준 10 9 2 2 5" xfId="4800"/>
    <cellStyle name="표준 7 2 4 2 5" xfId="4801"/>
    <cellStyle name="표준 8 2 3 2 5" xfId="4802"/>
    <cellStyle name="표준 9 2 3 2 5" xfId="4803"/>
    <cellStyle name="표준 10 2 3 2 5" xfId="4804"/>
    <cellStyle name="표준 7 10 3 2 5" xfId="4805"/>
    <cellStyle name="표준 8 4 3 2 5" xfId="4806"/>
    <cellStyle name="표준 9 4 3 2 5" xfId="4807"/>
    <cellStyle name="표준 10 4 3 2 5" xfId="4808"/>
    <cellStyle name="표준 7 11 3 2 5" xfId="4809"/>
    <cellStyle name="표준 8 5 3 2 5" xfId="4810"/>
    <cellStyle name="표준 9 5 3 2 5" xfId="4811"/>
    <cellStyle name="표준 10 5 3 2 5" xfId="4812"/>
    <cellStyle name="표준 21 3 3 5" xfId="4813"/>
    <cellStyle name="표준 7 12 3 2 5" xfId="4814"/>
    <cellStyle name="표준 8 6 3 2 5" xfId="4815"/>
    <cellStyle name="표준 9 6 3 2 5" xfId="4816"/>
    <cellStyle name="표준 10 6 3 2 5" xfId="4817"/>
    <cellStyle name="표준 7 13 3 2 5" xfId="4818"/>
    <cellStyle name="표준 8 7 3 2 5" xfId="4819"/>
    <cellStyle name="표준 9 7 3 2 5" xfId="4820"/>
    <cellStyle name="표준 10 7 3 2 5" xfId="4821"/>
    <cellStyle name="표준 7 14 3 2 5" xfId="4822"/>
    <cellStyle name="표준 8 8 3 2 5" xfId="4823"/>
    <cellStyle name="표준 9 8 3 2 5" xfId="4824"/>
    <cellStyle name="표준 10 8 3 2 5" xfId="4825"/>
    <cellStyle name="표준 22 3 5" xfId="4826"/>
    <cellStyle name="표준 7 21 4" xfId="4827"/>
    <cellStyle name="표준 8 15 4" xfId="4828"/>
    <cellStyle name="표준 9 15 4" xfId="4829"/>
    <cellStyle name="표준 10 15 4" xfId="4830"/>
    <cellStyle name="표준 7 15 5 4" xfId="4831"/>
    <cellStyle name="표준 8 9 5 4" xfId="4832"/>
    <cellStyle name="표준 9 9 5 4" xfId="4833"/>
    <cellStyle name="표준 10 9 5 4" xfId="4834"/>
    <cellStyle name="표준 7 2 7 4" xfId="4835"/>
    <cellStyle name="표준 8 2 6 4" xfId="4836"/>
    <cellStyle name="표준 9 2 6 4" xfId="4837"/>
    <cellStyle name="표준 10 2 6 4" xfId="4838"/>
    <cellStyle name="표준 7 10 6 4" xfId="4839"/>
    <cellStyle name="표준 8 4 6 4" xfId="4840"/>
    <cellStyle name="표준 9 4 6 4" xfId="4841"/>
    <cellStyle name="표준 10 4 6 4" xfId="4842"/>
    <cellStyle name="표준 7 11 6 4" xfId="4843"/>
    <cellStyle name="표준 8 5 6 4" xfId="4844"/>
    <cellStyle name="표준 9 5 6 4" xfId="4845"/>
    <cellStyle name="표준 10 5 6 4" xfId="4846"/>
    <cellStyle name="표준 21 41 4" xfId="4847"/>
    <cellStyle name="표준 7 12 6 4" xfId="4848"/>
    <cellStyle name="표준 8 6 6 4" xfId="4849"/>
    <cellStyle name="표준 9 6 6 4" xfId="4850"/>
    <cellStyle name="표준 10 6 6 4" xfId="4851"/>
    <cellStyle name="표준 7 13 6 4" xfId="4852"/>
    <cellStyle name="표준 8 7 6 4" xfId="4853"/>
    <cellStyle name="표준 9 7 6 4" xfId="4854"/>
    <cellStyle name="표준 10 7 6 4" xfId="4855"/>
    <cellStyle name="표준 7 14 6 4" xfId="4856"/>
    <cellStyle name="표준 8 8 6 4" xfId="4857"/>
    <cellStyle name="표준 9 8 6 4" xfId="4858"/>
    <cellStyle name="표준 10 8 6 4" xfId="4859"/>
    <cellStyle name="표준 7 18 3 4" xfId="4860"/>
    <cellStyle name="표준 8 12 3 4" xfId="4861"/>
    <cellStyle name="표준 9 12 3 4" xfId="4862"/>
    <cellStyle name="표준 10 12 3 4" xfId="4863"/>
    <cellStyle name="표준 7 2 5 3 4" xfId="4864"/>
    <cellStyle name="표준 8 2 4 3 4" xfId="4865"/>
    <cellStyle name="표준 9 2 4 3 4" xfId="4866"/>
    <cellStyle name="표준 10 2 4 3 4" xfId="4867"/>
    <cellStyle name="표준 7 10 4 3 4" xfId="4868"/>
    <cellStyle name="표준 8 4 4 3 4" xfId="4869"/>
    <cellStyle name="표준 9 4 4 3 4" xfId="4870"/>
    <cellStyle name="표준 10 4 4 3 4" xfId="4871"/>
    <cellStyle name="표준 7 11 4 3 4" xfId="4872"/>
    <cellStyle name="표준 8 5 4 3 4" xfId="4873"/>
    <cellStyle name="표준 9 5 4 3 4" xfId="4874"/>
    <cellStyle name="표준 10 5 4 3 4" xfId="4875"/>
    <cellStyle name="표준 21 4 4 4" xfId="4876"/>
    <cellStyle name="표준 7 12 4 3 4" xfId="4877"/>
    <cellStyle name="표준 8 6 4 3 4" xfId="4878"/>
    <cellStyle name="표준 9 6 4 3 4" xfId="4879"/>
    <cellStyle name="표준 10 6 4 3 4" xfId="4880"/>
    <cellStyle name="표준 7 13 4 3 4" xfId="4881"/>
    <cellStyle name="표준 8 7 4 3 4" xfId="4882"/>
    <cellStyle name="표준 9 7 4 3 4" xfId="4883"/>
    <cellStyle name="표준 10 7 4 3 4" xfId="4884"/>
    <cellStyle name="표준 7 14 4 3 4" xfId="4885"/>
    <cellStyle name="표준 8 8 4 3 4" xfId="4886"/>
    <cellStyle name="표준 9 8 4 3 4" xfId="4887"/>
    <cellStyle name="표준 10 8 4 3 4" xfId="4888"/>
    <cellStyle name="표준 7 16 3 4" xfId="4889"/>
    <cellStyle name="표준 8 10 3 4" xfId="4890"/>
    <cellStyle name="표준 9 10 3 4" xfId="4891"/>
    <cellStyle name="표준 10 10 3 4" xfId="4892"/>
    <cellStyle name="표준 7 15 3 3 4" xfId="4893"/>
    <cellStyle name="표준 8 9 3 3 4" xfId="4894"/>
    <cellStyle name="표준 9 9 3 3 4" xfId="4895"/>
    <cellStyle name="표준 10 9 3 3 4" xfId="4896"/>
    <cellStyle name="표준 7 2 3 3 4" xfId="4897"/>
    <cellStyle name="표준 8 2 2 3 4" xfId="4898"/>
    <cellStyle name="표준 9 2 2 3 4" xfId="4899"/>
    <cellStyle name="표준 10 2 2 3 4" xfId="4900"/>
    <cellStyle name="표준 7 10 2 3 4" xfId="4901"/>
    <cellStyle name="표준 8 4 2 3 4" xfId="4902"/>
    <cellStyle name="표준 9 4 2 3 4" xfId="4903"/>
    <cellStyle name="표준 10 4 2 3 4" xfId="4904"/>
    <cellStyle name="표준 7 11 2 3 4" xfId="4905"/>
    <cellStyle name="표준 8 5 2 3 4" xfId="4906"/>
    <cellStyle name="표준 9 5 2 3 4" xfId="4907"/>
    <cellStyle name="표준 10 5 2 3 4" xfId="4908"/>
    <cellStyle name="표준 21 2 4 4" xfId="4909"/>
    <cellStyle name="표준 7 12 2 3 4" xfId="4910"/>
    <cellStyle name="표준 8 6 2 3 4" xfId="4911"/>
    <cellStyle name="표준 9 6 2 3 4" xfId="4912"/>
    <cellStyle name="표준 10 6 2 3 4" xfId="4913"/>
    <cellStyle name="표준 7 13 2 3 4" xfId="4914"/>
    <cellStyle name="표준 8 7 2 3 4" xfId="4915"/>
    <cellStyle name="표준 9 7 2 3 4" xfId="4916"/>
    <cellStyle name="표준 10 7 2 3 4" xfId="4917"/>
    <cellStyle name="표준 7 14 2 3 4" xfId="4918"/>
    <cellStyle name="표준 8 8 2 3 4" xfId="4919"/>
    <cellStyle name="표준 9 8 2 3 4" xfId="4920"/>
    <cellStyle name="표준 10 8 2 3 4" xfId="4921"/>
    <cellStyle name="표준 7 17 3 4" xfId="4922"/>
    <cellStyle name="표준 8 11 3 4" xfId="4923"/>
    <cellStyle name="표준 9 11 3 4" xfId="4924"/>
    <cellStyle name="표준 10 11 3 4" xfId="4925"/>
    <cellStyle name="표준 7 15 2 3 4" xfId="4926"/>
    <cellStyle name="표준 8 9 2 3 4" xfId="4927"/>
    <cellStyle name="표준 9 9 2 3 4" xfId="4928"/>
    <cellStyle name="표준 10 9 2 3 4" xfId="4929"/>
    <cellStyle name="표준 7 2 4 3 4" xfId="4930"/>
    <cellStyle name="표준 8 2 3 3 4" xfId="4931"/>
    <cellStyle name="표준 9 2 3 3 4" xfId="4932"/>
    <cellStyle name="표준 10 2 3 3 4" xfId="4933"/>
    <cellStyle name="표준 7 10 3 3 4" xfId="4934"/>
    <cellStyle name="표준 8 4 3 3 4" xfId="4935"/>
    <cellStyle name="표준 9 4 3 3 4" xfId="4936"/>
    <cellStyle name="표준 10 4 3 3 4" xfId="4937"/>
    <cellStyle name="표준 7 11 3 3 4" xfId="4938"/>
    <cellStyle name="표준 8 5 3 3 4" xfId="4939"/>
    <cellStyle name="표준 9 5 3 3 4" xfId="4940"/>
    <cellStyle name="표준 10 5 3 3 4" xfId="4941"/>
    <cellStyle name="표준 21 3 4 4" xfId="4942"/>
    <cellStyle name="표준 7 12 3 3 4" xfId="4943"/>
    <cellStyle name="표준 8 6 3 3 4" xfId="4944"/>
    <cellStyle name="표준 9 6 3 3 4" xfId="4945"/>
    <cellStyle name="표준 10 6 3 3 4" xfId="4946"/>
    <cellStyle name="표준 7 13 3 3 4" xfId="4947"/>
    <cellStyle name="표준 8 7 3 3 4" xfId="4948"/>
    <cellStyle name="표준 9 7 3 3 4" xfId="4949"/>
    <cellStyle name="표준 10 7 3 3 4" xfId="4950"/>
    <cellStyle name="표준 7 14 3 3 4" xfId="4951"/>
    <cellStyle name="표준 8 8 3 3 4" xfId="4952"/>
    <cellStyle name="표준 9 8 3 3 4" xfId="4953"/>
    <cellStyle name="표준 10 8 3 3 4" xfId="4954"/>
    <cellStyle name="표준 22 4 4" xfId="4955"/>
    <cellStyle name="표준 10 10 2 2 4" xfId="4956"/>
    <cellStyle name="표준 10 11 2 2 4" xfId="4957"/>
    <cellStyle name="표준 10 12 2 2 4" xfId="4958"/>
    <cellStyle name="표준 10 14 2 4" xfId="4959"/>
    <cellStyle name="표준 10 2 2 2 2 4" xfId="4960"/>
    <cellStyle name="표준 10 2 3 2 2 4" xfId="4961"/>
    <cellStyle name="표준 10 2 4 2 2 4" xfId="4962"/>
    <cellStyle name="표준 10 2 5 2 4" xfId="4963"/>
    <cellStyle name="표준 10 4 2 2 2 4" xfId="4964"/>
    <cellStyle name="표준 10 4 3 2 2 4" xfId="4965"/>
    <cellStyle name="표준 10 4 4 2 2 4" xfId="4966"/>
    <cellStyle name="표준 10 4 5 2 4" xfId="4967"/>
    <cellStyle name="표준 10 5 2 2 2 4" xfId="4968"/>
    <cellStyle name="표준 10 5 3 2 2 4" xfId="4969"/>
    <cellStyle name="표준 10 5 4 2 2 4" xfId="4970"/>
    <cellStyle name="표준 10 5 5 2 4" xfId="4971"/>
    <cellStyle name="표준 10 6 2 2 2 4" xfId="4972"/>
    <cellStyle name="표준 10 6 3 2 2 4" xfId="4973"/>
    <cellStyle name="표준 10 6 4 2 2 4" xfId="4974"/>
    <cellStyle name="표준 10 6 5 2 4" xfId="4975"/>
    <cellStyle name="표준 10 7 2 2 2 4" xfId="4976"/>
    <cellStyle name="표준 10 7 3 2 2 4" xfId="4977"/>
    <cellStyle name="표준 10 7 4 2 2 4" xfId="4978"/>
    <cellStyle name="표준 10 7 5 2 4" xfId="4979"/>
    <cellStyle name="표준 10 8 2 2 2 4" xfId="4980"/>
    <cellStyle name="표준 10 8 3 2 2 4" xfId="4981"/>
    <cellStyle name="표준 10 8 4 2 2 4" xfId="4982"/>
    <cellStyle name="표준 10 8 5 2 4" xfId="4983"/>
    <cellStyle name="표준 10 9 2 2 2 4" xfId="4984"/>
    <cellStyle name="표준 10 9 3 2 2 4" xfId="4985"/>
    <cellStyle name="표준 10 9 4 2 4" xfId="4986"/>
    <cellStyle name="표준 21 2 3 2 4" xfId="4987"/>
    <cellStyle name="표준 21 3 3 2 4" xfId="4988"/>
    <cellStyle name="표준 21 4 3 2 4" xfId="4989"/>
    <cellStyle name="표준 21 40 2 4" xfId="4990"/>
    <cellStyle name="표준 22 3 2 4" xfId="4991"/>
    <cellStyle name="표준 24 42" xfId="4992"/>
    <cellStyle name="표준 25 26" xfId="4993"/>
    <cellStyle name="표준 7 10 2 2 2 4" xfId="4994"/>
    <cellStyle name="표준 7 10 3 2 2 4" xfId="4995"/>
    <cellStyle name="표준 7 10 4 2 2 4" xfId="4996"/>
    <cellStyle name="표준 7 10 5 2 4" xfId="4997"/>
    <cellStyle name="표준 7 11 2 2 2 4" xfId="4998"/>
    <cellStyle name="표준 7 11 3 2 2 4" xfId="4999"/>
    <cellStyle name="표준 7 11 4 2 2 4" xfId="5000"/>
    <cellStyle name="표준 7 11 5 2 4" xfId="5001"/>
    <cellStyle name="표준 7 12 2 2 2 4" xfId="5002"/>
    <cellStyle name="표준 7 12 3 2 2 4" xfId="5003"/>
    <cellStyle name="표준 7 12 4 2 2 4" xfId="5004"/>
    <cellStyle name="표준 7 12 5 2 4" xfId="5005"/>
    <cellStyle name="표준 7 13 2 2 2 4" xfId="5006"/>
    <cellStyle name="표준 7 13 3 2 2 4" xfId="5007"/>
    <cellStyle name="표준 7 13 4 2 2 4" xfId="5008"/>
    <cellStyle name="표준 7 13 5 2 4" xfId="5009"/>
    <cellStyle name="표준 7 14 2 2 2 4" xfId="5010"/>
    <cellStyle name="표준 7 14 3 2 2 4" xfId="5011"/>
    <cellStyle name="표준 7 14 4 2 2 4" xfId="5012"/>
    <cellStyle name="표준 7 14 5 2 4" xfId="5013"/>
    <cellStyle name="표준 7 15 2 2 2 4" xfId="5014"/>
    <cellStyle name="표준 7 15 3 2 2 4" xfId="5015"/>
    <cellStyle name="표준 7 15 4 2 4" xfId="5016"/>
    <cellStyle name="표준 7 16 2 2 4" xfId="5017"/>
    <cellStyle name="표준 7 17 2 2 4" xfId="5018"/>
    <cellStyle name="표준 7 18 2 2 4" xfId="5019"/>
    <cellStyle name="표준 7 2 3 2 2 4" xfId="5020"/>
    <cellStyle name="표준 7 2 4 2 2 4" xfId="5021"/>
    <cellStyle name="표준 7 2 5 2 2 4" xfId="5022"/>
    <cellStyle name="표준 7 2 6 2 4" xfId="5023"/>
    <cellStyle name="표준 7 20 2 4" xfId="5024"/>
    <cellStyle name="표준 8 10 2 2 4" xfId="5025"/>
    <cellStyle name="표준 8 11 2 2 4" xfId="5026"/>
    <cellStyle name="표준 8 12 2 2 4" xfId="5027"/>
    <cellStyle name="표준 8 14 2 4" xfId="5028"/>
    <cellStyle name="표준 8 2 2 2 2 4" xfId="5029"/>
    <cellStyle name="표준 8 2 3 2 2 4" xfId="5030"/>
    <cellStyle name="표준 8 2 4 2 2 4" xfId="5031"/>
    <cellStyle name="표준 8 2 5 2 4" xfId="5032"/>
    <cellStyle name="표준 8 4 2 2 2 4" xfId="5033"/>
    <cellStyle name="표준 8 4 3 2 2 4" xfId="5034"/>
    <cellStyle name="표준 8 4 4 2 2 4" xfId="5035"/>
    <cellStyle name="표준 8 4 5 2 4" xfId="5036"/>
    <cellStyle name="표준 8 5 2 2 2 4" xfId="5037"/>
    <cellStyle name="표준 8 5 3 2 2 4" xfId="5038"/>
    <cellStyle name="표준 8 5 4 2 2 4" xfId="5039"/>
    <cellStyle name="표준 8 5 5 2 4" xfId="5040"/>
    <cellStyle name="표준 8 6 2 2 2 4" xfId="5041"/>
    <cellStyle name="표준 8 6 3 2 2 4" xfId="5042"/>
    <cellStyle name="표준 8 6 4 2 2 4" xfId="5043"/>
    <cellStyle name="표준 8 6 5 2 4" xfId="5044"/>
    <cellStyle name="표준 8 7 2 2 2 4" xfId="5045"/>
    <cellStyle name="표준 8 7 3 2 2 4" xfId="5046"/>
    <cellStyle name="표준 8 7 4 2 2 4" xfId="5047"/>
    <cellStyle name="표준 8 7 5 2 4" xfId="5048"/>
    <cellStyle name="표준 8 8 2 2 2 4" xfId="5049"/>
    <cellStyle name="표준 8 8 3 2 2 4" xfId="5050"/>
    <cellStyle name="표준 8 8 4 2 2 4" xfId="5051"/>
    <cellStyle name="표준 8 8 5 2 4" xfId="5052"/>
    <cellStyle name="표준 8 9 2 2 2 4" xfId="5053"/>
    <cellStyle name="표준 8 9 3 2 2 4" xfId="5054"/>
    <cellStyle name="표준 8 9 4 2 4" xfId="5055"/>
    <cellStyle name="표준 9 10 2 2 4" xfId="5056"/>
    <cellStyle name="표준 9 11 2 2 4" xfId="5057"/>
    <cellStyle name="표준 9 12 2 2 4" xfId="5058"/>
    <cellStyle name="표준 9 14 2 4" xfId="5059"/>
    <cellStyle name="표준 9 2 2 2 2 4" xfId="5060"/>
    <cellStyle name="표준 9 2 3 2 2 4" xfId="5061"/>
    <cellStyle name="표준 9 2 4 2 2 4" xfId="5062"/>
    <cellStyle name="표준 9 2 5 2 4" xfId="5063"/>
    <cellStyle name="표준 9 4 2 2 2 4" xfId="5064"/>
    <cellStyle name="표준 9 4 3 2 2 4" xfId="5065"/>
    <cellStyle name="표준 9 4 4 2 2 4" xfId="5066"/>
    <cellStyle name="표준 9 4 5 2 4" xfId="5067"/>
    <cellStyle name="표준 9 5 2 2 2 4" xfId="5068"/>
    <cellStyle name="표준 9 5 3 2 2 4" xfId="5069"/>
    <cellStyle name="표준 9 5 4 2 2 4" xfId="5070"/>
    <cellStyle name="표준 9 5 5 2 4" xfId="5071"/>
    <cellStyle name="표준 9 6 2 2 2 4" xfId="5072"/>
    <cellStyle name="표준 9 6 3 2 2 4" xfId="5073"/>
    <cellStyle name="표준 9 6 4 2 2 4" xfId="5074"/>
    <cellStyle name="표준 9 6 5 2 4" xfId="5075"/>
    <cellStyle name="표준 9 7 2 2 2 4" xfId="5076"/>
    <cellStyle name="표준 9 7 3 2 2 4" xfId="5077"/>
    <cellStyle name="표준 9 7 4 2 2 4" xfId="5078"/>
    <cellStyle name="표준 9 7 5 2 4" xfId="5079"/>
    <cellStyle name="표준 9 8 2 2 2 4" xfId="5080"/>
    <cellStyle name="표준 9 8 3 2 2 4" xfId="5081"/>
    <cellStyle name="표준 9 8 4 2 2 4" xfId="5082"/>
    <cellStyle name="표준 9 8 5 2 4" xfId="5083"/>
    <cellStyle name="표준 9 9 2 2 2 4" xfId="5084"/>
    <cellStyle name="표준 9 9 3 2 2 4" xfId="5085"/>
    <cellStyle name="표준 9 9 4 2 4" xfId="5086"/>
    <cellStyle name="표준 27 43" xfId="5087"/>
    <cellStyle name="표준 26 43" xfId="5088"/>
    <cellStyle name="표준 7 22 3" xfId="5089"/>
    <cellStyle name="표준 8 16 3" xfId="5090"/>
    <cellStyle name="표준 9 16 3" xfId="5091"/>
    <cellStyle name="표준 10 16 3" xfId="5092"/>
    <cellStyle name="표준 7 15 6 3" xfId="5093"/>
    <cellStyle name="표준 8 9 6 3" xfId="5094"/>
    <cellStyle name="표준 9 9 6 3" xfId="5095"/>
    <cellStyle name="표준 10 9 6 3" xfId="5096"/>
    <cellStyle name="표준 7 2 8 3" xfId="5097"/>
    <cellStyle name="표준 8 2 7 3" xfId="5098"/>
    <cellStyle name="표준 9 2 7 3" xfId="5099"/>
    <cellStyle name="표준 10 2 7 3" xfId="5100"/>
    <cellStyle name="표준 7 10 7 3" xfId="5101"/>
    <cellStyle name="표준 8 4 7 3" xfId="5102"/>
    <cellStyle name="표준 9 4 7 3" xfId="5103"/>
    <cellStyle name="표준 10 4 7 3" xfId="5104"/>
    <cellStyle name="표준 7 11 7 3" xfId="5105"/>
    <cellStyle name="표준 8 5 7 3" xfId="5106"/>
    <cellStyle name="표준 9 5 7 3" xfId="5107"/>
    <cellStyle name="표준 10 5 7 3" xfId="5108"/>
    <cellStyle name="표준 21 42 3" xfId="5109"/>
    <cellStyle name="표준 7 12 7 3" xfId="5110"/>
    <cellStyle name="표준 8 6 7 3" xfId="5111"/>
    <cellStyle name="표준 9 6 7 3" xfId="5112"/>
    <cellStyle name="표준 10 6 7 3" xfId="5113"/>
    <cellStyle name="표준 7 13 7 3" xfId="5114"/>
    <cellStyle name="표준 8 7 7 3" xfId="5115"/>
    <cellStyle name="표준 9 7 7 3" xfId="5116"/>
    <cellStyle name="표준 10 7 7 3" xfId="5117"/>
    <cellStyle name="표준 7 14 7 3" xfId="5118"/>
    <cellStyle name="표준 8 8 7 3" xfId="5119"/>
    <cellStyle name="표준 9 8 7 3" xfId="5120"/>
    <cellStyle name="표준 10 8 7 3" xfId="5121"/>
    <cellStyle name="표준 7 18 4 3" xfId="5122"/>
    <cellStyle name="표준 8 12 4 3" xfId="5123"/>
    <cellStyle name="표준 9 12 4 3" xfId="5124"/>
    <cellStyle name="표준 10 12 4 3" xfId="5125"/>
    <cellStyle name="표준 7 2 5 4 3" xfId="5126"/>
    <cellStyle name="표준 8 2 4 4 3" xfId="5127"/>
    <cellStyle name="표준 9 2 4 4 3" xfId="5128"/>
    <cellStyle name="표준 10 2 4 4 3" xfId="5129"/>
    <cellStyle name="표준 7 10 4 4 3" xfId="5130"/>
    <cellStyle name="표준 8 4 4 4 3" xfId="5131"/>
    <cellStyle name="표준 9 4 4 4 3" xfId="5132"/>
    <cellStyle name="표준 10 4 4 4 3" xfId="5133"/>
    <cellStyle name="표준 7 11 4 4 3" xfId="5134"/>
    <cellStyle name="표준 8 5 4 4 3" xfId="5135"/>
    <cellStyle name="표준 9 5 4 4 3" xfId="5136"/>
    <cellStyle name="표준 10 5 4 4 3" xfId="5137"/>
    <cellStyle name="표준 21 4 5 3" xfId="5138"/>
    <cellStyle name="표준 7 12 4 4 3" xfId="5139"/>
    <cellStyle name="표준 8 6 4 4 3" xfId="5140"/>
    <cellStyle name="표준 9 6 4 4 3" xfId="5141"/>
    <cellStyle name="표준 10 6 4 4 3" xfId="5142"/>
    <cellStyle name="표준 7 13 4 4 3" xfId="5143"/>
    <cellStyle name="표준 8 7 4 4 3" xfId="5144"/>
    <cellStyle name="표준 9 7 4 4 3" xfId="5145"/>
    <cellStyle name="표준 10 7 4 4 3" xfId="5146"/>
    <cellStyle name="표준 7 14 4 4 3" xfId="5147"/>
    <cellStyle name="표준 8 8 4 4 3" xfId="5148"/>
    <cellStyle name="표준 9 8 4 4 3" xfId="5149"/>
    <cellStyle name="표준 10 8 4 4 3" xfId="5150"/>
    <cellStyle name="표준 7 16 4 3" xfId="5151"/>
    <cellStyle name="표준 8 10 4 3" xfId="5152"/>
    <cellStyle name="표준 9 10 4 3" xfId="5153"/>
    <cellStyle name="표준 10 10 4 3" xfId="5154"/>
    <cellStyle name="표준 7 15 3 4 3" xfId="5155"/>
    <cellStyle name="표준 8 9 3 4 3" xfId="5156"/>
    <cellStyle name="표준 9 9 3 4 3" xfId="5157"/>
    <cellStyle name="표준 10 9 3 4 3" xfId="5158"/>
    <cellStyle name="표준 7 2 3 4 3" xfId="5159"/>
    <cellStyle name="표준 8 2 2 4 3" xfId="5160"/>
    <cellStyle name="표준 9 2 2 4 3" xfId="5161"/>
    <cellStyle name="표준 10 2 2 4 3" xfId="5162"/>
    <cellStyle name="표준 7 10 2 4 3" xfId="5163"/>
    <cellStyle name="표준 8 4 2 4 3" xfId="5164"/>
    <cellStyle name="표준 9 4 2 4 3" xfId="5165"/>
    <cellStyle name="표준 10 4 2 4 3" xfId="5166"/>
    <cellStyle name="표준 7 11 2 4 3" xfId="5167"/>
    <cellStyle name="표준 8 5 2 4 3" xfId="5168"/>
    <cellStyle name="표준 9 5 2 4 3" xfId="5169"/>
    <cellStyle name="표준 10 5 2 4 3" xfId="5170"/>
    <cellStyle name="표준 21 2 5 3" xfId="5171"/>
    <cellStyle name="표준 7 12 2 4 3" xfId="5172"/>
    <cellStyle name="표준 8 6 2 4 3" xfId="5173"/>
    <cellStyle name="표준 9 6 2 4 3" xfId="5174"/>
    <cellStyle name="표준 10 6 2 4 3" xfId="5175"/>
    <cellStyle name="표준 7 13 2 4 3" xfId="5176"/>
    <cellStyle name="표준 8 7 2 4 3" xfId="5177"/>
    <cellStyle name="표준 9 7 2 4 3" xfId="5178"/>
    <cellStyle name="표준 10 7 2 4 3" xfId="5179"/>
    <cellStyle name="표준 7 14 2 4 3" xfId="5180"/>
    <cellStyle name="표준 8 8 2 4 3" xfId="5181"/>
    <cellStyle name="표준 9 8 2 4 3" xfId="5182"/>
    <cellStyle name="표준 10 8 2 4 3" xfId="5183"/>
    <cellStyle name="표준 7 17 4 3" xfId="5184"/>
    <cellStyle name="표준 8 11 4 3" xfId="5185"/>
    <cellStyle name="표준 9 11 4 3" xfId="5186"/>
    <cellStyle name="표준 10 11 4 3" xfId="5187"/>
    <cellStyle name="표준 7 15 2 4 3" xfId="5188"/>
    <cellStyle name="표준 8 9 2 4 3" xfId="5189"/>
    <cellStyle name="표준 9 9 2 4 3" xfId="5190"/>
    <cellStyle name="표준 10 9 2 4 3" xfId="5191"/>
    <cellStyle name="표준 7 2 4 4 3" xfId="5192"/>
    <cellStyle name="표준 8 2 3 4 3" xfId="5193"/>
    <cellStyle name="표준 9 2 3 4 3" xfId="5194"/>
    <cellStyle name="표준 10 2 3 4 3" xfId="5195"/>
    <cellStyle name="표준 7 10 3 4 3" xfId="5196"/>
    <cellStyle name="표준 8 4 3 4 3" xfId="5197"/>
    <cellStyle name="표준 9 4 3 4 3" xfId="5198"/>
    <cellStyle name="표준 10 4 3 4 3" xfId="5199"/>
    <cellStyle name="표준 7 11 3 4 3" xfId="5200"/>
    <cellStyle name="표준 8 5 3 4 3" xfId="5201"/>
    <cellStyle name="표준 9 5 3 4 3" xfId="5202"/>
    <cellStyle name="표준 10 5 3 4 3" xfId="5203"/>
    <cellStyle name="표준 21 3 5 3" xfId="5204"/>
    <cellStyle name="표준 7 12 3 4 3" xfId="5205"/>
    <cellStyle name="표준 8 6 3 4 3" xfId="5206"/>
    <cellStyle name="표준 9 6 3 4 3" xfId="5207"/>
    <cellStyle name="표준 10 6 3 4 3" xfId="5208"/>
    <cellStyle name="표준 7 13 3 4 3" xfId="5209"/>
    <cellStyle name="표준 8 7 3 4 3" xfId="5210"/>
    <cellStyle name="표준 9 7 3 4 3" xfId="5211"/>
    <cellStyle name="표준 10 7 3 4 3" xfId="5212"/>
    <cellStyle name="표준 7 14 3 4 3" xfId="5213"/>
    <cellStyle name="표준 8 8 3 4 3" xfId="5214"/>
    <cellStyle name="표준 9 8 3 4 3" xfId="5215"/>
    <cellStyle name="표준 10 8 3 4 3" xfId="5216"/>
    <cellStyle name="표준 22 5 3" xfId="5217"/>
    <cellStyle name="표준 7 20 3 3" xfId="5218"/>
    <cellStyle name="표준 8 14 3 3" xfId="5219"/>
    <cellStyle name="표준 9 14 3 3" xfId="5220"/>
    <cellStyle name="표준 10 14 3 3" xfId="5221"/>
    <cellStyle name="표준 7 15 4 3 3" xfId="5222"/>
    <cellStyle name="표준 8 9 4 3 3" xfId="5223"/>
    <cellStyle name="표준 9 9 4 3 3" xfId="5224"/>
    <cellStyle name="표준 10 9 4 3 3" xfId="5225"/>
    <cellStyle name="표준 7 2 6 3 3" xfId="5226"/>
    <cellStyle name="표준 8 2 5 3 3" xfId="5227"/>
    <cellStyle name="표준 9 2 5 3 3" xfId="5228"/>
    <cellStyle name="표준 10 2 5 3 3" xfId="5229"/>
    <cellStyle name="표준 7 10 5 3 3" xfId="5230"/>
    <cellStyle name="표준 8 4 5 3 3" xfId="5231"/>
    <cellStyle name="표준 9 4 5 3 3" xfId="5232"/>
    <cellStyle name="표준 10 4 5 3 3" xfId="5233"/>
    <cellStyle name="표준 7 11 5 3 3" xfId="5234"/>
    <cellStyle name="표준 8 5 5 3 3" xfId="5235"/>
    <cellStyle name="표준 9 5 5 3 3" xfId="5236"/>
    <cellStyle name="표준 10 5 5 3 3" xfId="5237"/>
    <cellStyle name="표준 21 40 3 3" xfId="5238"/>
    <cellStyle name="표준 7 12 5 3 3" xfId="5239"/>
    <cellStyle name="표준 8 6 5 3 3" xfId="5240"/>
    <cellStyle name="표준 9 6 5 3 3" xfId="5241"/>
    <cellStyle name="표준 10 6 5 3 3" xfId="5242"/>
    <cellStyle name="표준 7 13 5 3 3" xfId="5243"/>
    <cellStyle name="표준 8 7 5 3 3" xfId="5244"/>
    <cellStyle name="표준 9 7 5 3 3" xfId="5245"/>
    <cellStyle name="표준 10 7 5 3 3" xfId="5246"/>
    <cellStyle name="표준 7 14 5 3 3" xfId="5247"/>
    <cellStyle name="표준 8 8 5 3 3" xfId="5248"/>
    <cellStyle name="표준 9 8 5 3 3" xfId="5249"/>
    <cellStyle name="표준 10 8 5 3 3" xfId="5250"/>
    <cellStyle name="표준 7 18 2 3 3" xfId="5251"/>
    <cellStyle name="표준 8 12 2 3 3" xfId="5252"/>
    <cellStyle name="표준 9 12 2 3 3" xfId="5253"/>
    <cellStyle name="표준 10 12 2 3 3" xfId="5254"/>
    <cellStyle name="표준 7 2 5 2 3 3" xfId="5255"/>
    <cellStyle name="표준 8 2 4 2 3 3" xfId="5256"/>
    <cellStyle name="표준 9 2 4 2 3 3" xfId="5257"/>
    <cellStyle name="표준 10 2 4 2 3 3" xfId="5258"/>
    <cellStyle name="표준 7 10 4 2 3 3" xfId="5259"/>
    <cellStyle name="표준 8 4 4 2 3 3" xfId="5260"/>
    <cellStyle name="표준 9 4 4 2 3 3" xfId="5261"/>
    <cellStyle name="표준 10 4 4 2 3 3" xfId="5262"/>
    <cellStyle name="표준 7 11 4 2 3 3" xfId="5263"/>
    <cellStyle name="표준 8 5 4 2 3 3" xfId="5264"/>
    <cellStyle name="표준 9 5 4 2 3 3" xfId="5265"/>
    <cellStyle name="표준 10 5 4 2 3 3" xfId="5266"/>
    <cellStyle name="표준 21 4 3 3 3" xfId="5267"/>
    <cellStyle name="표준 7 12 4 2 3 3" xfId="5268"/>
    <cellStyle name="표준 8 6 4 2 3 3" xfId="5269"/>
    <cellStyle name="표준 9 6 4 2 3 3" xfId="5270"/>
    <cellStyle name="표준 10 6 4 2 3 3" xfId="5271"/>
    <cellStyle name="표준 7 13 4 2 3 3" xfId="5272"/>
    <cellStyle name="표준 8 7 4 2 3 3" xfId="5273"/>
    <cellStyle name="표준 9 7 4 2 3 3" xfId="5274"/>
    <cellStyle name="표준 10 7 4 2 3 3" xfId="5275"/>
    <cellStyle name="표준 7 14 4 2 3 3" xfId="5276"/>
    <cellStyle name="표준 8 8 4 2 3 3" xfId="5277"/>
    <cellStyle name="표준 9 8 4 2 3 3" xfId="5278"/>
    <cellStyle name="표준 10 8 4 2 3 3" xfId="5279"/>
    <cellStyle name="표준 7 16 2 3 3" xfId="5280"/>
    <cellStyle name="표준 8 10 2 3 3" xfId="5281"/>
    <cellStyle name="표준 9 10 2 3 3" xfId="5282"/>
    <cellStyle name="표준 10 10 2 3 3" xfId="5283"/>
    <cellStyle name="표준 7 15 3 2 3 3" xfId="5284"/>
    <cellStyle name="표준 8 9 3 2 3 3" xfId="5285"/>
    <cellStyle name="표준 9 9 3 2 3 3" xfId="5286"/>
    <cellStyle name="표준 10 9 3 2 3 3" xfId="5287"/>
    <cellStyle name="표준 7 2 3 2 3 3" xfId="5288"/>
    <cellStyle name="표준 8 2 2 2 3 3" xfId="5289"/>
    <cellStyle name="표준 9 2 2 2 3 3" xfId="5290"/>
    <cellStyle name="표준 10 2 2 2 3 3" xfId="5291"/>
    <cellStyle name="표준 7 10 2 2 3 3" xfId="5292"/>
    <cellStyle name="표준 8 4 2 2 3 3" xfId="5293"/>
    <cellStyle name="표준 9 4 2 2 3 3" xfId="5294"/>
    <cellStyle name="표준 10 4 2 2 3 3" xfId="5295"/>
    <cellStyle name="표준 7 11 2 2 3 3" xfId="5296"/>
    <cellStyle name="표준 8 5 2 2 3 3" xfId="5297"/>
    <cellStyle name="표준 9 5 2 2 3 3" xfId="5298"/>
    <cellStyle name="표준 10 5 2 2 3 3" xfId="5299"/>
    <cellStyle name="표준 21 2 3 3 3" xfId="5300"/>
    <cellStyle name="표준 7 12 2 2 3 3" xfId="5301"/>
    <cellStyle name="표준 8 6 2 2 3 3" xfId="5302"/>
    <cellStyle name="표준 9 6 2 2 3 3" xfId="5303"/>
    <cellStyle name="표준 10 6 2 2 3 3" xfId="5304"/>
    <cellStyle name="표준 7 13 2 2 3 3" xfId="5305"/>
    <cellStyle name="표준 8 7 2 2 3 3" xfId="5306"/>
    <cellStyle name="표준 9 7 2 2 3 3" xfId="5307"/>
    <cellStyle name="표준 10 7 2 2 3 3" xfId="5308"/>
    <cellStyle name="표준 7 14 2 2 3 3" xfId="5309"/>
    <cellStyle name="표준 8 8 2 2 3 3" xfId="5310"/>
    <cellStyle name="표준 9 8 2 2 3 3" xfId="5311"/>
    <cellStyle name="표준 10 8 2 2 3 3" xfId="5312"/>
    <cellStyle name="표준 7 17 2 3 3" xfId="5313"/>
    <cellStyle name="표준 8 11 2 3 3" xfId="5314"/>
    <cellStyle name="표준 9 11 2 3 3" xfId="5315"/>
    <cellStyle name="표준 10 11 2 3 3" xfId="5316"/>
    <cellStyle name="표준 7 15 2 2 3 3" xfId="5317"/>
    <cellStyle name="표준 8 9 2 2 3 3" xfId="5318"/>
    <cellStyle name="표준 9 9 2 2 3 3" xfId="5319"/>
    <cellStyle name="표준 10 9 2 2 3 3" xfId="5320"/>
    <cellStyle name="표준 7 2 4 2 3 3" xfId="5321"/>
    <cellStyle name="표준 8 2 3 2 3 3" xfId="5322"/>
    <cellStyle name="표준 9 2 3 2 3 3" xfId="5323"/>
    <cellStyle name="표준 10 2 3 2 3 3" xfId="5324"/>
    <cellStyle name="표준 7 10 3 2 3 3" xfId="5325"/>
    <cellStyle name="표준 8 4 3 2 3 3" xfId="5326"/>
    <cellStyle name="표준 9 4 3 2 3 3" xfId="5327"/>
    <cellStyle name="표준 10 4 3 2 3 3" xfId="5328"/>
    <cellStyle name="표준 7 11 3 2 3 3" xfId="5329"/>
    <cellStyle name="표준 8 5 3 2 3 3" xfId="5330"/>
    <cellStyle name="표준 9 5 3 2 3 3" xfId="5331"/>
    <cellStyle name="표준 10 5 3 2 3 3" xfId="5332"/>
    <cellStyle name="표준 21 3 3 3 3" xfId="5333"/>
    <cellStyle name="표준 7 12 3 2 3 3" xfId="5334"/>
    <cellStyle name="표준 8 6 3 2 3 3" xfId="5335"/>
    <cellStyle name="표준 9 6 3 2 3 3" xfId="5336"/>
    <cellStyle name="표준 10 6 3 2 3 3" xfId="5337"/>
    <cellStyle name="표준 7 13 3 2 3 3" xfId="5338"/>
    <cellStyle name="표준 8 7 3 2 3 3" xfId="5339"/>
    <cellStyle name="표준 9 7 3 2 3 3" xfId="5340"/>
    <cellStyle name="표준 10 7 3 2 3 3" xfId="5341"/>
    <cellStyle name="표준 7 14 3 2 3 3" xfId="5342"/>
    <cellStyle name="표준 8 8 3 2 3 3" xfId="5343"/>
    <cellStyle name="표준 9 8 3 2 3 3" xfId="5344"/>
    <cellStyle name="표준 10 8 3 2 3 3" xfId="5345"/>
    <cellStyle name="표준 22 3 3 3" xfId="5346"/>
    <cellStyle name="표준 7 21 2 3" xfId="5347"/>
    <cellStyle name="표준 8 15 2 3" xfId="5348"/>
    <cellStyle name="표준 9 15 2 3" xfId="5349"/>
    <cellStyle name="표준 10 15 2 3" xfId="5350"/>
    <cellStyle name="표준 7 15 5 2 3" xfId="5351"/>
    <cellStyle name="표준 8 9 5 2 3" xfId="5352"/>
    <cellStyle name="표준 9 9 5 2 3" xfId="5353"/>
    <cellStyle name="표준 10 9 5 2 3" xfId="5354"/>
    <cellStyle name="표준 7 2 7 2 3" xfId="5355"/>
    <cellStyle name="표준 8 2 6 2 3" xfId="5356"/>
    <cellStyle name="표준 9 2 6 2 3" xfId="5357"/>
    <cellStyle name="표준 10 2 6 2 3" xfId="5358"/>
    <cellStyle name="표준 7 10 6 2 3" xfId="5359"/>
    <cellStyle name="표준 8 4 6 2 3" xfId="5360"/>
    <cellStyle name="표준 9 4 6 2 3" xfId="5361"/>
    <cellStyle name="표준 10 4 6 2 3" xfId="5362"/>
    <cellStyle name="표준 7 11 6 2 3" xfId="5363"/>
    <cellStyle name="표준 8 5 6 2 3" xfId="5364"/>
    <cellStyle name="표준 9 5 6 2 3" xfId="5365"/>
    <cellStyle name="표준 10 5 6 2 3" xfId="5366"/>
    <cellStyle name="표준 21 41 2 3" xfId="5367"/>
    <cellStyle name="표준 7 12 6 2 3" xfId="5368"/>
    <cellStyle name="표준 8 6 6 2 3" xfId="5369"/>
    <cellStyle name="표준 9 6 6 2 3" xfId="5370"/>
    <cellStyle name="표준 10 6 6 2 3" xfId="5371"/>
    <cellStyle name="표준 7 13 6 2 3" xfId="5372"/>
    <cellStyle name="표준 8 7 6 2 3" xfId="5373"/>
    <cellStyle name="표준 9 7 6 2 3" xfId="5374"/>
    <cellStyle name="표준 10 7 6 2 3" xfId="5375"/>
    <cellStyle name="표준 7 14 6 2 3" xfId="5376"/>
    <cellStyle name="표준 8 8 6 2 3" xfId="5377"/>
    <cellStyle name="표준 9 8 6 2 3" xfId="5378"/>
    <cellStyle name="표준 10 8 6 2 3" xfId="5379"/>
    <cellStyle name="표준 7 18 3 2 3" xfId="5380"/>
    <cellStyle name="표준 8 12 3 2 3" xfId="5381"/>
    <cellStyle name="표준 9 12 3 2 3" xfId="5382"/>
    <cellStyle name="표준 10 12 3 2 3" xfId="5383"/>
    <cellStyle name="표준 7 2 5 3 2 3" xfId="5384"/>
    <cellStyle name="표준 8 2 4 3 2 3" xfId="5385"/>
    <cellStyle name="표준 9 2 4 3 2 3" xfId="5386"/>
    <cellStyle name="표준 10 2 4 3 2 3" xfId="5387"/>
    <cellStyle name="표준 7 10 4 3 2 3" xfId="5388"/>
    <cellStyle name="표준 8 4 4 3 2 3" xfId="5389"/>
    <cellStyle name="표준 9 4 4 3 2 3" xfId="5390"/>
    <cellStyle name="표준 10 4 4 3 2 3" xfId="5391"/>
    <cellStyle name="표준 7 11 4 3 2 3" xfId="5392"/>
    <cellStyle name="표준 8 5 4 3 2 3" xfId="5393"/>
    <cellStyle name="표준 9 5 4 3 2 3" xfId="5394"/>
    <cellStyle name="표준 10 5 4 3 2 3" xfId="5395"/>
    <cellStyle name="표준 21 4 4 2 3" xfId="5396"/>
    <cellStyle name="표준 7 12 4 3 2 3" xfId="5397"/>
    <cellStyle name="표준 8 6 4 3 2 3" xfId="5398"/>
    <cellStyle name="표준 9 6 4 3 2 3" xfId="5399"/>
    <cellStyle name="표준 10 6 4 3 2 3" xfId="5400"/>
    <cellStyle name="표준 7 13 4 3 2 3" xfId="5401"/>
    <cellStyle name="표준 8 7 4 3 2 3" xfId="5402"/>
    <cellStyle name="표준 9 7 4 3 2 3" xfId="5403"/>
    <cellStyle name="표준 10 7 4 3 2 3" xfId="5404"/>
    <cellStyle name="표준 7 14 4 3 2 3" xfId="5405"/>
    <cellStyle name="표준 8 8 4 3 2 3" xfId="5406"/>
    <cellStyle name="표준 9 8 4 3 2 3" xfId="5407"/>
    <cellStyle name="표준 10 8 4 3 2 3" xfId="5408"/>
    <cellStyle name="표준 7 16 3 2 3" xfId="5409"/>
    <cellStyle name="표준 8 10 3 2 3" xfId="5410"/>
    <cellStyle name="표준 9 10 3 2 3" xfId="5411"/>
    <cellStyle name="표준 10 10 3 2 3" xfId="5412"/>
    <cellStyle name="표준 7 15 3 3 2 3" xfId="5413"/>
    <cellStyle name="표준 8 9 3 3 2 3" xfId="5414"/>
    <cellStyle name="표준 9 9 3 3 2 3" xfId="5415"/>
    <cellStyle name="표준 10 9 3 3 2 3" xfId="5416"/>
    <cellStyle name="표준 7 2 3 3 2 3" xfId="5417"/>
    <cellStyle name="표준 8 2 2 3 2 3" xfId="5418"/>
    <cellStyle name="표준 9 2 2 3 2 3" xfId="5419"/>
    <cellStyle name="표준 10 2 2 3 2 3" xfId="5420"/>
    <cellStyle name="표준 7 10 2 3 2 3" xfId="5421"/>
    <cellStyle name="표준 8 4 2 3 2 3" xfId="5422"/>
    <cellStyle name="표준 9 4 2 3 2 3" xfId="5423"/>
    <cellStyle name="표준 10 4 2 3 2 3" xfId="5424"/>
    <cellStyle name="표준 7 11 2 3 2 3" xfId="5425"/>
    <cellStyle name="표준 8 5 2 3 2 3" xfId="5426"/>
    <cellStyle name="표준 9 5 2 3 2 3" xfId="5427"/>
    <cellStyle name="표준 10 5 2 3 2 3" xfId="5428"/>
    <cellStyle name="표준 21 2 4 2 3" xfId="5429"/>
    <cellStyle name="표준 7 12 2 3 2 3" xfId="5430"/>
    <cellStyle name="표준 8 6 2 3 2 3" xfId="5431"/>
    <cellStyle name="표준 9 6 2 3 2 3" xfId="5432"/>
    <cellStyle name="표준 10 6 2 3 2 3" xfId="5433"/>
    <cellStyle name="표준 7 13 2 3 2 3" xfId="5434"/>
    <cellStyle name="표준 8 7 2 3 2 3" xfId="5435"/>
    <cellStyle name="표준 9 7 2 3 2 3" xfId="5436"/>
    <cellStyle name="표준 10 7 2 3 2 3" xfId="5437"/>
    <cellStyle name="표준 7 14 2 3 2 3" xfId="5438"/>
    <cellStyle name="표준 8 8 2 3 2 3" xfId="5439"/>
    <cellStyle name="표준 9 8 2 3 2 3" xfId="5440"/>
    <cellStyle name="표준 10 8 2 3 2 3" xfId="5441"/>
    <cellStyle name="표준 7 17 3 2 3" xfId="5442"/>
    <cellStyle name="표준 8 11 3 2 3" xfId="5443"/>
    <cellStyle name="표준 9 11 3 2 3" xfId="5444"/>
    <cellStyle name="표준 10 11 3 2 3" xfId="5445"/>
    <cellStyle name="표준 7 15 2 3 2 3" xfId="5446"/>
    <cellStyle name="표준 8 9 2 3 2 3" xfId="5447"/>
    <cellStyle name="표준 9 9 2 3 2 3" xfId="5448"/>
    <cellStyle name="표준 10 9 2 3 2 3" xfId="5449"/>
    <cellStyle name="표준 7 2 4 3 2 3" xfId="5450"/>
    <cellStyle name="표준 8 2 3 3 2 3" xfId="5451"/>
    <cellStyle name="표준 9 2 3 3 2 3" xfId="5452"/>
    <cellStyle name="표준 10 2 3 3 2 3" xfId="5453"/>
    <cellStyle name="표준 7 10 3 3 2 3" xfId="5454"/>
    <cellStyle name="표준 8 4 3 3 2 3" xfId="5455"/>
    <cellStyle name="표준 9 4 3 3 2 3" xfId="5456"/>
    <cellStyle name="표준 10 4 3 3 2 3" xfId="5457"/>
    <cellStyle name="표준 7 11 3 3 2 3" xfId="5458"/>
    <cellStyle name="표준 8 5 3 3 2 3" xfId="5459"/>
    <cellStyle name="표준 9 5 3 3 2 3" xfId="5460"/>
    <cellStyle name="표준 10 5 3 3 2 3" xfId="5461"/>
    <cellStyle name="표준 21 3 4 2 3" xfId="5462"/>
    <cellStyle name="표준 7 12 3 3 2 3" xfId="5463"/>
    <cellStyle name="표준 8 6 3 3 2 3" xfId="5464"/>
    <cellStyle name="표준 9 6 3 3 2 3" xfId="5465"/>
    <cellStyle name="표준 10 6 3 3 2 3" xfId="5466"/>
    <cellStyle name="표준 7 13 3 3 2 3" xfId="5467"/>
    <cellStyle name="표준 8 7 3 3 2 3" xfId="5468"/>
    <cellStyle name="표준 9 7 3 3 2 3" xfId="5469"/>
    <cellStyle name="표준 10 7 3 3 2 3" xfId="5470"/>
    <cellStyle name="표준 7 14 3 3 2 3" xfId="5471"/>
    <cellStyle name="표준 8 8 3 3 2 3" xfId="5472"/>
    <cellStyle name="표준 9 8 3 3 2 3" xfId="5473"/>
    <cellStyle name="표준 10 8 3 3 2 3" xfId="5474"/>
    <cellStyle name="표준 22 4 2 3" xfId="5475"/>
    <cellStyle name="표준 10 10 2 2 2 3" xfId="5476"/>
    <cellStyle name="표준 10 11 2 2 2 3" xfId="5477"/>
    <cellStyle name="표준 10 12 2 2 2 3" xfId="5478"/>
    <cellStyle name="표준 10 14 2 2 3" xfId="5479"/>
    <cellStyle name="표준 10 2 2 2 2 2 3" xfId="5480"/>
    <cellStyle name="표준 10 2 3 2 2 2 3" xfId="5481"/>
    <cellStyle name="표준 10 2 4 2 2 2 3" xfId="5482"/>
    <cellStyle name="표준 10 2 5 2 2 3" xfId="5483"/>
    <cellStyle name="표준 10 4 2 2 2 2 3" xfId="5484"/>
    <cellStyle name="표준 10 4 3 2 2 2 3" xfId="5485"/>
    <cellStyle name="표준 10 4 4 2 2 2 3" xfId="5486"/>
    <cellStyle name="표준 10 4 5 2 2 3" xfId="5487"/>
    <cellStyle name="표준 10 5 2 2 2 2 3" xfId="5488"/>
    <cellStyle name="표준 10 5 3 2 2 2 3" xfId="5489"/>
    <cellStyle name="표준 10 5 4 2 2 2 3" xfId="5490"/>
    <cellStyle name="표준 10 5 5 2 2 3" xfId="5491"/>
    <cellStyle name="표준 10 6 2 2 2 2 3" xfId="5492"/>
    <cellStyle name="표준 10 6 3 2 2 2 3" xfId="5493"/>
    <cellStyle name="표준 10 6 4 2 2 2 3" xfId="5494"/>
    <cellStyle name="표준 10 6 5 2 2 3" xfId="5495"/>
    <cellStyle name="표준 10 7 2 2 2 2 3" xfId="5496"/>
    <cellStyle name="표준 10 7 3 2 2 2 3" xfId="5497"/>
    <cellStyle name="표준 10 7 4 2 2 2 3" xfId="5498"/>
    <cellStyle name="표준 10 7 5 2 2 3" xfId="5499"/>
    <cellStyle name="표준 10 8 2 2 2 2 3" xfId="5500"/>
    <cellStyle name="표준 10 8 3 2 2 2 3" xfId="5501"/>
    <cellStyle name="표준 10 8 4 2 2 2 3" xfId="5502"/>
    <cellStyle name="표준 10 8 5 2 2 3" xfId="5503"/>
    <cellStyle name="표준 10 9 2 2 2 2 3" xfId="5504"/>
    <cellStyle name="표준 10 9 3 2 2 2 3" xfId="5505"/>
    <cellStyle name="표준 10 9 4 2 2 3" xfId="5506"/>
    <cellStyle name="표준 21 2 3 2 2 3" xfId="5507"/>
    <cellStyle name="표준 21 3 3 2 2 3" xfId="5508"/>
    <cellStyle name="표준 21 4 3 2 2 3" xfId="5509"/>
    <cellStyle name="표준 21 40 2 2 3" xfId="5510"/>
    <cellStyle name="표준 22 3 2 2 3" xfId="5511"/>
    <cellStyle name="표준 24 40 3" xfId="5512"/>
    <cellStyle name="표준 25 24 3" xfId="5513"/>
    <cellStyle name="표준 7 10 2 2 2 2 3" xfId="5514"/>
    <cellStyle name="표준 7 10 3 2 2 2 3" xfId="5515"/>
    <cellStyle name="표준 7 10 4 2 2 2 3" xfId="5516"/>
    <cellStyle name="표준 7 10 5 2 2 3" xfId="5517"/>
    <cellStyle name="표준 7 11 2 2 2 2 3" xfId="5518"/>
    <cellStyle name="표준 7 11 3 2 2 2 3" xfId="5519"/>
    <cellStyle name="표준 7 11 4 2 2 2 3" xfId="5520"/>
    <cellStyle name="표준 7 11 5 2 2 3" xfId="5521"/>
    <cellStyle name="표준 7 12 2 2 2 2 3" xfId="5522"/>
    <cellStyle name="표준 7 12 3 2 2 2 3" xfId="5523"/>
    <cellStyle name="표준 7 12 4 2 2 2 3" xfId="5524"/>
    <cellStyle name="표준 7 12 5 2 2 3" xfId="5525"/>
    <cellStyle name="표준 7 13 2 2 2 2 3" xfId="5526"/>
    <cellStyle name="표준 7 13 3 2 2 2 3" xfId="5527"/>
    <cellStyle name="표준 7 13 4 2 2 2 3" xfId="5528"/>
    <cellStyle name="표준 7 13 5 2 2 3" xfId="5529"/>
    <cellStyle name="표준 7 14 2 2 2 2 3" xfId="5530"/>
    <cellStyle name="표준 7 14 3 2 2 2 3" xfId="5531"/>
    <cellStyle name="표준 7 14 4 2 2 2 3" xfId="5532"/>
    <cellStyle name="표준 7 14 5 2 2 3" xfId="5533"/>
    <cellStyle name="표준 7 15 2 2 2 2 3" xfId="5534"/>
    <cellStyle name="표준 7 15 3 2 2 2 3" xfId="5535"/>
    <cellStyle name="표준 7 15 4 2 2 3" xfId="5536"/>
    <cellStyle name="표준 7 16 2 2 2 3" xfId="5537"/>
    <cellStyle name="표준 7 17 2 2 2 3" xfId="5538"/>
    <cellStyle name="표준 7 18 2 2 2 3" xfId="5539"/>
    <cellStyle name="표준 7 2 3 2 2 2 3" xfId="5540"/>
    <cellStyle name="표준 7 2 4 2 2 2 3" xfId="5541"/>
    <cellStyle name="표준 7 2 5 2 2 2 3" xfId="5542"/>
    <cellStyle name="표준 7 2 6 2 2 3" xfId="5543"/>
    <cellStyle name="표준 7 20 2 2 3" xfId="5544"/>
    <cellStyle name="표준 8 10 2 2 2 3" xfId="5545"/>
    <cellStyle name="표준 8 11 2 2 2 3" xfId="5546"/>
    <cellStyle name="표준 8 12 2 2 2 3" xfId="5547"/>
    <cellStyle name="표준 8 14 2 2 3" xfId="5548"/>
    <cellStyle name="표준 8 2 2 2 2 2 3" xfId="5549"/>
    <cellStyle name="표준 8 2 3 2 2 2 3" xfId="5550"/>
    <cellStyle name="표준 8 2 4 2 2 2 3" xfId="5551"/>
    <cellStyle name="표준 8 2 5 2 2 3" xfId="5552"/>
    <cellStyle name="표준 8 4 2 2 2 2 3" xfId="5553"/>
    <cellStyle name="표준 8 4 3 2 2 2 3" xfId="5554"/>
    <cellStyle name="표준 8 4 4 2 2 2 3" xfId="5555"/>
    <cellStyle name="표준 8 4 5 2 2 3" xfId="5556"/>
    <cellStyle name="표준 8 5 2 2 2 2 3" xfId="5557"/>
    <cellStyle name="표준 8 5 3 2 2 2 3" xfId="5558"/>
    <cellStyle name="표준 8 5 4 2 2 2 3" xfId="5559"/>
    <cellStyle name="표준 8 5 5 2 2 3" xfId="5560"/>
    <cellStyle name="표준 8 6 2 2 2 2 3" xfId="5561"/>
    <cellStyle name="표준 8 6 3 2 2 2 3" xfId="5562"/>
    <cellStyle name="표준 8 6 4 2 2 2 3" xfId="5563"/>
    <cellStyle name="표준 8 6 5 2 2 3" xfId="5564"/>
    <cellStyle name="표준 8 7 2 2 2 2 3" xfId="5565"/>
    <cellStyle name="표준 8 7 3 2 2 2 3" xfId="5566"/>
    <cellStyle name="표준 8 7 4 2 2 2 3" xfId="5567"/>
    <cellStyle name="표준 8 7 5 2 2 3" xfId="5568"/>
    <cellStyle name="표준 8 8 2 2 2 2 3" xfId="5569"/>
    <cellStyle name="표준 8 8 3 2 2 2 3" xfId="5570"/>
    <cellStyle name="표준 8 8 4 2 2 2 3" xfId="5571"/>
    <cellStyle name="표준 8 8 5 2 2 3" xfId="5572"/>
    <cellStyle name="표준 8 9 2 2 2 2 3" xfId="5573"/>
    <cellStyle name="표준 8 9 3 2 2 2 3" xfId="5574"/>
    <cellStyle name="표준 8 9 4 2 2 3" xfId="5575"/>
    <cellStyle name="표준 9 10 2 2 2 3" xfId="5576"/>
    <cellStyle name="표준 9 11 2 2 2 3" xfId="5577"/>
    <cellStyle name="표준 9 12 2 2 2 3" xfId="5578"/>
    <cellStyle name="표준 9 14 2 2 3" xfId="5579"/>
    <cellStyle name="표준 9 2 2 2 2 2 3" xfId="5580"/>
    <cellStyle name="표준 9 2 3 2 2 2 3" xfId="5581"/>
    <cellStyle name="표준 9 2 4 2 2 2 3" xfId="5582"/>
    <cellStyle name="표준 9 2 5 2 2 3" xfId="5583"/>
    <cellStyle name="표준 9 4 2 2 2 2 3" xfId="5584"/>
    <cellStyle name="표준 9 4 3 2 2 2 3" xfId="5585"/>
    <cellStyle name="표준 9 4 4 2 2 2 3" xfId="5586"/>
    <cellStyle name="표준 9 4 5 2 2 3" xfId="5587"/>
    <cellStyle name="표준 9 5 2 2 2 2 3" xfId="5588"/>
    <cellStyle name="표준 9 5 3 2 2 2 3" xfId="5589"/>
    <cellStyle name="표준 9 5 4 2 2 2 3" xfId="5590"/>
    <cellStyle name="표준 9 5 5 2 2 3" xfId="5591"/>
    <cellStyle name="표준 9 6 2 2 2 2 3" xfId="5592"/>
    <cellStyle name="표준 9 6 3 2 2 2 3" xfId="5593"/>
    <cellStyle name="표준 9 6 4 2 2 2 3" xfId="5594"/>
    <cellStyle name="표준 9 6 5 2 2 3" xfId="5595"/>
    <cellStyle name="표준 9 7 2 2 2 2 3" xfId="5596"/>
    <cellStyle name="표준 9 7 3 2 2 2 3" xfId="5597"/>
    <cellStyle name="표준 9 7 4 2 2 2 3" xfId="5598"/>
    <cellStyle name="표준 9 7 5 2 2 3" xfId="5599"/>
    <cellStyle name="표준 9 8 2 2 2 2 3" xfId="5600"/>
    <cellStyle name="표준 9 8 3 2 2 2 3" xfId="5601"/>
    <cellStyle name="표준 9 8 4 2 2 2 3" xfId="5602"/>
    <cellStyle name="표준 9 8 5 2 2 3" xfId="5603"/>
    <cellStyle name="표준 9 9 2 2 2 2 3" xfId="5604"/>
    <cellStyle name="표준 9 9 3 2 2 2 3" xfId="5605"/>
    <cellStyle name="표준 9 9 4 2 2 3" xfId="5606"/>
    <cellStyle name="표준 287" xfId="5607"/>
    <cellStyle name="표준 31" xfId="5608"/>
    <cellStyle name="표준 4 17" xfId="5609"/>
    <cellStyle name="나쁨 2 11" xfId="5610"/>
    <cellStyle name="표준 2 55" xfId="5611"/>
    <cellStyle name="하이퍼링크 2 2" xfId="5612"/>
    <cellStyle name="표준 32" xfId="5613"/>
    <cellStyle name="표준 33" xfId="5614"/>
    <cellStyle name="표준 2 60" xfId="5615"/>
    <cellStyle name="표준 2 56" xfId="5616"/>
    <cellStyle name="표준 34" xfId="5617"/>
    <cellStyle name="표준 2 57" xfId="5618"/>
    <cellStyle name="표준 35" xfId="5619"/>
    <cellStyle name="표준 2 58" xfId="5620"/>
    <cellStyle name="표준 2 59" xfId="5621"/>
    <cellStyle name="표준 36" xfId="5622"/>
    <cellStyle name="표준 38" xfId="5623"/>
    <cellStyle name="표준 37" xfId="5624"/>
    <cellStyle name="표준 7 25" xfId="5625"/>
    <cellStyle name="표준 8 19" xfId="5626"/>
    <cellStyle name="표준 9 19" xfId="5627"/>
    <cellStyle name="표준 10 19" xfId="5628"/>
    <cellStyle name="표준 7 15 9" xfId="5629"/>
    <cellStyle name="표준 8 9 9" xfId="5630"/>
    <cellStyle name="표준 9 9 9" xfId="5631"/>
    <cellStyle name="표준 10 9 9" xfId="5632"/>
    <cellStyle name="표준 7 2 11" xfId="5633"/>
    <cellStyle name="표준 8 2 10" xfId="5634"/>
    <cellStyle name="표준 9 2 10" xfId="5635"/>
    <cellStyle name="표준 10 2 10" xfId="5636"/>
    <cellStyle name="표준 7 10 10" xfId="5637"/>
    <cellStyle name="표준 8 4 10" xfId="5638"/>
    <cellStyle name="표준 9 4 10" xfId="5639"/>
    <cellStyle name="표준 10 4 10" xfId="5640"/>
    <cellStyle name="표준 7 11 10" xfId="5641"/>
    <cellStyle name="표준 8 5 10" xfId="5642"/>
    <cellStyle name="표준 9 5 10" xfId="5643"/>
    <cellStyle name="표준 10 5 10" xfId="5644"/>
    <cellStyle name="표준 21 45" xfId="5645"/>
    <cellStyle name="표준 7 12 10" xfId="5646"/>
    <cellStyle name="표준 8 6 10" xfId="5647"/>
    <cellStyle name="표준 9 6 10" xfId="5648"/>
    <cellStyle name="표준 10 6 10" xfId="5649"/>
    <cellStyle name="표준 7 13 10" xfId="5650"/>
    <cellStyle name="표준 8 7 10" xfId="5651"/>
    <cellStyle name="표준 9 7 10" xfId="5652"/>
    <cellStyle name="표준 10 7 10" xfId="5653"/>
    <cellStyle name="표준 7 14 10" xfId="5654"/>
    <cellStyle name="표준 8 8 10" xfId="5655"/>
    <cellStyle name="표준 9 8 10" xfId="5656"/>
    <cellStyle name="표준 10 8 10" xfId="5657"/>
    <cellStyle name="표준 7 18 7" xfId="5658"/>
    <cellStyle name="표준 8 12 7" xfId="5659"/>
    <cellStyle name="표준 9 12 7" xfId="5660"/>
    <cellStyle name="표준 10 12 7" xfId="5661"/>
    <cellStyle name="표준 7 2 5 7" xfId="5662"/>
    <cellStyle name="표준 8 2 4 7" xfId="5663"/>
    <cellStyle name="표준 9 2 4 7" xfId="5664"/>
    <cellStyle name="표준 10 2 4 7" xfId="5665"/>
    <cellStyle name="표준 7 10 4 7" xfId="5666"/>
    <cellStyle name="표준 8 4 4 7" xfId="5667"/>
    <cellStyle name="표준 9 4 4 7" xfId="5668"/>
    <cellStyle name="표준 10 4 4 7" xfId="5669"/>
    <cellStyle name="표준 7 11 4 7" xfId="5670"/>
    <cellStyle name="표준 8 5 4 7" xfId="5671"/>
    <cellStyle name="표준 9 5 4 7" xfId="5672"/>
    <cellStyle name="표준 10 5 4 7" xfId="5673"/>
    <cellStyle name="표준 21 4 8" xfId="5674"/>
    <cellStyle name="표준 7 12 4 7" xfId="5675"/>
    <cellStyle name="표준 8 6 4 7" xfId="5676"/>
    <cellStyle name="표준 9 6 4 7" xfId="5677"/>
    <cellStyle name="표준 10 6 4 7" xfId="5678"/>
    <cellStyle name="표준 7 13 4 7" xfId="5679"/>
    <cellStyle name="표준 8 7 4 7" xfId="5680"/>
    <cellStyle name="표준 9 7 4 7" xfId="5681"/>
    <cellStyle name="표준 10 7 4 7" xfId="5682"/>
    <cellStyle name="표준 7 14 4 7" xfId="5683"/>
    <cellStyle name="표준 8 8 4 7" xfId="5684"/>
    <cellStyle name="표준 9 8 4 7" xfId="5685"/>
    <cellStyle name="표준 10 8 4 7" xfId="5686"/>
    <cellStyle name="표준 7 16 7" xfId="5687"/>
    <cellStyle name="표준 8 10 7" xfId="5688"/>
    <cellStyle name="표준 9 10 7" xfId="5689"/>
    <cellStyle name="표준 10 10 7" xfId="5690"/>
    <cellStyle name="표준 7 15 3 7" xfId="5691"/>
    <cellStyle name="표준 8 9 3 7" xfId="5692"/>
    <cellStyle name="표준 9 9 3 7" xfId="5693"/>
    <cellStyle name="표준 10 9 3 7" xfId="5694"/>
    <cellStyle name="표준 7 2 3 7" xfId="5695"/>
    <cellStyle name="표준 8 2 2 7" xfId="5696"/>
    <cellStyle name="표준 9 2 2 7" xfId="5697"/>
    <cellStyle name="표준 10 2 2 7" xfId="5698"/>
    <cellStyle name="표준 7 10 2 7" xfId="5699"/>
    <cellStyle name="표준 8 4 2 7" xfId="5700"/>
    <cellStyle name="표준 9 4 2 7" xfId="5701"/>
    <cellStyle name="표준 10 4 2 7" xfId="5702"/>
    <cellStyle name="표준 7 11 2 7" xfId="5703"/>
    <cellStyle name="표준 8 5 2 7" xfId="5704"/>
    <cellStyle name="표준 9 5 2 7" xfId="5705"/>
    <cellStyle name="표준 10 5 2 7" xfId="5706"/>
    <cellStyle name="표준 21 2 8" xfId="5707"/>
    <cellStyle name="표준 7 12 2 7" xfId="5708"/>
    <cellStyle name="표준 8 6 2 7" xfId="5709"/>
    <cellStyle name="표준 9 6 2 7" xfId="5710"/>
    <cellStyle name="표준 10 6 2 7" xfId="5711"/>
    <cellStyle name="표준 7 13 2 7" xfId="5712"/>
    <cellStyle name="표준 8 7 2 7" xfId="5713"/>
    <cellStyle name="표준 9 7 2 7" xfId="5714"/>
    <cellStyle name="표준 10 7 2 7" xfId="5715"/>
    <cellStyle name="표준 7 14 2 7" xfId="5716"/>
    <cellStyle name="표준 8 8 2 7" xfId="5717"/>
    <cellStyle name="표준 9 8 2 7" xfId="5718"/>
    <cellStyle name="표준 10 8 2 7" xfId="5719"/>
    <cellStyle name="표준 7 17 7" xfId="5720"/>
    <cellStyle name="표준 8 11 7" xfId="5721"/>
    <cellStyle name="표준 9 11 7" xfId="5722"/>
    <cellStyle name="표준 10 11 7" xfId="5723"/>
    <cellStyle name="표준 7 15 2 7" xfId="5724"/>
    <cellStyle name="표준 8 9 2 7" xfId="5725"/>
    <cellStyle name="표준 9 9 2 7" xfId="5726"/>
    <cellStyle name="표준 10 9 2 7" xfId="5727"/>
    <cellStyle name="표준 7 2 4 7" xfId="5728"/>
    <cellStyle name="표준 8 2 3 7" xfId="5729"/>
    <cellStyle name="표준 9 2 3 7" xfId="5730"/>
    <cellStyle name="표준 10 2 3 7" xfId="5731"/>
    <cellStyle name="표준 7 10 3 7" xfId="5732"/>
    <cellStyle name="표준 8 4 3 7" xfId="5733"/>
    <cellStyle name="표준 9 4 3 7" xfId="5734"/>
    <cellStyle name="표준 10 4 3 7" xfId="5735"/>
    <cellStyle name="표준 7 11 3 7" xfId="5736"/>
    <cellStyle name="표준 8 5 3 7" xfId="5737"/>
    <cellStyle name="표준 9 5 3 7" xfId="5738"/>
    <cellStyle name="표준 10 5 3 7" xfId="5739"/>
    <cellStyle name="표준 21 3 8" xfId="5740"/>
    <cellStyle name="표준 7 12 3 7" xfId="5741"/>
    <cellStyle name="표준 8 6 3 7" xfId="5742"/>
    <cellStyle name="표준 9 6 3 7" xfId="5743"/>
    <cellStyle name="표준 10 6 3 7" xfId="5744"/>
    <cellStyle name="표준 7 13 3 7" xfId="5745"/>
    <cellStyle name="표준 8 7 3 7" xfId="5746"/>
    <cellStyle name="표준 9 7 3 7" xfId="5747"/>
    <cellStyle name="표준 10 7 3 7" xfId="5748"/>
    <cellStyle name="표준 7 14 3 7" xfId="5749"/>
    <cellStyle name="표준 8 8 3 7" xfId="5750"/>
    <cellStyle name="표준 9 8 3 7" xfId="5751"/>
    <cellStyle name="표준 10 8 3 7" xfId="5752"/>
    <cellStyle name="표준 22 8" xfId="5753"/>
    <cellStyle name="표준 7 20 6" xfId="5754"/>
    <cellStyle name="표준 8 14 6" xfId="5755"/>
    <cellStyle name="표준 9 14 6" xfId="5756"/>
    <cellStyle name="표준 10 14 6" xfId="5757"/>
    <cellStyle name="표준 7 15 4 6" xfId="5758"/>
    <cellStyle name="표준 8 9 4 6" xfId="5759"/>
    <cellStyle name="표준 9 9 4 6" xfId="5760"/>
    <cellStyle name="표준 10 9 4 6" xfId="5761"/>
    <cellStyle name="표준 7 2 6 6" xfId="5762"/>
    <cellStyle name="표준 8 2 5 6" xfId="5763"/>
    <cellStyle name="표준 9 2 5 6" xfId="5764"/>
    <cellStyle name="표준 10 2 5 6" xfId="5765"/>
    <cellStyle name="표준 7 10 5 6" xfId="5766"/>
    <cellStyle name="표준 8 4 5 6" xfId="5767"/>
    <cellStyle name="표준 9 4 5 6" xfId="5768"/>
    <cellStyle name="표준 10 4 5 6" xfId="5769"/>
    <cellStyle name="표준 7 11 5 6" xfId="5770"/>
    <cellStyle name="표준 8 5 5 6" xfId="5771"/>
    <cellStyle name="표준 9 5 5 6" xfId="5772"/>
    <cellStyle name="표준 10 5 5 6" xfId="5773"/>
    <cellStyle name="표준 21 40 6" xfId="5774"/>
    <cellStyle name="표준 7 12 5 6" xfId="5775"/>
    <cellStyle name="표준 8 6 5 6" xfId="5776"/>
    <cellStyle name="표준 9 6 5 6" xfId="5777"/>
    <cellStyle name="표준 10 6 5 6" xfId="5778"/>
    <cellStyle name="표준 7 13 5 6" xfId="5779"/>
    <cellStyle name="표준 8 7 5 6" xfId="5780"/>
    <cellStyle name="표준 9 7 5 6" xfId="5781"/>
    <cellStyle name="표준 10 7 5 6" xfId="5782"/>
    <cellStyle name="표준 7 14 5 6" xfId="5783"/>
    <cellStyle name="표준 8 8 5 6" xfId="5784"/>
    <cellStyle name="표준 9 8 5 6" xfId="5785"/>
    <cellStyle name="표준 10 8 5 6" xfId="5786"/>
    <cellStyle name="표준 7 18 2 6" xfId="5787"/>
    <cellStyle name="표준 8 12 2 6" xfId="5788"/>
    <cellStyle name="표준 9 12 2 6" xfId="5789"/>
    <cellStyle name="표준 10 12 2 6" xfId="5790"/>
    <cellStyle name="표준 7 2 5 2 6" xfId="5791"/>
    <cellStyle name="표준 8 2 4 2 6" xfId="5792"/>
    <cellStyle name="표준 9 2 4 2 6" xfId="5793"/>
    <cellStyle name="표준 10 2 4 2 6" xfId="5794"/>
    <cellStyle name="표준 7 10 4 2 6" xfId="5795"/>
    <cellStyle name="표준 8 4 4 2 6" xfId="5796"/>
    <cellStyle name="표준 9 4 4 2 6" xfId="5797"/>
    <cellStyle name="표준 10 4 4 2 6" xfId="5798"/>
    <cellStyle name="표준 7 11 4 2 6" xfId="5799"/>
    <cellStyle name="표준 8 5 4 2 6" xfId="5800"/>
    <cellStyle name="표준 9 5 4 2 6" xfId="5801"/>
    <cellStyle name="표준 10 5 4 2 6" xfId="5802"/>
    <cellStyle name="표준 21 4 3 6" xfId="5803"/>
    <cellStyle name="표준 7 12 4 2 6" xfId="5804"/>
    <cellStyle name="표준 8 6 4 2 6" xfId="5805"/>
    <cellStyle name="표준 9 6 4 2 6" xfId="5806"/>
    <cellStyle name="표준 10 6 4 2 6" xfId="5807"/>
    <cellStyle name="표준 7 13 4 2 6" xfId="5808"/>
    <cellStyle name="표준 8 7 4 2 6" xfId="5809"/>
    <cellStyle name="표준 9 7 4 2 6" xfId="5810"/>
    <cellStyle name="표준 10 7 4 2 6" xfId="5811"/>
    <cellStyle name="표준 7 14 4 2 6" xfId="5812"/>
    <cellStyle name="표준 8 8 4 2 6" xfId="5813"/>
    <cellStyle name="표준 9 8 4 2 6" xfId="5814"/>
    <cellStyle name="표준 10 8 4 2 6" xfId="5815"/>
    <cellStyle name="표준 7 16 2 6" xfId="5816"/>
    <cellStyle name="표준 8 10 2 6" xfId="5817"/>
    <cellStyle name="표준 9 10 2 6" xfId="5818"/>
    <cellStyle name="표준 10 10 2 6" xfId="5819"/>
    <cellStyle name="표준 7 15 3 2 6" xfId="5820"/>
    <cellStyle name="표준 8 9 3 2 6" xfId="5821"/>
    <cellStyle name="표준 9 9 3 2 6" xfId="5822"/>
    <cellStyle name="표준 10 9 3 2 6" xfId="5823"/>
    <cellStyle name="표준 7 2 3 2 6" xfId="5824"/>
    <cellStyle name="표준 8 2 2 2 6" xfId="5825"/>
    <cellStyle name="표준 9 2 2 2 6" xfId="5826"/>
    <cellStyle name="표준 10 2 2 2 6" xfId="5827"/>
    <cellStyle name="표준 7 10 2 2 6" xfId="5828"/>
    <cellStyle name="표준 8 4 2 2 6" xfId="5829"/>
    <cellStyle name="표준 9 4 2 2 6" xfId="5830"/>
    <cellStyle name="표준 10 4 2 2 6" xfId="5831"/>
    <cellStyle name="표준 7 11 2 2 6" xfId="5832"/>
    <cellStyle name="표준 8 5 2 2 6" xfId="5833"/>
    <cellStyle name="표준 9 5 2 2 6" xfId="5834"/>
    <cellStyle name="표준 10 5 2 2 6" xfId="5835"/>
    <cellStyle name="표준 21 2 3 6" xfId="5836"/>
    <cellStyle name="표준 7 12 2 2 6" xfId="5837"/>
    <cellStyle name="표준 8 6 2 2 6" xfId="5838"/>
    <cellStyle name="표준 9 6 2 2 6" xfId="5839"/>
    <cellStyle name="표준 10 6 2 2 6" xfId="5840"/>
    <cellStyle name="표준 7 13 2 2 6" xfId="5841"/>
    <cellStyle name="표준 8 7 2 2 6" xfId="5842"/>
    <cellStyle name="표준 9 7 2 2 6" xfId="5843"/>
    <cellStyle name="표준 10 7 2 2 6" xfId="5844"/>
    <cellStyle name="표준 7 14 2 2 6" xfId="5845"/>
    <cellStyle name="표준 8 8 2 2 6" xfId="5846"/>
    <cellStyle name="표준 9 8 2 2 6" xfId="5847"/>
    <cellStyle name="표준 10 8 2 2 6" xfId="5848"/>
    <cellStyle name="표준 7 17 2 6" xfId="5849"/>
    <cellStyle name="표준 8 11 2 6" xfId="5850"/>
    <cellStyle name="표준 9 11 2 6" xfId="5851"/>
    <cellStyle name="표준 10 11 2 6" xfId="5852"/>
    <cellStyle name="표준 7 15 2 2 6" xfId="5853"/>
    <cellStyle name="표준 8 9 2 2 6" xfId="5854"/>
    <cellStyle name="표준 9 9 2 2 6" xfId="5855"/>
    <cellStyle name="표준 10 9 2 2 6" xfId="5856"/>
    <cellStyle name="표준 7 2 4 2 6" xfId="5857"/>
    <cellStyle name="표준 8 2 3 2 6" xfId="5858"/>
    <cellStyle name="표준 9 2 3 2 6" xfId="5859"/>
    <cellStyle name="표준 10 2 3 2 6" xfId="5860"/>
    <cellStyle name="표준 7 10 3 2 6" xfId="5861"/>
    <cellStyle name="표준 8 4 3 2 6" xfId="5862"/>
    <cellStyle name="표준 9 4 3 2 6" xfId="5863"/>
    <cellStyle name="표준 10 4 3 2 6" xfId="5864"/>
    <cellStyle name="표준 7 11 3 2 6" xfId="5865"/>
    <cellStyle name="표준 8 5 3 2 6" xfId="5866"/>
    <cellStyle name="표준 9 5 3 2 6" xfId="5867"/>
    <cellStyle name="표준 10 5 3 2 6" xfId="5868"/>
    <cellStyle name="표준 21 3 3 6" xfId="5869"/>
    <cellStyle name="표준 7 12 3 2 6" xfId="5870"/>
    <cellStyle name="표준 8 6 3 2 6" xfId="5871"/>
    <cellStyle name="표준 9 6 3 2 6" xfId="5872"/>
    <cellStyle name="표준 10 6 3 2 6" xfId="5873"/>
    <cellStyle name="표준 7 13 3 2 6" xfId="5874"/>
    <cellStyle name="표준 8 7 3 2 6" xfId="5875"/>
    <cellStyle name="표준 9 7 3 2 6" xfId="5876"/>
    <cellStyle name="표준 10 7 3 2 6" xfId="5877"/>
    <cellStyle name="표준 7 14 3 2 6" xfId="5878"/>
    <cellStyle name="표준 8 8 3 2 6" xfId="5879"/>
    <cellStyle name="표준 9 8 3 2 6" xfId="5880"/>
    <cellStyle name="표준 10 8 3 2 6" xfId="5881"/>
    <cellStyle name="표준 22 3 6" xfId="5882"/>
    <cellStyle name="표준 7 21 5" xfId="5883"/>
    <cellStyle name="표준 8 15 5" xfId="5884"/>
    <cellStyle name="표준 9 15 5" xfId="5885"/>
    <cellStyle name="표준 10 15 5" xfId="5886"/>
    <cellStyle name="표준 7 15 5 5" xfId="5887"/>
    <cellStyle name="표준 8 9 5 5" xfId="5888"/>
    <cellStyle name="표준 9 9 5 5" xfId="5889"/>
    <cellStyle name="표준 10 9 5 5" xfId="5890"/>
    <cellStyle name="표준 7 2 7 5" xfId="5891"/>
    <cellStyle name="표준 8 2 6 5" xfId="5892"/>
    <cellStyle name="표준 9 2 6 5" xfId="5893"/>
    <cellStyle name="표준 10 2 6 5" xfId="5894"/>
    <cellStyle name="표준 7 10 6 5" xfId="5895"/>
    <cellStyle name="표준 8 4 6 5" xfId="5896"/>
    <cellStyle name="표준 9 4 6 5" xfId="5897"/>
    <cellStyle name="표준 10 4 6 5" xfId="5898"/>
    <cellStyle name="표준 7 11 6 5" xfId="5899"/>
    <cellStyle name="표준 8 5 6 5" xfId="5900"/>
    <cellStyle name="표준 9 5 6 5" xfId="5901"/>
    <cellStyle name="표준 10 5 6 5" xfId="5902"/>
    <cellStyle name="표준 21 41 5" xfId="5903"/>
    <cellStyle name="표준 7 12 6 5" xfId="5904"/>
    <cellStyle name="표준 8 6 6 5" xfId="5905"/>
    <cellStyle name="표준 9 6 6 5" xfId="5906"/>
    <cellStyle name="표준 10 6 6 5" xfId="5907"/>
    <cellStyle name="표준 7 13 6 5" xfId="5908"/>
    <cellStyle name="표준 8 7 6 5" xfId="5909"/>
    <cellStyle name="표준 9 7 6 5" xfId="5910"/>
    <cellStyle name="표준 10 7 6 5" xfId="5911"/>
    <cellStyle name="표준 7 14 6 5" xfId="5912"/>
    <cellStyle name="표준 8 8 6 5" xfId="5913"/>
    <cellStyle name="표준 9 8 6 5" xfId="5914"/>
    <cellStyle name="표준 10 8 6 5" xfId="5915"/>
    <cellStyle name="표준 7 18 3 5" xfId="5916"/>
    <cellStyle name="표준 8 12 3 5" xfId="5917"/>
    <cellStyle name="표준 9 12 3 5" xfId="5918"/>
    <cellStyle name="표준 10 12 3 5" xfId="5919"/>
    <cellStyle name="표준 7 2 5 3 5" xfId="5920"/>
    <cellStyle name="표준 8 2 4 3 5" xfId="5921"/>
    <cellStyle name="표준 9 2 4 3 5" xfId="5922"/>
    <cellStyle name="표준 10 2 4 3 5" xfId="5923"/>
    <cellStyle name="표준 7 10 4 3 5" xfId="5924"/>
    <cellStyle name="표준 8 4 4 3 5" xfId="5925"/>
    <cellStyle name="표준 9 4 4 3 5" xfId="5926"/>
    <cellStyle name="표준 10 4 4 3 5" xfId="5927"/>
    <cellStyle name="표준 7 11 4 3 5" xfId="5928"/>
    <cellStyle name="표준 8 5 4 3 5" xfId="5929"/>
    <cellStyle name="표준 9 5 4 3 5" xfId="5930"/>
    <cellStyle name="표준 10 5 4 3 5" xfId="5931"/>
    <cellStyle name="표준 21 4 4 5" xfId="5932"/>
    <cellStyle name="표준 7 12 4 3 5" xfId="5933"/>
    <cellStyle name="표준 8 6 4 3 5" xfId="5934"/>
    <cellStyle name="표준 9 6 4 3 5" xfId="5935"/>
    <cellStyle name="표준 10 6 4 3 5" xfId="5936"/>
    <cellStyle name="표준 7 13 4 3 5" xfId="5937"/>
    <cellStyle name="표준 8 7 4 3 5" xfId="5938"/>
    <cellStyle name="표준 9 7 4 3 5" xfId="5939"/>
    <cellStyle name="표준 10 7 4 3 5" xfId="5940"/>
    <cellStyle name="표준 7 14 4 3 5" xfId="5941"/>
    <cellStyle name="표준 8 8 4 3 5" xfId="5942"/>
    <cellStyle name="표준 9 8 4 3 5" xfId="5943"/>
    <cellStyle name="표준 10 8 4 3 5" xfId="5944"/>
    <cellStyle name="표준 7 16 3 5" xfId="5945"/>
    <cellStyle name="표준 8 10 3 5" xfId="5946"/>
    <cellStyle name="표준 9 10 3 5" xfId="5947"/>
    <cellStyle name="표준 10 10 3 5" xfId="5948"/>
    <cellStyle name="표준 7 15 3 3 5" xfId="5949"/>
    <cellStyle name="표준 8 9 3 3 5" xfId="5950"/>
    <cellStyle name="표준 9 9 3 3 5" xfId="5951"/>
    <cellStyle name="표준 10 9 3 3 5" xfId="5952"/>
    <cellStyle name="표준 7 2 3 3 5" xfId="5953"/>
    <cellStyle name="표준 8 2 2 3 5" xfId="5954"/>
    <cellStyle name="표준 9 2 2 3 5" xfId="5955"/>
    <cellStyle name="표준 10 2 2 3 5" xfId="5956"/>
    <cellStyle name="표준 7 10 2 3 5" xfId="5957"/>
    <cellStyle name="표준 8 4 2 3 5" xfId="5958"/>
    <cellStyle name="표준 9 4 2 3 5" xfId="5959"/>
    <cellStyle name="표준 10 4 2 3 5" xfId="5960"/>
    <cellStyle name="표준 7 11 2 3 5" xfId="5961"/>
    <cellStyle name="표준 8 5 2 3 5" xfId="5962"/>
    <cellStyle name="표준 9 5 2 3 5" xfId="5963"/>
    <cellStyle name="표준 10 5 2 3 5" xfId="5964"/>
    <cellStyle name="표준 21 2 4 5" xfId="5965"/>
    <cellStyle name="표준 7 12 2 3 5" xfId="5966"/>
    <cellStyle name="표준 8 6 2 3 5" xfId="5967"/>
    <cellStyle name="표준 9 6 2 3 5" xfId="5968"/>
    <cellStyle name="표준 10 6 2 3 5" xfId="5969"/>
    <cellStyle name="표준 7 13 2 3 5" xfId="5970"/>
    <cellStyle name="표준 8 7 2 3 5" xfId="5971"/>
    <cellStyle name="표준 9 7 2 3 5" xfId="5972"/>
    <cellStyle name="표준 10 7 2 3 5" xfId="5973"/>
    <cellStyle name="표준 7 14 2 3 5" xfId="5974"/>
    <cellStyle name="표준 8 8 2 3 5" xfId="5975"/>
    <cellStyle name="표준 9 8 2 3 5" xfId="5976"/>
    <cellStyle name="표준 10 8 2 3 5" xfId="5977"/>
    <cellStyle name="표준 7 17 3 5" xfId="5978"/>
    <cellStyle name="표준 8 11 3 5" xfId="5979"/>
    <cellStyle name="표준 9 11 3 5" xfId="5980"/>
    <cellStyle name="표준 10 11 3 5" xfId="5981"/>
    <cellStyle name="표준 7 15 2 3 5" xfId="5982"/>
    <cellStyle name="표준 8 9 2 3 5" xfId="5983"/>
    <cellStyle name="표준 9 9 2 3 5" xfId="5984"/>
    <cellStyle name="표준 10 9 2 3 5" xfId="5985"/>
    <cellStyle name="표준 7 2 4 3 5" xfId="5986"/>
    <cellStyle name="표준 8 2 3 3 5" xfId="5987"/>
    <cellStyle name="표준 9 2 3 3 5" xfId="5988"/>
    <cellStyle name="표준 10 2 3 3 5" xfId="5989"/>
    <cellStyle name="표준 7 10 3 3 5" xfId="5990"/>
    <cellStyle name="표준 8 4 3 3 5" xfId="5991"/>
    <cellStyle name="표준 9 4 3 3 5" xfId="5992"/>
    <cellStyle name="표준 10 4 3 3 5" xfId="5993"/>
    <cellStyle name="표준 7 11 3 3 5" xfId="5994"/>
    <cellStyle name="표준 8 5 3 3 5" xfId="5995"/>
    <cellStyle name="표준 9 5 3 3 5" xfId="5996"/>
    <cellStyle name="표준 10 5 3 3 5" xfId="5997"/>
    <cellStyle name="표준 21 3 4 5" xfId="5998"/>
    <cellStyle name="표준 7 12 3 3 5" xfId="5999"/>
    <cellStyle name="표준 8 6 3 3 5" xfId="6000"/>
    <cellStyle name="표준 9 6 3 3 5" xfId="6001"/>
    <cellStyle name="표준 10 6 3 3 5" xfId="6002"/>
    <cellStyle name="표준 7 13 3 3 5" xfId="6003"/>
    <cellStyle name="표준 8 7 3 3 5" xfId="6004"/>
    <cellStyle name="표준 9 7 3 3 5" xfId="6005"/>
    <cellStyle name="표준 10 7 3 3 5" xfId="6006"/>
    <cellStyle name="표준 7 14 3 3 5" xfId="6007"/>
    <cellStyle name="표준 8 8 3 3 5" xfId="6008"/>
    <cellStyle name="표준 9 8 3 3 5" xfId="6009"/>
    <cellStyle name="표준 10 8 3 3 5" xfId="6010"/>
    <cellStyle name="표준 22 4 5" xfId="6011"/>
    <cellStyle name="표준 10 10 2 2 5" xfId="6012"/>
    <cellStyle name="표준 10 11 2 2 5" xfId="6013"/>
    <cellStyle name="표준 10 12 2 2 5" xfId="6014"/>
    <cellStyle name="표준 10 14 2 5" xfId="6015"/>
    <cellStyle name="표준 10 2 2 2 2 5" xfId="6016"/>
    <cellStyle name="표준 10 2 3 2 2 5" xfId="6017"/>
    <cellStyle name="표준 10 2 4 2 2 5" xfId="6018"/>
    <cellStyle name="표준 10 2 5 2 5" xfId="6019"/>
    <cellStyle name="표준 10 4 2 2 2 5" xfId="6020"/>
    <cellStyle name="표준 10 4 3 2 2 5" xfId="6021"/>
    <cellStyle name="표준 10 4 4 2 2 5" xfId="6022"/>
    <cellStyle name="표준 10 4 5 2 5" xfId="6023"/>
    <cellStyle name="표준 10 5 2 2 2 5" xfId="6024"/>
    <cellStyle name="표준 10 5 3 2 2 5" xfId="6025"/>
    <cellStyle name="표준 10 5 4 2 2 5" xfId="6026"/>
    <cellStyle name="표준 10 5 5 2 5" xfId="6027"/>
    <cellStyle name="표준 10 6 2 2 2 5" xfId="6028"/>
    <cellStyle name="표준 10 6 3 2 2 5" xfId="6029"/>
    <cellStyle name="표준 10 6 4 2 2 5" xfId="6030"/>
    <cellStyle name="표준 10 6 5 2 5" xfId="6031"/>
    <cellStyle name="표준 10 7 2 2 2 5" xfId="6032"/>
    <cellStyle name="표준 10 7 3 2 2 5" xfId="6033"/>
    <cellStyle name="표준 10 7 4 2 2 5" xfId="6034"/>
    <cellStyle name="표준 10 7 5 2 5" xfId="6035"/>
    <cellStyle name="표준 10 8 2 2 2 5" xfId="6036"/>
    <cellStyle name="표준 10 8 3 2 2 5" xfId="6037"/>
    <cellStyle name="표준 10 8 4 2 2 5" xfId="6038"/>
    <cellStyle name="표준 10 8 5 2 5" xfId="6039"/>
    <cellStyle name="표준 10 9 2 2 2 5" xfId="6040"/>
    <cellStyle name="표준 10 9 3 2 2 5" xfId="6041"/>
    <cellStyle name="표준 10 9 4 2 5" xfId="6042"/>
    <cellStyle name="표준 21 2 3 2 5" xfId="6043"/>
    <cellStyle name="표준 21 3 3 2 5" xfId="6044"/>
    <cellStyle name="표준 21 4 3 2 5" xfId="6045"/>
    <cellStyle name="표준 21 40 2 5" xfId="6046"/>
    <cellStyle name="표준 22 3 2 5" xfId="6047"/>
    <cellStyle name="표준 24 43" xfId="6048"/>
    <cellStyle name="표준 25 27" xfId="6049"/>
    <cellStyle name="표준 7 10 2 2 2 5" xfId="6050"/>
    <cellStyle name="표준 7 10 3 2 2 5" xfId="6051"/>
    <cellStyle name="표준 7 10 4 2 2 5" xfId="6052"/>
    <cellStyle name="표준 7 10 5 2 5" xfId="6053"/>
    <cellStyle name="표준 7 11 2 2 2 5" xfId="6054"/>
    <cellStyle name="표준 7 11 3 2 2 5" xfId="6055"/>
    <cellStyle name="표준 7 11 4 2 2 5" xfId="6056"/>
    <cellStyle name="표준 7 11 5 2 5" xfId="6057"/>
    <cellStyle name="표준 7 12 2 2 2 5" xfId="6058"/>
    <cellStyle name="표준 7 12 3 2 2 5" xfId="6059"/>
    <cellStyle name="표준 7 12 4 2 2 5" xfId="6060"/>
    <cellStyle name="표준 7 12 5 2 5" xfId="6061"/>
    <cellStyle name="표준 7 13 2 2 2 5" xfId="6062"/>
    <cellStyle name="표준 7 13 3 2 2 5" xfId="6063"/>
    <cellStyle name="표준 7 13 4 2 2 5" xfId="6064"/>
    <cellStyle name="표준 7 13 5 2 5" xfId="6065"/>
    <cellStyle name="표준 7 14 2 2 2 5" xfId="6066"/>
    <cellStyle name="표준 7 14 3 2 2 5" xfId="6067"/>
    <cellStyle name="표준 7 14 4 2 2 5" xfId="6068"/>
    <cellStyle name="표준 7 14 5 2 5" xfId="6069"/>
    <cellStyle name="표준 7 15 2 2 2 5" xfId="6070"/>
    <cellStyle name="표준 7 15 3 2 2 5" xfId="6071"/>
    <cellStyle name="표준 7 15 4 2 5" xfId="6072"/>
    <cellStyle name="표준 7 16 2 2 5" xfId="6073"/>
    <cellStyle name="표준 7 17 2 2 5" xfId="6074"/>
    <cellStyle name="표준 7 18 2 2 5" xfId="6075"/>
    <cellStyle name="표준 7 2 3 2 2 5" xfId="6076"/>
    <cellStyle name="표준 7 2 4 2 2 5" xfId="6077"/>
    <cellStyle name="표준 7 2 5 2 2 5" xfId="6078"/>
    <cellStyle name="표준 7 2 6 2 5" xfId="6079"/>
    <cellStyle name="표준 7 20 2 5" xfId="6080"/>
    <cellStyle name="표준 8 10 2 2 5" xfId="6081"/>
    <cellStyle name="표준 8 11 2 2 5" xfId="6082"/>
    <cellStyle name="표준 8 12 2 2 5" xfId="6083"/>
    <cellStyle name="표준 8 14 2 5" xfId="6084"/>
    <cellStyle name="표준 8 2 2 2 2 5" xfId="6085"/>
    <cellStyle name="표준 8 2 3 2 2 5" xfId="6086"/>
    <cellStyle name="표준 8 2 4 2 2 5" xfId="6087"/>
    <cellStyle name="표준 8 2 5 2 5" xfId="6088"/>
    <cellStyle name="표준 8 4 2 2 2 5" xfId="6089"/>
    <cellStyle name="표준 8 4 3 2 2 5" xfId="6090"/>
    <cellStyle name="표준 8 4 4 2 2 5" xfId="6091"/>
    <cellStyle name="표준 8 4 5 2 5" xfId="6092"/>
    <cellStyle name="표준 8 5 2 2 2 5" xfId="6093"/>
    <cellStyle name="표준 8 5 3 2 2 5" xfId="6094"/>
    <cellStyle name="표준 8 5 4 2 2 5" xfId="6095"/>
    <cellStyle name="표준 8 5 5 2 5" xfId="6096"/>
    <cellStyle name="표준 8 6 2 2 2 5" xfId="6097"/>
    <cellStyle name="표준 8 6 3 2 2 5" xfId="6098"/>
    <cellStyle name="표준 8 6 4 2 2 5" xfId="6099"/>
    <cellStyle name="표준 8 6 5 2 5" xfId="6100"/>
    <cellStyle name="표준 8 7 2 2 2 5" xfId="6101"/>
    <cellStyle name="표준 8 7 3 2 2 5" xfId="6102"/>
    <cellStyle name="표준 8 7 4 2 2 5" xfId="6103"/>
    <cellStyle name="표준 8 7 5 2 5" xfId="6104"/>
    <cellStyle name="표준 8 8 2 2 2 5" xfId="6105"/>
    <cellStyle name="표준 8 8 3 2 2 5" xfId="6106"/>
    <cellStyle name="표준 8 8 4 2 2 5" xfId="6107"/>
    <cellStyle name="표준 8 8 5 2 5" xfId="6108"/>
    <cellStyle name="표준 8 9 2 2 2 5" xfId="6109"/>
    <cellStyle name="표준 8 9 3 2 2 5" xfId="6110"/>
    <cellStyle name="표준 8 9 4 2 5" xfId="6111"/>
    <cellStyle name="표준 9 10 2 2 5" xfId="6112"/>
    <cellStyle name="표준 9 11 2 2 5" xfId="6113"/>
    <cellStyle name="표준 9 12 2 2 5" xfId="6114"/>
    <cellStyle name="표준 9 14 2 5" xfId="6115"/>
    <cellStyle name="표준 9 2 2 2 2 5" xfId="6116"/>
    <cellStyle name="표준 9 2 3 2 2 5" xfId="6117"/>
    <cellStyle name="표준 9 2 4 2 2 5" xfId="6118"/>
    <cellStyle name="표준 9 2 5 2 5" xfId="6119"/>
    <cellStyle name="표준 9 4 2 2 2 5" xfId="6120"/>
    <cellStyle name="표준 9 4 3 2 2 5" xfId="6121"/>
    <cellStyle name="표준 9 4 4 2 2 5" xfId="6122"/>
    <cellStyle name="표준 9 4 5 2 5" xfId="6123"/>
    <cellStyle name="표준 9 5 2 2 2 5" xfId="6124"/>
    <cellStyle name="표준 9 5 3 2 2 5" xfId="6125"/>
    <cellStyle name="표준 9 5 4 2 2 5" xfId="6126"/>
    <cellStyle name="표준 9 5 5 2 5" xfId="6127"/>
    <cellStyle name="표준 9 6 2 2 2 5" xfId="6128"/>
    <cellStyle name="표준 9 6 3 2 2 5" xfId="6129"/>
    <cellStyle name="표준 9 6 4 2 2 5" xfId="6130"/>
    <cellStyle name="표준 9 6 5 2 5" xfId="6131"/>
    <cellStyle name="표준 9 7 2 2 2 5" xfId="6132"/>
    <cellStyle name="표준 9 7 3 2 2 5" xfId="6133"/>
    <cellStyle name="표준 9 7 4 2 2 5" xfId="6134"/>
    <cellStyle name="표준 9 7 5 2 5" xfId="6135"/>
    <cellStyle name="표준 9 8 2 2 2 5" xfId="6136"/>
    <cellStyle name="표준 9 8 3 2 2 5" xfId="6137"/>
    <cellStyle name="표준 9 8 4 2 2 5" xfId="6138"/>
    <cellStyle name="표준 9 8 5 2 5" xfId="6139"/>
    <cellStyle name="표준 9 9 2 2 2 5" xfId="6140"/>
    <cellStyle name="표준 9 9 3 2 2 5" xfId="6141"/>
    <cellStyle name="표준 9 9 4 2 5" xfId="6142"/>
    <cellStyle name="표준 26 44" xfId="6143"/>
    <cellStyle name="표준 27 44" xfId="6144"/>
    <cellStyle name="표준 4 16 3" xfId="6145"/>
    <cellStyle name="쉼표 [0] 2 3 3" xfId="6146"/>
    <cellStyle name="통화 [0] 2 4" xfId="6147"/>
    <cellStyle name="표준 4 2 2 3 2" xfId="6148"/>
    <cellStyle name="쉼표 [0] 2 2 3" xfId="6149"/>
    <cellStyle name="통화 [0] 2 2 3" xfId="6150"/>
    <cellStyle name="표준 28 43" xfId="6151"/>
    <cellStyle name="표준 29 43" xfId="6152"/>
    <cellStyle name="표준 30 42" xfId="6153"/>
    <cellStyle name="표준 7 22 4" xfId="6154"/>
    <cellStyle name="표준 8 16 4" xfId="6155"/>
    <cellStyle name="표준 9 16 4" xfId="6156"/>
    <cellStyle name="표준 10 16 4" xfId="6157"/>
    <cellStyle name="표준 7 15 6 4" xfId="6158"/>
    <cellStyle name="표준 8 9 6 4" xfId="6159"/>
    <cellStyle name="표준 9 9 6 4" xfId="6160"/>
    <cellStyle name="표준 10 9 6 4" xfId="6161"/>
    <cellStyle name="표준 7 2 8 4" xfId="6162"/>
    <cellStyle name="표준 8 2 7 4" xfId="6163"/>
    <cellStyle name="표준 9 2 7 4" xfId="6164"/>
    <cellStyle name="표준 10 2 7 4" xfId="6165"/>
    <cellStyle name="표준 7 10 7 4" xfId="6166"/>
    <cellStyle name="표준 8 4 7 4" xfId="6167"/>
    <cellStyle name="표준 9 4 7 4" xfId="6168"/>
    <cellStyle name="표준 10 4 7 4" xfId="6169"/>
    <cellStyle name="표준 7 11 7 4" xfId="6170"/>
    <cellStyle name="표준 8 5 7 4" xfId="6171"/>
    <cellStyle name="표준 9 5 7 4" xfId="6172"/>
    <cellStyle name="표준 10 5 7 4" xfId="6173"/>
    <cellStyle name="표준 21 42 4" xfId="6174"/>
    <cellStyle name="표준 7 12 7 4" xfId="6175"/>
    <cellStyle name="표준 8 6 7 4" xfId="6176"/>
    <cellStyle name="표준 9 6 7 4" xfId="6177"/>
    <cellStyle name="표준 10 6 7 4" xfId="6178"/>
    <cellStyle name="표준 7 13 7 4" xfId="6179"/>
    <cellStyle name="표준 8 7 7 4" xfId="6180"/>
    <cellStyle name="표준 9 7 7 4" xfId="6181"/>
    <cellStyle name="표준 10 7 7 4" xfId="6182"/>
    <cellStyle name="표준 7 14 7 4" xfId="6183"/>
    <cellStyle name="표준 8 8 7 4" xfId="6184"/>
    <cellStyle name="표준 9 8 7 4" xfId="6185"/>
    <cellStyle name="표준 10 8 7 4" xfId="6186"/>
    <cellStyle name="표준 7 18 4 4" xfId="6187"/>
    <cellStyle name="표준 8 12 4 4" xfId="6188"/>
    <cellStyle name="표준 9 12 4 4" xfId="6189"/>
    <cellStyle name="표준 10 12 4 4" xfId="6190"/>
    <cellStyle name="표준 7 2 5 4 4" xfId="6191"/>
    <cellStyle name="표준 8 2 4 4 4" xfId="6192"/>
    <cellStyle name="표준 9 2 4 4 4" xfId="6193"/>
    <cellStyle name="표준 10 2 4 4 4" xfId="6194"/>
    <cellStyle name="표준 7 10 4 4 4" xfId="6195"/>
    <cellStyle name="표준 8 4 4 4 4" xfId="6196"/>
    <cellStyle name="표준 9 4 4 4 4" xfId="6197"/>
    <cellStyle name="표준 10 4 4 4 4" xfId="6198"/>
    <cellStyle name="표준 7 11 4 4 4" xfId="6199"/>
    <cellStyle name="표준 8 5 4 4 4" xfId="6200"/>
    <cellStyle name="표준 9 5 4 4 4" xfId="6201"/>
    <cellStyle name="표준 10 5 4 4 4" xfId="6202"/>
    <cellStyle name="표준 21 4 5 4" xfId="6203"/>
    <cellStyle name="표준 7 12 4 4 4" xfId="6204"/>
    <cellStyle name="표준 8 6 4 4 4" xfId="6205"/>
    <cellStyle name="표준 9 6 4 4 4" xfId="6206"/>
    <cellStyle name="표준 10 6 4 4 4" xfId="6207"/>
    <cellStyle name="표준 7 13 4 4 4" xfId="6208"/>
    <cellStyle name="표준 8 7 4 4 4" xfId="6209"/>
    <cellStyle name="표준 9 7 4 4 4" xfId="6210"/>
    <cellStyle name="표준 10 7 4 4 4" xfId="6211"/>
    <cellStyle name="표준 7 14 4 4 4" xfId="6212"/>
    <cellStyle name="표준 8 8 4 4 4" xfId="6213"/>
    <cellStyle name="표준 9 8 4 4 4" xfId="6214"/>
    <cellStyle name="표준 10 8 4 4 4" xfId="6215"/>
    <cellStyle name="표준 7 16 4 4" xfId="6216"/>
    <cellStyle name="표준 8 10 4 4" xfId="6217"/>
    <cellStyle name="표준 9 10 4 4" xfId="6218"/>
    <cellStyle name="표준 10 10 4 4" xfId="6219"/>
    <cellStyle name="표준 7 15 3 4 4" xfId="6220"/>
    <cellStyle name="표준 8 9 3 4 4" xfId="6221"/>
    <cellStyle name="표준 9 9 3 4 4" xfId="6222"/>
    <cellStyle name="표준 10 9 3 4 4" xfId="6223"/>
    <cellStyle name="표준 7 2 3 4 4" xfId="6224"/>
    <cellStyle name="표준 8 2 2 4 4" xfId="6225"/>
    <cellStyle name="표준 9 2 2 4 4" xfId="6226"/>
    <cellStyle name="표준 10 2 2 4 4" xfId="6227"/>
    <cellStyle name="표준 7 10 2 4 4" xfId="6228"/>
    <cellStyle name="표준 8 4 2 4 4" xfId="6229"/>
    <cellStyle name="표준 9 4 2 4 4" xfId="6230"/>
    <cellStyle name="표준 10 4 2 4 4" xfId="6231"/>
    <cellStyle name="표준 7 11 2 4 4" xfId="6232"/>
    <cellStyle name="표준 8 5 2 4 4" xfId="6233"/>
    <cellStyle name="표준 9 5 2 4 4" xfId="6234"/>
    <cellStyle name="표준 10 5 2 4 4" xfId="6235"/>
    <cellStyle name="표준 21 2 5 4" xfId="6236"/>
    <cellStyle name="표준 7 12 2 4 4" xfId="6237"/>
    <cellStyle name="표준 8 6 2 4 4" xfId="6238"/>
    <cellStyle name="표준 9 6 2 4 4" xfId="6239"/>
    <cellStyle name="표준 10 6 2 4 4" xfId="6240"/>
    <cellStyle name="표준 7 13 2 4 4" xfId="6241"/>
    <cellStyle name="표준 8 7 2 4 4" xfId="6242"/>
    <cellStyle name="표준 9 7 2 4 4" xfId="6243"/>
    <cellStyle name="표준 10 7 2 4 4" xfId="6244"/>
    <cellStyle name="표준 7 14 2 4 4" xfId="6245"/>
    <cellStyle name="표준 8 8 2 4 4" xfId="6246"/>
    <cellStyle name="표준 9 8 2 4 4" xfId="6247"/>
    <cellStyle name="표준 10 8 2 4 4" xfId="6248"/>
    <cellStyle name="표준 7 17 4 4" xfId="6249"/>
    <cellStyle name="표준 8 11 4 4" xfId="6250"/>
    <cellStyle name="표준 9 11 4 4" xfId="6251"/>
    <cellStyle name="표준 10 11 4 4" xfId="6252"/>
    <cellStyle name="표준 7 15 2 4 4" xfId="6253"/>
    <cellStyle name="표준 8 9 2 4 4" xfId="6254"/>
    <cellStyle name="표준 9 9 2 4 4" xfId="6255"/>
    <cellStyle name="표준 10 9 2 4 4" xfId="6256"/>
    <cellStyle name="표준 7 2 4 4 4" xfId="6257"/>
    <cellStyle name="표준 8 2 3 4 4" xfId="6258"/>
    <cellStyle name="표준 9 2 3 4 4" xfId="6259"/>
    <cellStyle name="표준 10 2 3 4 4" xfId="6260"/>
    <cellStyle name="표준 7 10 3 4 4" xfId="6261"/>
    <cellStyle name="표준 8 4 3 4 4" xfId="6262"/>
    <cellStyle name="표준 9 4 3 4 4" xfId="6263"/>
    <cellStyle name="표준 10 4 3 4 4" xfId="6264"/>
    <cellStyle name="표준 7 11 3 4 4" xfId="6265"/>
    <cellStyle name="표준 8 5 3 4 4" xfId="6266"/>
    <cellStyle name="표준 9 5 3 4 4" xfId="6267"/>
    <cellStyle name="표준 10 5 3 4 4" xfId="6268"/>
    <cellStyle name="표준 21 3 5 4" xfId="6269"/>
    <cellStyle name="표준 7 12 3 4 4" xfId="6270"/>
    <cellStyle name="표준 8 6 3 4 4" xfId="6271"/>
    <cellStyle name="표준 9 6 3 4 4" xfId="6272"/>
    <cellStyle name="표준 10 6 3 4 4" xfId="6273"/>
    <cellStyle name="표준 7 13 3 4 4" xfId="6274"/>
    <cellStyle name="표준 8 7 3 4 4" xfId="6275"/>
    <cellStyle name="표준 9 7 3 4 4" xfId="6276"/>
    <cellStyle name="표준 10 7 3 4 4" xfId="6277"/>
    <cellStyle name="표준 7 14 3 4 4" xfId="6278"/>
    <cellStyle name="표준 8 8 3 4 4" xfId="6279"/>
    <cellStyle name="표준 9 8 3 4 4" xfId="6280"/>
    <cellStyle name="표준 10 8 3 4 4" xfId="6281"/>
    <cellStyle name="표준 22 5 4" xfId="6282"/>
    <cellStyle name="표준 7 20 3 4" xfId="6283"/>
    <cellStyle name="표준 8 14 3 4" xfId="6284"/>
    <cellStyle name="표준 9 14 3 4" xfId="6285"/>
    <cellStyle name="표준 10 14 3 4" xfId="6286"/>
    <cellStyle name="표준 7 15 4 3 4" xfId="6287"/>
    <cellStyle name="표준 8 9 4 3 4" xfId="6288"/>
    <cellStyle name="표준 9 9 4 3 4" xfId="6289"/>
    <cellStyle name="표준 10 9 4 3 4" xfId="6290"/>
    <cellStyle name="표준 7 2 6 3 4" xfId="6291"/>
    <cellStyle name="표준 8 2 5 3 4" xfId="6292"/>
    <cellStyle name="표준 9 2 5 3 4" xfId="6293"/>
    <cellStyle name="표준 10 2 5 3 4" xfId="6294"/>
    <cellStyle name="표준 7 10 5 3 4" xfId="6295"/>
    <cellStyle name="표준 8 4 5 3 4" xfId="6296"/>
    <cellStyle name="표준 9 4 5 3 4" xfId="6297"/>
    <cellStyle name="표준 10 4 5 3 4" xfId="6298"/>
    <cellStyle name="표준 7 11 5 3 4" xfId="6299"/>
    <cellStyle name="표준 8 5 5 3 4" xfId="6300"/>
    <cellStyle name="표준 9 5 5 3 4" xfId="6301"/>
    <cellStyle name="표준 10 5 5 3 4" xfId="6302"/>
    <cellStyle name="표준 21 40 3 4" xfId="6303"/>
    <cellStyle name="표준 7 12 5 3 4" xfId="6304"/>
    <cellStyle name="표준 8 6 5 3 4" xfId="6305"/>
    <cellStyle name="표준 9 6 5 3 4" xfId="6306"/>
    <cellStyle name="표준 10 6 5 3 4" xfId="6307"/>
    <cellStyle name="표준 7 13 5 3 4" xfId="6308"/>
    <cellStyle name="표준 8 7 5 3 4" xfId="6309"/>
    <cellStyle name="표준 9 7 5 3 4" xfId="6310"/>
    <cellStyle name="표준 10 7 5 3 4" xfId="6311"/>
    <cellStyle name="표준 7 14 5 3 4" xfId="6312"/>
    <cellStyle name="표준 8 8 5 3 4" xfId="6313"/>
    <cellStyle name="표준 9 8 5 3 4" xfId="6314"/>
    <cellStyle name="표준 10 8 5 3 4" xfId="6315"/>
    <cellStyle name="표준 7 18 2 3 4" xfId="6316"/>
    <cellStyle name="표준 8 12 2 3 4" xfId="6317"/>
    <cellStyle name="표준 9 12 2 3 4" xfId="6318"/>
    <cellStyle name="표준 10 12 2 3 4" xfId="6319"/>
    <cellStyle name="표준 7 2 5 2 3 4" xfId="6320"/>
    <cellStyle name="표준 8 2 4 2 3 4" xfId="6321"/>
    <cellStyle name="표준 9 2 4 2 3 4" xfId="6322"/>
    <cellStyle name="표준 10 2 4 2 3 4" xfId="6323"/>
    <cellStyle name="표준 7 10 4 2 3 4" xfId="6324"/>
    <cellStyle name="표준 8 4 4 2 3 4" xfId="6325"/>
    <cellStyle name="표준 9 4 4 2 3 4" xfId="6326"/>
    <cellStyle name="표준 10 4 4 2 3 4" xfId="6327"/>
    <cellStyle name="표준 7 11 4 2 3 4" xfId="6328"/>
    <cellStyle name="표준 8 5 4 2 3 4" xfId="6329"/>
    <cellStyle name="표준 9 5 4 2 3 4" xfId="6330"/>
    <cellStyle name="표준 10 5 4 2 3 4" xfId="6331"/>
    <cellStyle name="표준 21 4 3 3 4" xfId="6332"/>
    <cellStyle name="표준 7 12 4 2 3 4" xfId="6333"/>
    <cellStyle name="표준 8 6 4 2 3 4" xfId="6334"/>
    <cellStyle name="표준 9 6 4 2 3 4" xfId="6335"/>
    <cellStyle name="표준 10 6 4 2 3 4" xfId="6336"/>
    <cellStyle name="표준 7 13 4 2 3 4" xfId="6337"/>
    <cellStyle name="표준 8 7 4 2 3 4" xfId="6338"/>
    <cellStyle name="표준 9 7 4 2 3 4" xfId="6339"/>
    <cellStyle name="표준 10 7 4 2 3 4" xfId="6340"/>
    <cellStyle name="표준 7 14 4 2 3 4" xfId="6341"/>
    <cellStyle name="표준 8 8 4 2 3 4" xfId="6342"/>
    <cellStyle name="표준 9 8 4 2 3 4" xfId="6343"/>
    <cellStyle name="표준 10 8 4 2 3 4" xfId="6344"/>
    <cellStyle name="표준 7 16 2 3 4" xfId="6345"/>
    <cellStyle name="표준 8 10 2 3 4" xfId="6346"/>
    <cellStyle name="표준 9 10 2 3 4" xfId="6347"/>
    <cellStyle name="표준 10 10 2 3 4" xfId="6348"/>
    <cellStyle name="표준 7 15 3 2 3 4" xfId="6349"/>
    <cellStyle name="표준 8 9 3 2 3 4" xfId="6350"/>
    <cellStyle name="표준 9 9 3 2 3 4" xfId="6351"/>
    <cellStyle name="표준 10 9 3 2 3 4" xfId="6352"/>
    <cellStyle name="표준 7 2 3 2 3 4" xfId="6353"/>
    <cellStyle name="표준 8 2 2 2 3 4" xfId="6354"/>
    <cellStyle name="표준 9 2 2 2 3 4" xfId="6355"/>
    <cellStyle name="표준 10 2 2 2 3 4" xfId="6356"/>
    <cellStyle name="표준 7 10 2 2 3 4" xfId="6357"/>
    <cellStyle name="표준 8 4 2 2 3 4" xfId="6358"/>
    <cellStyle name="표준 9 4 2 2 3 4" xfId="6359"/>
    <cellStyle name="표준 10 4 2 2 3 4" xfId="6360"/>
    <cellStyle name="표준 7 11 2 2 3 4" xfId="6361"/>
    <cellStyle name="표준 8 5 2 2 3 4" xfId="6362"/>
    <cellStyle name="표준 9 5 2 2 3 4" xfId="6363"/>
    <cellStyle name="표준 10 5 2 2 3 4" xfId="6364"/>
    <cellStyle name="표준 21 2 3 3 4" xfId="6365"/>
    <cellStyle name="표준 7 12 2 2 3 4" xfId="6366"/>
    <cellStyle name="표준 8 6 2 2 3 4" xfId="6367"/>
    <cellStyle name="표준 9 6 2 2 3 4" xfId="6368"/>
    <cellStyle name="표준 10 6 2 2 3 4" xfId="6369"/>
    <cellStyle name="표준 7 13 2 2 3 4" xfId="6370"/>
    <cellStyle name="표준 8 7 2 2 3 4" xfId="6371"/>
    <cellStyle name="표준 9 7 2 2 3 4" xfId="6372"/>
    <cellStyle name="표준 10 7 2 2 3 4" xfId="6373"/>
    <cellStyle name="표준 7 14 2 2 3 4" xfId="6374"/>
    <cellStyle name="표준 8 8 2 2 3 4" xfId="6375"/>
    <cellStyle name="표준 9 8 2 2 3 4" xfId="6376"/>
    <cellStyle name="표준 10 8 2 2 3 4" xfId="6377"/>
    <cellStyle name="표준 7 17 2 3 4" xfId="6378"/>
    <cellStyle name="표준 8 11 2 3 4" xfId="6379"/>
    <cellStyle name="표준 9 11 2 3 4" xfId="6380"/>
    <cellStyle name="표준 10 11 2 3 4" xfId="6381"/>
    <cellStyle name="표준 7 15 2 2 3 4" xfId="6382"/>
    <cellStyle name="표준 8 9 2 2 3 4" xfId="6383"/>
    <cellStyle name="표준 9 9 2 2 3 4" xfId="6384"/>
    <cellStyle name="표준 10 9 2 2 3 4" xfId="6385"/>
    <cellStyle name="표준 7 2 4 2 3 4" xfId="6386"/>
    <cellStyle name="표준 8 2 3 2 3 4" xfId="6387"/>
    <cellStyle name="표준 9 2 3 2 3 4" xfId="6388"/>
    <cellStyle name="표준 10 2 3 2 3 4" xfId="6389"/>
    <cellStyle name="표준 7 10 3 2 3 4" xfId="6390"/>
    <cellStyle name="표준 8 4 3 2 3 4" xfId="6391"/>
    <cellStyle name="표준 9 4 3 2 3 4" xfId="6392"/>
    <cellStyle name="표준 10 4 3 2 3 4" xfId="6393"/>
    <cellStyle name="표준 7 11 3 2 3 4" xfId="6394"/>
    <cellStyle name="표준 8 5 3 2 3 4" xfId="6395"/>
    <cellStyle name="표준 9 5 3 2 3 4" xfId="6396"/>
    <cellStyle name="표준 10 5 3 2 3 4" xfId="6397"/>
    <cellStyle name="표준 21 3 3 3 4" xfId="6398"/>
    <cellStyle name="표준 7 12 3 2 3 4" xfId="6399"/>
    <cellStyle name="표준 8 6 3 2 3 4" xfId="6400"/>
    <cellStyle name="표준 9 6 3 2 3 4" xfId="6401"/>
    <cellStyle name="표준 10 6 3 2 3 4" xfId="6402"/>
    <cellStyle name="표준 7 13 3 2 3 4" xfId="6403"/>
    <cellStyle name="표준 8 7 3 2 3 4" xfId="6404"/>
    <cellStyle name="표준 9 7 3 2 3 4" xfId="6405"/>
    <cellStyle name="표준 10 7 3 2 3 4" xfId="6406"/>
    <cellStyle name="표준 7 14 3 2 3 4" xfId="6407"/>
    <cellStyle name="표준 8 8 3 2 3 4" xfId="6408"/>
    <cellStyle name="표준 9 8 3 2 3 4" xfId="6409"/>
    <cellStyle name="표준 10 8 3 2 3 4" xfId="6410"/>
    <cellStyle name="표준 22 3 3 4" xfId="6411"/>
    <cellStyle name="표준 7 21 2 4" xfId="6412"/>
    <cellStyle name="표준 8 15 2 4" xfId="6413"/>
    <cellStyle name="표준 9 15 2 4" xfId="6414"/>
    <cellStyle name="표준 10 15 2 4" xfId="6415"/>
    <cellStyle name="표준 7 15 5 2 4" xfId="6416"/>
    <cellStyle name="표준 8 9 5 2 4" xfId="6417"/>
    <cellStyle name="표준 9 9 5 2 4" xfId="6418"/>
    <cellStyle name="표준 10 9 5 2 4" xfId="6419"/>
    <cellStyle name="표준 7 2 7 2 4" xfId="6420"/>
    <cellStyle name="표준 8 2 6 2 4" xfId="6421"/>
    <cellStyle name="표준 9 2 6 2 4" xfId="6422"/>
    <cellStyle name="표준 10 2 6 2 4" xfId="6423"/>
    <cellStyle name="표준 7 10 6 2 4" xfId="6424"/>
    <cellStyle name="표준 8 4 6 2 4" xfId="6425"/>
    <cellStyle name="표준 9 4 6 2 4" xfId="6426"/>
    <cellStyle name="표준 10 4 6 2 4" xfId="6427"/>
    <cellStyle name="표준 7 11 6 2 4" xfId="6428"/>
    <cellStyle name="표준 8 5 6 2 4" xfId="6429"/>
    <cellStyle name="표준 9 5 6 2 4" xfId="6430"/>
    <cellStyle name="표준 10 5 6 2 4" xfId="6431"/>
    <cellStyle name="표준 21 41 2 4" xfId="6432"/>
    <cellStyle name="표준 7 12 6 2 4" xfId="6433"/>
    <cellStyle name="표준 8 6 6 2 4" xfId="6434"/>
    <cellStyle name="표준 9 6 6 2 4" xfId="6435"/>
    <cellStyle name="표준 10 6 6 2 4" xfId="6436"/>
    <cellStyle name="표준 7 13 6 2 4" xfId="6437"/>
    <cellStyle name="표준 8 7 6 2 4" xfId="6438"/>
    <cellStyle name="표준 9 7 6 2 4" xfId="6439"/>
    <cellStyle name="표준 10 7 6 2 4" xfId="6440"/>
    <cellStyle name="표준 7 14 6 2 4" xfId="6441"/>
    <cellStyle name="표준 8 8 6 2 4" xfId="6442"/>
    <cellStyle name="표준 9 8 6 2 4" xfId="6443"/>
    <cellStyle name="표준 10 8 6 2 4" xfId="6444"/>
    <cellStyle name="표준 7 18 3 2 4" xfId="6445"/>
    <cellStyle name="표준 8 12 3 2 4" xfId="6446"/>
    <cellStyle name="표준 9 12 3 2 4" xfId="6447"/>
    <cellStyle name="표준 10 12 3 2 4" xfId="6448"/>
    <cellStyle name="표준 7 2 5 3 2 4" xfId="6449"/>
    <cellStyle name="표준 8 2 4 3 2 4" xfId="6450"/>
    <cellStyle name="표준 9 2 4 3 2 4" xfId="6451"/>
    <cellStyle name="표준 10 2 4 3 2 4" xfId="6452"/>
    <cellStyle name="표준 7 10 4 3 2 4" xfId="6453"/>
    <cellStyle name="표준 8 4 4 3 2 4" xfId="6454"/>
    <cellStyle name="표준 9 4 4 3 2 4" xfId="6455"/>
    <cellStyle name="표준 10 4 4 3 2 4" xfId="6456"/>
    <cellStyle name="표준 7 11 4 3 2 4" xfId="6457"/>
    <cellStyle name="표준 8 5 4 3 2 4" xfId="6458"/>
    <cellStyle name="표준 9 5 4 3 2 4" xfId="6459"/>
    <cellStyle name="표준 10 5 4 3 2 4" xfId="6460"/>
    <cellStyle name="표준 21 4 4 2 4" xfId="6461"/>
    <cellStyle name="표준 7 12 4 3 2 4" xfId="6462"/>
    <cellStyle name="표준 8 6 4 3 2 4" xfId="6463"/>
    <cellStyle name="표준 9 6 4 3 2 4" xfId="6464"/>
    <cellStyle name="표준 10 6 4 3 2 4" xfId="6465"/>
    <cellStyle name="표준 7 13 4 3 2 4" xfId="6466"/>
    <cellStyle name="표준 8 7 4 3 2 4" xfId="6467"/>
    <cellStyle name="표준 9 7 4 3 2 4" xfId="6468"/>
    <cellStyle name="표준 10 7 4 3 2 4" xfId="6469"/>
    <cellStyle name="표준 7 14 4 3 2 4" xfId="6470"/>
    <cellStyle name="표준 8 8 4 3 2 4" xfId="6471"/>
    <cellStyle name="표준 9 8 4 3 2 4" xfId="6472"/>
    <cellStyle name="표준 10 8 4 3 2 4" xfId="6473"/>
    <cellStyle name="표준 7 16 3 2 4" xfId="6474"/>
    <cellStyle name="표준 8 10 3 2 4" xfId="6475"/>
    <cellStyle name="표준 9 10 3 2 4" xfId="6476"/>
    <cellStyle name="표준 10 10 3 2 4" xfId="6477"/>
    <cellStyle name="표준 7 15 3 3 2 4" xfId="6478"/>
    <cellStyle name="표준 8 9 3 3 2 4" xfId="6479"/>
    <cellStyle name="표준 9 9 3 3 2 4" xfId="6480"/>
    <cellStyle name="표준 10 9 3 3 2 4" xfId="6481"/>
    <cellStyle name="표준 7 2 3 3 2 4" xfId="6482"/>
    <cellStyle name="표준 8 2 2 3 2 4" xfId="6483"/>
    <cellStyle name="표준 9 2 2 3 2 4" xfId="6484"/>
    <cellStyle name="표준 10 2 2 3 2 4" xfId="6485"/>
    <cellStyle name="표준 7 10 2 3 2 4" xfId="6486"/>
    <cellStyle name="표준 8 4 2 3 2 4" xfId="6487"/>
    <cellStyle name="표준 9 4 2 3 2 4" xfId="6488"/>
    <cellStyle name="표준 10 4 2 3 2 4" xfId="6489"/>
    <cellStyle name="표준 7 11 2 3 2 4" xfId="6490"/>
    <cellStyle name="표준 8 5 2 3 2 4" xfId="6491"/>
    <cellStyle name="표준 9 5 2 3 2 4" xfId="6492"/>
    <cellStyle name="표준 10 5 2 3 2 4" xfId="6493"/>
    <cellStyle name="표준 21 2 4 2 4" xfId="6494"/>
    <cellStyle name="표준 7 12 2 3 2 4" xfId="6495"/>
    <cellStyle name="표준 8 6 2 3 2 4" xfId="6496"/>
    <cellStyle name="표준 9 6 2 3 2 4" xfId="6497"/>
    <cellStyle name="표준 10 6 2 3 2 4" xfId="6498"/>
    <cellStyle name="표준 7 13 2 3 2 4" xfId="6499"/>
    <cellStyle name="표준 8 7 2 3 2 4" xfId="6500"/>
    <cellStyle name="표준 9 7 2 3 2 4" xfId="6501"/>
    <cellStyle name="표준 10 7 2 3 2 4" xfId="6502"/>
    <cellStyle name="표준 7 14 2 3 2 4" xfId="6503"/>
    <cellStyle name="표준 8 8 2 3 2 4" xfId="6504"/>
    <cellStyle name="표준 9 8 2 3 2 4" xfId="6505"/>
    <cellStyle name="표준 10 8 2 3 2 4" xfId="6506"/>
    <cellStyle name="표준 7 17 3 2 4" xfId="6507"/>
    <cellStyle name="표준 8 11 3 2 4" xfId="6508"/>
    <cellStyle name="표준 9 11 3 2 4" xfId="6509"/>
    <cellStyle name="표준 10 11 3 2 4" xfId="6510"/>
    <cellStyle name="표준 7 15 2 3 2 4" xfId="6511"/>
    <cellStyle name="표준 8 9 2 3 2 4" xfId="6512"/>
    <cellStyle name="표준 9 9 2 3 2 4" xfId="6513"/>
    <cellStyle name="표준 10 9 2 3 2 4" xfId="6514"/>
    <cellStyle name="표준 7 2 4 3 2 4" xfId="6515"/>
    <cellStyle name="표준 8 2 3 3 2 4" xfId="6516"/>
    <cellStyle name="표준 9 2 3 3 2 4" xfId="6517"/>
    <cellStyle name="표준 10 2 3 3 2 4" xfId="6518"/>
    <cellStyle name="표준 7 10 3 3 2 4" xfId="6519"/>
    <cellStyle name="표준 8 4 3 3 2 4" xfId="6520"/>
    <cellStyle name="표준 9 4 3 3 2 4" xfId="6521"/>
    <cellStyle name="표준 10 4 3 3 2 4" xfId="6522"/>
    <cellStyle name="표준 7 11 3 3 2 4" xfId="6523"/>
    <cellStyle name="표준 8 5 3 3 2 4" xfId="6524"/>
    <cellStyle name="표준 9 5 3 3 2 4" xfId="6525"/>
    <cellStyle name="표준 10 5 3 3 2 4" xfId="6526"/>
    <cellStyle name="표준 21 3 4 2 4" xfId="6527"/>
    <cellStyle name="표준 7 12 3 3 2 4" xfId="6528"/>
    <cellStyle name="표준 8 6 3 3 2 4" xfId="6529"/>
    <cellStyle name="표준 9 6 3 3 2 4" xfId="6530"/>
    <cellStyle name="표준 10 6 3 3 2 4" xfId="6531"/>
    <cellStyle name="표준 7 13 3 3 2 4" xfId="6532"/>
    <cellStyle name="표준 8 7 3 3 2 4" xfId="6533"/>
    <cellStyle name="표준 9 7 3 3 2 4" xfId="6534"/>
    <cellStyle name="표준 10 7 3 3 2 4" xfId="6535"/>
    <cellStyle name="표준 7 14 3 3 2 4" xfId="6536"/>
    <cellStyle name="표준 8 8 3 3 2 4" xfId="6537"/>
    <cellStyle name="표준 9 8 3 3 2 4" xfId="6538"/>
    <cellStyle name="표준 10 8 3 3 2 4" xfId="6539"/>
    <cellStyle name="표준 22 4 2 4" xfId="6540"/>
    <cellStyle name="표준 10 10 2 2 2 4" xfId="6541"/>
    <cellStyle name="표준 10 11 2 2 2 4" xfId="6542"/>
    <cellStyle name="표준 10 12 2 2 2 4" xfId="6543"/>
    <cellStyle name="표준 10 14 2 2 4" xfId="6544"/>
    <cellStyle name="표준 10 2 2 2 2 2 4" xfId="6545"/>
    <cellStyle name="표준 10 2 3 2 2 2 4" xfId="6546"/>
    <cellStyle name="표준 10 2 4 2 2 2 4" xfId="6547"/>
    <cellStyle name="표준 10 2 5 2 2 4" xfId="6548"/>
    <cellStyle name="표준 10 4 2 2 2 2 4" xfId="6549"/>
    <cellStyle name="표준 10 4 3 2 2 2 4" xfId="6550"/>
    <cellStyle name="표준 10 4 4 2 2 2 4" xfId="6551"/>
    <cellStyle name="표준 10 4 5 2 2 4" xfId="6552"/>
    <cellStyle name="표준 10 5 2 2 2 2 4" xfId="6553"/>
    <cellStyle name="표준 10 5 3 2 2 2 4" xfId="6554"/>
    <cellStyle name="표준 10 5 4 2 2 2 4" xfId="6555"/>
    <cellStyle name="표준 10 5 5 2 2 4" xfId="6556"/>
    <cellStyle name="표준 10 6 2 2 2 2 4" xfId="6557"/>
    <cellStyle name="표준 10 6 3 2 2 2 4" xfId="6558"/>
    <cellStyle name="표준 10 6 4 2 2 2 4" xfId="6559"/>
    <cellStyle name="표준 10 6 5 2 2 4" xfId="6560"/>
    <cellStyle name="표준 10 7 2 2 2 2 4" xfId="6561"/>
    <cellStyle name="표준 10 7 3 2 2 2 4" xfId="6562"/>
    <cellStyle name="표준 10 7 4 2 2 2 4" xfId="6563"/>
    <cellStyle name="표준 10 7 5 2 2 4" xfId="6564"/>
    <cellStyle name="표준 10 8 2 2 2 2 4" xfId="6565"/>
    <cellStyle name="표준 10 8 3 2 2 2 4" xfId="6566"/>
    <cellStyle name="표준 10 8 4 2 2 2 4" xfId="6567"/>
    <cellStyle name="표준 10 8 5 2 2 4" xfId="6568"/>
    <cellStyle name="표준 10 9 2 2 2 2 4" xfId="6569"/>
    <cellStyle name="표준 10 9 3 2 2 2 4" xfId="6570"/>
    <cellStyle name="표준 10 9 4 2 2 4" xfId="6571"/>
    <cellStyle name="표준 21 2 3 2 2 4" xfId="6572"/>
    <cellStyle name="표준 21 3 3 2 2 4" xfId="6573"/>
    <cellStyle name="표준 21 4 3 2 2 4" xfId="6574"/>
    <cellStyle name="표준 21 40 2 2 4" xfId="6575"/>
    <cellStyle name="표준 22 3 2 2 4" xfId="6576"/>
    <cellStyle name="표준 24 40 4" xfId="6577"/>
    <cellStyle name="표준 25 24 4" xfId="6578"/>
    <cellStyle name="표준 7 10 2 2 2 2 4" xfId="6579"/>
    <cellStyle name="표준 7 10 3 2 2 2 4" xfId="6580"/>
    <cellStyle name="표준 7 10 4 2 2 2 4" xfId="6581"/>
    <cellStyle name="표준 7 10 5 2 2 4" xfId="6582"/>
    <cellStyle name="표준 7 11 2 2 2 2 4" xfId="6583"/>
    <cellStyle name="표준 7 11 3 2 2 2 4" xfId="6584"/>
    <cellStyle name="표준 7 11 4 2 2 2 4" xfId="6585"/>
    <cellStyle name="표준 7 11 5 2 2 4" xfId="6586"/>
    <cellStyle name="표준 7 12 2 2 2 2 4" xfId="6587"/>
    <cellStyle name="표준 7 12 3 2 2 2 4" xfId="6588"/>
    <cellStyle name="표준 7 12 4 2 2 2 4" xfId="6589"/>
    <cellStyle name="표준 7 12 5 2 2 4" xfId="6590"/>
    <cellStyle name="표준 7 13 2 2 2 2 4" xfId="6591"/>
    <cellStyle name="표준 7 13 3 2 2 2 4" xfId="6592"/>
    <cellStyle name="표준 7 13 4 2 2 2 4" xfId="6593"/>
    <cellStyle name="표준 7 13 5 2 2 4" xfId="6594"/>
    <cellStyle name="표준 7 14 2 2 2 2 4" xfId="6595"/>
    <cellStyle name="표준 7 14 3 2 2 2 4" xfId="6596"/>
    <cellStyle name="표준 7 14 4 2 2 2 4" xfId="6597"/>
    <cellStyle name="표준 7 14 5 2 2 4" xfId="6598"/>
    <cellStyle name="표준 7 15 2 2 2 2 4" xfId="6599"/>
    <cellStyle name="표준 7 15 3 2 2 2 4" xfId="6600"/>
    <cellStyle name="표준 7 15 4 2 2 4" xfId="6601"/>
    <cellStyle name="표준 7 16 2 2 2 4" xfId="6602"/>
    <cellStyle name="표준 7 17 2 2 2 4" xfId="6603"/>
    <cellStyle name="표준 7 18 2 2 2 4" xfId="6604"/>
    <cellStyle name="표준 7 2 3 2 2 2 4" xfId="6605"/>
    <cellStyle name="표준 7 2 4 2 2 2 4" xfId="6606"/>
    <cellStyle name="표준 7 2 5 2 2 2 4" xfId="6607"/>
    <cellStyle name="표준 7 2 6 2 2 4" xfId="6608"/>
    <cellStyle name="표준 7 20 2 2 4" xfId="6609"/>
    <cellStyle name="표준 8 10 2 2 2 4" xfId="6610"/>
    <cellStyle name="표준 8 11 2 2 2 4" xfId="6611"/>
    <cellStyle name="표준 8 12 2 2 2 4" xfId="6612"/>
    <cellStyle name="표준 8 14 2 2 4" xfId="6613"/>
    <cellStyle name="표준 8 2 2 2 2 2 4" xfId="6614"/>
    <cellStyle name="표준 8 2 3 2 2 2 4" xfId="6615"/>
    <cellStyle name="표준 8 2 4 2 2 2 4" xfId="6616"/>
    <cellStyle name="표준 8 2 5 2 2 4" xfId="6617"/>
    <cellStyle name="표준 8 4 2 2 2 2 4" xfId="6618"/>
    <cellStyle name="표준 8 4 3 2 2 2 4" xfId="6619"/>
    <cellStyle name="표준 8 4 4 2 2 2 4" xfId="6620"/>
    <cellStyle name="표준 8 4 5 2 2 4" xfId="6621"/>
    <cellStyle name="표준 8 5 2 2 2 2 4" xfId="6622"/>
    <cellStyle name="표준 8 5 3 2 2 2 4" xfId="6623"/>
    <cellStyle name="표준 8 5 4 2 2 2 4" xfId="6624"/>
    <cellStyle name="표준 8 5 5 2 2 4" xfId="6625"/>
    <cellStyle name="표준 8 6 2 2 2 2 4" xfId="6626"/>
    <cellStyle name="표준 8 6 3 2 2 2 4" xfId="6627"/>
    <cellStyle name="표준 8 6 4 2 2 2 4" xfId="6628"/>
    <cellStyle name="표준 8 6 5 2 2 4" xfId="6629"/>
    <cellStyle name="표준 8 7 2 2 2 2 4" xfId="6630"/>
    <cellStyle name="표준 8 7 3 2 2 2 4" xfId="6631"/>
    <cellStyle name="표준 8 7 4 2 2 2 4" xfId="6632"/>
    <cellStyle name="표준 8 7 5 2 2 4" xfId="6633"/>
    <cellStyle name="표준 8 8 2 2 2 2 4" xfId="6634"/>
    <cellStyle name="표준 8 8 3 2 2 2 4" xfId="6635"/>
    <cellStyle name="표준 8 8 4 2 2 2 4" xfId="6636"/>
    <cellStyle name="표준 8 8 5 2 2 4" xfId="6637"/>
    <cellStyle name="표준 8 9 2 2 2 2 4" xfId="6638"/>
    <cellStyle name="표준 8 9 3 2 2 2 4" xfId="6639"/>
    <cellStyle name="표준 8 9 4 2 2 4" xfId="6640"/>
    <cellStyle name="표준 9 10 2 2 2 4" xfId="6641"/>
    <cellStyle name="표준 9 11 2 2 2 4" xfId="6642"/>
    <cellStyle name="표준 9 12 2 2 2 4" xfId="6643"/>
    <cellStyle name="표준 9 14 2 2 4" xfId="6644"/>
    <cellStyle name="표준 9 2 2 2 2 2 4" xfId="6645"/>
    <cellStyle name="표준 9 2 3 2 2 2 4" xfId="6646"/>
    <cellStyle name="표준 9 2 4 2 2 2 4" xfId="6647"/>
    <cellStyle name="표준 9 2 5 2 2 4" xfId="6648"/>
    <cellStyle name="표준 9 4 2 2 2 2 4" xfId="6649"/>
    <cellStyle name="표준 9 4 3 2 2 2 4" xfId="6650"/>
    <cellStyle name="표준 9 4 4 2 2 2 4" xfId="6651"/>
    <cellStyle name="표준 9 4 5 2 2 4" xfId="6652"/>
    <cellStyle name="표준 9 5 2 2 2 2 4" xfId="6653"/>
    <cellStyle name="표준 9 5 3 2 2 2 4" xfId="6654"/>
    <cellStyle name="표준 9 5 4 2 2 2 4" xfId="6655"/>
    <cellStyle name="표준 9 5 5 2 2 4" xfId="6656"/>
    <cellStyle name="표준 9 6 2 2 2 2 4" xfId="6657"/>
    <cellStyle name="표준 9 6 3 2 2 2 4" xfId="6658"/>
    <cellStyle name="표준 9 6 4 2 2 2 4" xfId="6659"/>
    <cellStyle name="표준 9 6 5 2 2 4" xfId="6660"/>
    <cellStyle name="표준 9 7 2 2 2 2 4" xfId="6661"/>
    <cellStyle name="표준 9 7 3 2 2 2 4" xfId="6662"/>
    <cellStyle name="표준 9 7 4 2 2 2 4" xfId="6663"/>
    <cellStyle name="표준 9 7 5 2 2 4" xfId="6664"/>
    <cellStyle name="표준 9 8 2 2 2 2 4" xfId="6665"/>
    <cellStyle name="표준 9 8 3 2 2 2 4" xfId="6666"/>
    <cellStyle name="표준 9 8 4 2 2 2 4" xfId="6667"/>
    <cellStyle name="표준 9 8 5 2 2 4" xfId="6668"/>
    <cellStyle name="표준 9 9 2 2 2 2 4" xfId="6669"/>
    <cellStyle name="표준 9 9 3 2 2 2 4" xfId="6670"/>
    <cellStyle name="표준 9 9 4 2 2 4" xfId="6671"/>
    <cellStyle name="표준 7 23 2" xfId="6672"/>
    <cellStyle name="표준 8 17 2" xfId="6673"/>
    <cellStyle name="표준 9 17 2" xfId="6674"/>
    <cellStyle name="표준 10 17 2" xfId="6675"/>
    <cellStyle name="표준 7 15 7 2" xfId="6676"/>
    <cellStyle name="표준 8 9 7 2" xfId="6677"/>
    <cellStyle name="표준 9 9 7 2" xfId="6678"/>
    <cellStyle name="표준 10 9 7 2" xfId="6679"/>
    <cellStyle name="표준 7 2 9 2" xfId="6680"/>
    <cellStyle name="표준 8 2 8 2" xfId="6681"/>
    <cellStyle name="표준 9 2 8 2" xfId="6682"/>
    <cellStyle name="표준 10 2 8 2" xfId="6683"/>
    <cellStyle name="표준 7 10 8 2" xfId="6684"/>
    <cellStyle name="표준 8 4 8 2" xfId="6685"/>
    <cellStyle name="표준 9 4 8 2" xfId="6686"/>
    <cellStyle name="표준 10 4 8 2" xfId="6687"/>
    <cellStyle name="표준 7 11 8 2" xfId="6688"/>
    <cellStyle name="표준 8 5 8 2" xfId="6689"/>
    <cellStyle name="표준 9 5 8 2" xfId="6690"/>
    <cellStyle name="표준 10 5 8 2" xfId="6691"/>
    <cellStyle name="표준 21 43 2" xfId="6692"/>
    <cellStyle name="표준 7 12 8 2" xfId="6693"/>
    <cellStyle name="표준 8 6 8 2" xfId="6694"/>
    <cellStyle name="표준 9 6 8 2" xfId="6695"/>
    <cellStyle name="표준 10 6 8 2" xfId="6696"/>
    <cellStyle name="표준 7 13 8 2" xfId="6697"/>
    <cellStyle name="표준 8 7 8 2" xfId="6698"/>
    <cellStyle name="표준 9 7 8 2" xfId="6699"/>
    <cellStyle name="표준 10 7 8 2" xfId="6700"/>
    <cellStyle name="표준 7 14 8 2" xfId="6701"/>
    <cellStyle name="표준 8 8 8 2" xfId="6702"/>
    <cellStyle name="표준 9 8 8 2" xfId="6703"/>
    <cellStyle name="표준 10 8 8 2" xfId="6704"/>
    <cellStyle name="표준 7 18 5 2" xfId="6705"/>
    <cellStyle name="표준 8 12 5 2" xfId="6706"/>
    <cellStyle name="표준 9 12 5 2" xfId="6707"/>
    <cellStyle name="표준 10 12 5 2" xfId="6708"/>
    <cellStyle name="표준 7 2 5 5 2" xfId="6709"/>
    <cellStyle name="표준 8 2 4 5 2" xfId="6710"/>
    <cellStyle name="표준 9 2 4 5 2" xfId="6711"/>
    <cellStyle name="표준 10 2 4 5 2" xfId="6712"/>
    <cellStyle name="표준 7 10 4 5 2" xfId="6713"/>
    <cellStyle name="표준 8 4 4 5 2" xfId="6714"/>
    <cellStyle name="표준 9 4 4 5 2" xfId="6715"/>
    <cellStyle name="표준 10 4 4 5 2" xfId="6716"/>
    <cellStyle name="표준 7 11 4 5 2" xfId="6717"/>
    <cellStyle name="표준 8 5 4 5 2" xfId="6718"/>
    <cellStyle name="표준 9 5 4 5 2" xfId="6719"/>
    <cellStyle name="표준 10 5 4 5 2" xfId="6720"/>
    <cellStyle name="표준 21 4 6 2" xfId="6721"/>
    <cellStyle name="표준 7 12 4 5 2" xfId="6722"/>
    <cellStyle name="표준 8 6 4 5 2" xfId="6723"/>
    <cellStyle name="표준 9 6 4 5 2" xfId="6724"/>
    <cellStyle name="표준 10 6 4 5 2" xfId="6725"/>
    <cellStyle name="표준 7 13 4 5 2" xfId="6726"/>
    <cellStyle name="표준 8 7 4 5 2" xfId="6727"/>
    <cellStyle name="표준 9 7 4 5 2" xfId="6728"/>
    <cellStyle name="표준 10 7 4 5 2" xfId="6729"/>
    <cellStyle name="표준 7 14 4 5 2" xfId="6730"/>
    <cellStyle name="표준 8 8 4 5 2" xfId="6731"/>
    <cellStyle name="표준 9 8 4 5 2" xfId="6732"/>
    <cellStyle name="표준 10 8 4 5 2" xfId="6733"/>
    <cellStyle name="표준 7 16 5 2" xfId="6734"/>
    <cellStyle name="표준 8 10 5 2" xfId="6735"/>
    <cellStyle name="표준 9 10 5 2" xfId="6736"/>
    <cellStyle name="표준 10 10 5 2" xfId="6737"/>
    <cellStyle name="표준 7 15 3 5 2" xfId="6738"/>
    <cellStyle name="표준 8 9 3 5 2" xfId="6739"/>
    <cellStyle name="표준 9 9 3 5 2" xfId="6740"/>
    <cellStyle name="표준 10 9 3 5 2" xfId="6741"/>
    <cellStyle name="표준 7 2 3 5 2" xfId="6742"/>
    <cellStyle name="표준 8 2 2 5 2" xfId="6743"/>
    <cellStyle name="표준 9 2 2 5 2" xfId="6744"/>
    <cellStyle name="표준 10 2 2 5 2" xfId="6745"/>
    <cellStyle name="표준 7 10 2 5 2" xfId="6746"/>
    <cellStyle name="표준 8 4 2 5 2" xfId="6747"/>
    <cellStyle name="표준 9 4 2 5 2" xfId="6748"/>
    <cellStyle name="표준 10 4 2 5 2" xfId="6749"/>
    <cellStyle name="표준 7 11 2 5 2" xfId="6750"/>
    <cellStyle name="표준 8 5 2 5 2" xfId="6751"/>
    <cellStyle name="표준 9 5 2 5 2" xfId="6752"/>
    <cellStyle name="표준 10 5 2 5 2" xfId="6753"/>
    <cellStyle name="표준 21 2 6 2" xfId="6754"/>
    <cellStyle name="표준 7 12 2 5 2" xfId="6755"/>
    <cellStyle name="표준 8 6 2 5 2" xfId="6756"/>
    <cellStyle name="표준 9 6 2 5 2" xfId="6757"/>
    <cellStyle name="표준 10 6 2 5 2" xfId="6758"/>
    <cellStyle name="표준 7 13 2 5 2" xfId="6759"/>
    <cellStyle name="표준 8 7 2 5 2" xfId="6760"/>
    <cellStyle name="표준 9 7 2 5 2" xfId="6761"/>
    <cellStyle name="표준 10 7 2 5 2" xfId="6762"/>
    <cellStyle name="표준 7 14 2 5 2" xfId="6763"/>
    <cellStyle name="표준 8 8 2 5 2" xfId="6764"/>
    <cellStyle name="표준 9 8 2 5 2" xfId="6765"/>
    <cellStyle name="표준 10 8 2 5 2" xfId="6766"/>
    <cellStyle name="표준 7 17 5 2" xfId="6767"/>
    <cellStyle name="표준 8 11 5 2" xfId="6768"/>
    <cellStyle name="표준 9 11 5 2" xfId="6769"/>
    <cellStyle name="표준 10 11 5 2" xfId="6770"/>
    <cellStyle name="표준 7 15 2 5 2" xfId="6771"/>
    <cellStyle name="표준 8 9 2 5 2" xfId="6772"/>
    <cellStyle name="표준 9 9 2 5 2" xfId="6773"/>
    <cellStyle name="표준 10 9 2 5 2" xfId="6774"/>
    <cellStyle name="표준 7 2 4 5 2" xfId="6775"/>
    <cellStyle name="표준 8 2 3 5 2" xfId="6776"/>
    <cellStyle name="표준 9 2 3 5 2" xfId="6777"/>
    <cellStyle name="표준 10 2 3 5 2" xfId="6778"/>
    <cellStyle name="표준 7 10 3 5 2" xfId="6779"/>
    <cellStyle name="표준 8 4 3 5 2" xfId="6780"/>
    <cellStyle name="표준 9 4 3 5 2" xfId="6781"/>
    <cellStyle name="표준 10 4 3 5 2" xfId="6782"/>
    <cellStyle name="표준 7 11 3 5 2" xfId="6783"/>
    <cellStyle name="표준 8 5 3 5 2" xfId="6784"/>
    <cellStyle name="표준 9 5 3 5 2" xfId="6785"/>
    <cellStyle name="표준 10 5 3 5 2" xfId="6786"/>
    <cellStyle name="표준 21 3 6 2" xfId="6787"/>
    <cellStyle name="표준 7 12 3 5 2" xfId="6788"/>
    <cellStyle name="표준 8 6 3 5 2" xfId="6789"/>
    <cellStyle name="표준 9 6 3 5 2" xfId="6790"/>
    <cellStyle name="표준 10 6 3 5 2" xfId="6791"/>
    <cellStyle name="표준 7 13 3 5 2" xfId="6792"/>
    <cellStyle name="표준 8 7 3 5 2" xfId="6793"/>
    <cellStyle name="표준 9 7 3 5 2" xfId="6794"/>
    <cellStyle name="표준 10 7 3 5 2" xfId="6795"/>
    <cellStyle name="표준 7 14 3 5 2" xfId="6796"/>
    <cellStyle name="표준 8 8 3 5 2" xfId="6797"/>
    <cellStyle name="표준 9 8 3 5 2" xfId="6798"/>
    <cellStyle name="표준 10 8 3 5 2" xfId="6799"/>
    <cellStyle name="표준 22 6 2" xfId="6800"/>
    <cellStyle name="표준 7 20 4 2" xfId="6801"/>
    <cellStyle name="표준 8 14 4 2" xfId="6802"/>
    <cellStyle name="표준 9 14 4 2" xfId="6803"/>
    <cellStyle name="표준 10 14 4 2" xfId="6804"/>
    <cellStyle name="표준 7 15 4 4 2" xfId="6805"/>
    <cellStyle name="표준 8 9 4 4 2" xfId="6806"/>
    <cellStyle name="표준 9 9 4 4 2" xfId="6807"/>
    <cellStyle name="표준 10 9 4 4 2" xfId="6808"/>
    <cellStyle name="표준 7 2 6 4 2" xfId="6809"/>
    <cellStyle name="표준 8 2 5 4 2" xfId="6810"/>
    <cellStyle name="표준 9 2 5 4 2" xfId="6811"/>
    <cellStyle name="표준 10 2 5 4 2" xfId="6812"/>
    <cellStyle name="표준 7 10 5 4 2" xfId="6813"/>
    <cellStyle name="표준 8 4 5 4 2" xfId="6814"/>
    <cellStyle name="표준 9 4 5 4 2" xfId="6815"/>
    <cellStyle name="표준 10 4 5 4 2" xfId="6816"/>
    <cellStyle name="표준 7 11 5 4 2" xfId="6817"/>
    <cellStyle name="표준 8 5 5 4 2" xfId="6818"/>
    <cellStyle name="표준 9 5 5 4 2" xfId="6819"/>
    <cellStyle name="표준 10 5 5 4 2" xfId="6820"/>
    <cellStyle name="표준 21 40 4 2" xfId="6821"/>
    <cellStyle name="표준 7 12 5 4 2" xfId="6822"/>
    <cellStyle name="표준 8 6 5 4 2" xfId="6823"/>
    <cellStyle name="표준 9 6 5 4 2" xfId="6824"/>
    <cellStyle name="표준 10 6 5 4 2" xfId="6825"/>
    <cellStyle name="표준 7 13 5 4 2" xfId="6826"/>
    <cellStyle name="표준 8 7 5 4 2" xfId="6827"/>
    <cellStyle name="표준 9 7 5 4 2" xfId="6828"/>
    <cellStyle name="표준 10 7 5 4 2" xfId="6829"/>
    <cellStyle name="표준 7 14 5 4 2" xfId="6830"/>
    <cellStyle name="표준 8 8 5 4 2" xfId="6831"/>
    <cellStyle name="표준 9 8 5 4 2" xfId="6832"/>
    <cellStyle name="표준 10 8 5 4 2" xfId="6833"/>
    <cellStyle name="표준 7 18 2 4 2" xfId="6834"/>
    <cellStyle name="표준 8 12 2 4 2" xfId="6835"/>
    <cellStyle name="표준 9 12 2 4 2" xfId="6836"/>
    <cellStyle name="표준 10 12 2 4 2" xfId="6837"/>
    <cellStyle name="표준 7 2 5 2 4 2" xfId="6838"/>
    <cellStyle name="표준 8 2 4 2 4 2" xfId="6839"/>
    <cellStyle name="표준 9 2 4 2 4 2" xfId="6840"/>
    <cellStyle name="표준 10 2 4 2 4 2" xfId="6841"/>
    <cellStyle name="표준 7 10 4 2 4 2" xfId="6842"/>
    <cellStyle name="표준 8 4 4 2 4 2" xfId="6843"/>
    <cellStyle name="표준 9 4 4 2 4 2" xfId="6844"/>
    <cellStyle name="표준 10 4 4 2 4 2" xfId="6845"/>
    <cellStyle name="표준 7 11 4 2 4 2" xfId="6846"/>
    <cellStyle name="표준 8 5 4 2 4 2" xfId="6847"/>
    <cellStyle name="표준 9 5 4 2 4 2" xfId="6848"/>
    <cellStyle name="표준 10 5 4 2 4 2" xfId="6849"/>
    <cellStyle name="표준 21 4 3 4 2" xfId="6850"/>
    <cellStyle name="표준 7 12 4 2 4 2" xfId="6851"/>
    <cellStyle name="표준 8 6 4 2 4 2" xfId="6852"/>
    <cellStyle name="표준 9 6 4 2 4 2" xfId="6853"/>
    <cellStyle name="표준 10 6 4 2 4 2" xfId="6854"/>
    <cellStyle name="표준 7 13 4 2 4 2" xfId="6855"/>
    <cellStyle name="표준 8 7 4 2 4 2" xfId="6856"/>
    <cellStyle name="표준 9 7 4 2 4 2" xfId="6857"/>
    <cellStyle name="표준 10 7 4 2 4 2" xfId="6858"/>
    <cellStyle name="표준 7 14 4 2 4 2" xfId="6859"/>
    <cellStyle name="표준 8 8 4 2 4 2" xfId="6860"/>
    <cellStyle name="표준 9 8 4 2 4 2" xfId="6861"/>
    <cellStyle name="표준 10 8 4 2 4 2" xfId="6862"/>
    <cellStyle name="표준 7 16 2 4 2" xfId="6863"/>
    <cellStyle name="표준 8 10 2 4 2" xfId="6864"/>
    <cellStyle name="표준 9 10 2 4 2" xfId="6865"/>
    <cellStyle name="표준 10 10 2 4 2" xfId="6866"/>
    <cellStyle name="표준 7 15 3 2 4 2" xfId="6867"/>
    <cellStyle name="표준 8 9 3 2 4 2" xfId="6868"/>
    <cellStyle name="표준 9 9 3 2 4 2" xfId="6869"/>
    <cellStyle name="표준 10 9 3 2 4 2" xfId="6870"/>
    <cellStyle name="표준 7 2 3 2 4 2" xfId="6871"/>
    <cellStyle name="표준 8 2 2 2 4 2" xfId="6872"/>
    <cellStyle name="표준 9 2 2 2 4 2" xfId="6873"/>
    <cellStyle name="표준 10 2 2 2 4 2" xfId="6874"/>
    <cellStyle name="표준 7 10 2 2 4 2" xfId="6875"/>
    <cellStyle name="표준 8 4 2 2 4 2" xfId="6876"/>
    <cellStyle name="표준 9 4 2 2 4 2" xfId="6877"/>
    <cellStyle name="표준 10 4 2 2 4 2" xfId="6878"/>
    <cellStyle name="표준 7 11 2 2 4 2" xfId="6879"/>
    <cellStyle name="표준 8 5 2 2 4 2" xfId="6880"/>
    <cellStyle name="표준 9 5 2 2 4 2" xfId="6881"/>
    <cellStyle name="표준 10 5 2 2 4 2" xfId="6882"/>
    <cellStyle name="표준 21 2 3 4 2" xfId="6883"/>
    <cellStyle name="표준 7 12 2 2 4 2" xfId="6884"/>
    <cellStyle name="표준 8 6 2 2 4 2" xfId="6885"/>
    <cellStyle name="표준 9 6 2 2 4 2" xfId="6886"/>
    <cellStyle name="표준 10 6 2 2 4 2" xfId="6887"/>
    <cellStyle name="표준 7 13 2 2 4 2" xfId="6888"/>
    <cellStyle name="표준 8 7 2 2 4 2" xfId="6889"/>
    <cellStyle name="표준 9 7 2 2 4 2" xfId="6890"/>
    <cellStyle name="표준 10 7 2 2 4 2" xfId="6891"/>
    <cellStyle name="표준 7 14 2 2 4 2" xfId="6892"/>
    <cellStyle name="표준 8 8 2 2 4 2" xfId="6893"/>
    <cellStyle name="표준 9 8 2 2 4 2" xfId="6894"/>
    <cellStyle name="표준 10 8 2 2 4 2" xfId="6895"/>
    <cellStyle name="표준 7 17 2 4 2" xfId="6896"/>
    <cellStyle name="표준 8 11 2 4 2" xfId="6897"/>
    <cellStyle name="표준 9 11 2 4 2" xfId="6898"/>
    <cellStyle name="표준 10 11 2 4 2" xfId="6899"/>
    <cellStyle name="표준 7 15 2 2 4 2" xfId="6900"/>
    <cellStyle name="표준 8 9 2 2 4 2" xfId="6901"/>
    <cellStyle name="표준 9 9 2 2 4 2" xfId="6902"/>
    <cellStyle name="표준 10 9 2 2 4 2" xfId="6903"/>
    <cellStyle name="표준 7 2 4 2 4 2" xfId="6904"/>
    <cellStyle name="표준 8 2 3 2 4 2" xfId="6905"/>
    <cellStyle name="표준 9 2 3 2 4 2" xfId="6906"/>
    <cellStyle name="표준 10 2 3 2 4 2" xfId="6907"/>
    <cellStyle name="표준 7 10 3 2 4 2" xfId="6908"/>
    <cellStyle name="표준 8 4 3 2 4 2" xfId="6909"/>
    <cellStyle name="표준 9 4 3 2 4 2" xfId="6910"/>
    <cellStyle name="표준 10 4 3 2 4 2" xfId="6911"/>
    <cellStyle name="표준 7 11 3 2 4 2" xfId="6912"/>
    <cellStyle name="표준 8 5 3 2 4 2" xfId="6913"/>
    <cellStyle name="표준 9 5 3 2 4 2" xfId="6914"/>
    <cellStyle name="표준 10 5 3 2 4 2" xfId="6915"/>
    <cellStyle name="표준 21 3 3 4 2" xfId="6916"/>
    <cellStyle name="표준 7 12 3 2 4 2" xfId="6917"/>
    <cellStyle name="표준 8 6 3 2 4 2" xfId="6918"/>
    <cellStyle name="표준 9 6 3 2 4 2" xfId="6919"/>
    <cellStyle name="표준 10 6 3 2 4 2" xfId="6920"/>
    <cellStyle name="표준 7 13 3 2 4 2" xfId="6921"/>
    <cellStyle name="표준 8 7 3 2 4 2" xfId="6922"/>
    <cellStyle name="표준 9 7 3 2 4 2" xfId="6923"/>
    <cellStyle name="표준 10 7 3 2 4 2" xfId="6924"/>
    <cellStyle name="표준 7 14 3 2 4 2" xfId="6925"/>
    <cellStyle name="표준 8 8 3 2 4 2" xfId="6926"/>
    <cellStyle name="표준 9 8 3 2 4 2" xfId="6927"/>
    <cellStyle name="표준 10 8 3 2 4 2" xfId="6928"/>
    <cellStyle name="표준 22 3 4 2" xfId="6929"/>
    <cellStyle name="표준 7 21 3 2" xfId="6930"/>
    <cellStyle name="표준 8 15 3 2" xfId="6931"/>
    <cellStyle name="표준 9 15 3 2" xfId="6932"/>
    <cellStyle name="표준 10 15 3 2" xfId="6933"/>
    <cellStyle name="표준 7 15 5 3 2" xfId="6934"/>
    <cellStyle name="표준 8 9 5 3 2" xfId="6935"/>
    <cellStyle name="표준 9 9 5 3 2" xfId="6936"/>
    <cellStyle name="표준 10 9 5 3 2" xfId="6937"/>
    <cellStyle name="표준 7 2 7 3 2" xfId="6938"/>
    <cellStyle name="표준 8 2 6 3 2" xfId="6939"/>
    <cellStyle name="표준 9 2 6 3 2" xfId="6940"/>
    <cellStyle name="표준 10 2 6 3 2" xfId="6941"/>
    <cellStyle name="표준 7 10 6 3 2" xfId="6942"/>
    <cellStyle name="표준 8 4 6 3 2" xfId="6943"/>
    <cellStyle name="표준 9 4 6 3 2" xfId="6944"/>
    <cellStyle name="표준 10 4 6 3 2" xfId="6945"/>
    <cellStyle name="표준 7 11 6 3 2" xfId="6946"/>
    <cellStyle name="표준 8 5 6 3 2" xfId="6947"/>
    <cellStyle name="표준 9 5 6 3 2" xfId="6948"/>
    <cellStyle name="표준 10 5 6 3 2" xfId="6949"/>
    <cellStyle name="표준 21 41 3 2" xfId="6950"/>
    <cellStyle name="표준 7 12 6 3 2" xfId="6951"/>
    <cellStyle name="표준 8 6 6 3 2" xfId="6952"/>
    <cellStyle name="표준 9 6 6 3 2" xfId="6953"/>
    <cellStyle name="표준 10 6 6 3 2" xfId="6954"/>
    <cellStyle name="표준 7 13 6 3 2" xfId="6955"/>
    <cellStyle name="표준 8 7 6 3 2" xfId="6956"/>
    <cellStyle name="표준 9 7 6 3 2" xfId="6957"/>
    <cellStyle name="표준 10 7 6 3 2" xfId="6958"/>
    <cellStyle name="표준 7 14 6 3 2" xfId="6959"/>
    <cellStyle name="표준 8 8 6 3 2" xfId="6960"/>
    <cellStyle name="표준 9 8 6 3 2" xfId="6961"/>
    <cellStyle name="표준 10 8 6 3 2" xfId="6962"/>
    <cellStyle name="표준 7 18 3 3 2" xfId="6963"/>
    <cellStyle name="표준 8 12 3 3 2" xfId="6964"/>
    <cellStyle name="표준 9 12 3 3 2" xfId="6965"/>
    <cellStyle name="표준 10 12 3 3 2" xfId="6966"/>
    <cellStyle name="표준 7 2 5 3 3 2" xfId="6967"/>
    <cellStyle name="표준 8 2 4 3 3 2" xfId="6968"/>
    <cellStyle name="표준 9 2 4 3 3 2" xfId="6969"/>
    <cellStyle name="표준 10 2 4 3 3 2" xfId="6970"/>
    <cellStyle name="표준 7 10 4 3 3 2" xfId="6971"/>
    <cellStyle name="표준 8 4 4 3 3 2" xfId="6972"/>
    <cellStyle name="표준 9 4 4 3 3 2" xfId="6973"/>
    <cellStyle name="표준 10 4 4 3 3 2" xfId="6974"/>
    <cellStyle name="표준 7 11 4 3 3 2" xfId="6975"/>
    <cellStyle name="표준 8 5 4 3 3 2" xfId="6976"/>
    <cellStyle name="표준 9 5 4 3 3 2" xfId="6977"/>
    <cellStyle name="표준 10 5 4 3 3 2" xfId="6978"/>
    <cellStyle name="표준 21 4 4 3 2" xfId="6979"/>
    <cellStyle name="표준 7 12 4 3 3 2" xfId="6980"/>
    <cellStyle name="표준 8 6 4 3 3 2" xfId="6981"/>
    <cellStyle name="표준 9 6 4 3 3 2" xfId="6982"/>
    <cellStyle name="표준 10 6 4 3 3 2" xfId="6983"/>
    <cellStyle name="표준 7 13 4 3 3 2" xfId="6984"/>
    <cellStyle name="표준 8 7 4 3 3 2" xfId="6985"/>
    <cellStyle name="표준 9 7 4 3 3 2" xfId="6986"/>
    <cellStyle name="표준 10 7 4 3 3 2" xfId="6987"/>
    <cellStyle name="표준 7 14 4 3 3 2" xfId="6988"/>
    <cellStyle name="표준 8 8 4 3 3 2" xfId="6989"/>
    <cellStyle name="표준 9 8 4 3 3 2" xfId="6990"/>
    <cellStyle name="표준 10 8 4 3 3 2" xfId="6991"/>
    <cellStyle name="표준 7 16 3 3 2" xfId="6992"/>
    <cellStyle name="표준 8 10 3 3 2" xfId="6993"/>
    <cellStyle name="표준 9 10 3 3 2" xfId="6994"/>
    <cellStyle name="표준 10 10 3 3 2" xfId="6995"/>
    <cellStyle name="표준 7 15 3 3 3 2" xfId="6996"/>
    <cellStyle name="표준 8 9 3 3 3 2" xfId="6997"/>
    <cellStyle name="표준 9 9 3 3 3 2" xfId="6998"/>
    <cellStyle name="표준 10 9 3 3 3 2" xfId="6999"/>
    <cellStyle name="표준 7 2 3 3 3 2" xfId="7000"/>
    <cellStyle name="표준 8 2 2 3 3 2" xfId="7001"/>
    <cellStyle name="표준 9 2 2 3 3 2" xfId="7002"/>
    <cellStyle name="표준 10 2 2 3 3 2" xfId="7003"/>
    <cellStyle name="표준 7 10 2 3 3 2" xfId="7004"/>
    <cellStyle name="표준 8 4 2 3 3 2" xfId="7005"/>
    <cellStyle name="표준 9 4 2 3 3 2" xfId="7006"/>
    <cellStyle name="표준 10 4 2 3 3 2" xfId="7007"/>
    <cellStyle name="표준 7 11 2 3 3 2" xfId="7008"/>
    <cellStyle name="표준 8 5 2 3 3 2" xfId="7009"/>
    <cellStyle name="표준 9 5 2 3 3 2" xfId="7010"/>
    <cellStyle name="표준 10 5 2 3 3 2" xfId="7011"/>
    <cellStyle name="표준 21 2 4 3 2" xfId="7012"/>
    <cellStyle name="표준 7 12 2 3 3 2" xfId="7013"/>
    <cellStyle name="표준 8 6 2 3 3 2" xfId="7014"/>
    <cellStyle name="표준 9 6 2 3 3 2" xfId="7015"/>
    <cellStyle name="표준 10 6 2 3 3 2" xfId="7016"/>
    <cellStyle name="표준 7 13 2 3 3 2" xfId="7017"/>
    <cellStyle name="표준 8 7 2 3 3 2" xfId="7018"/>
    <cellStyle name="표준 9 7 2 3 3 2" xfId="7019"/>
    <cellStyle name="표준 10 7 2 3 3 2" xfId="7020"/>
    <cellStyle name="표준 7 14 2 3 3 2" xfId="7021"/>
    <cellStyle name="표준 8 8 2 3 3 2" xfId="7022"/>
    <cellStyle name="표준 9 8 2 3 3 2" xfId="7023"/>
    <cellStyle name="표준 10 8 2 3 3 2" xfId="7024"/>
    <cellStyle name="표준 7 17 3 3 2" xfId="7025"/>
    <cellStyle name="표준 8 11 3 3 2" xfId="7026"/>
    <cellStyle name="표준 9 11 3 3 2" xfId="7027"/>
    <cellStyle name="표준 10 11 3 3 2" xfId="7028"/>
    <cellStyle name="표준 7 15 2 3 3 2" xfId="7029"/>
    <cellStyle name="표준 8 9 2 3 3 2" xfId="7030"/>
    <cellStyle name="표준 9 9 2 3 3 2" xfId="7031"/>
    <cellStyle name="표준 10 9 2 3 3 2" xfId="7032"/>
    <cellStyle name="표준 7 2 4 3 3 2" xfId="7033"/>
    <cellStyle name="표준 8 2 3 3 3 2" xfId="7034"/>
    <cellStyle name="표준 9 2 3 3 3 2" xfId="7035"/>
    <cellStyle name="표준 10 2 3 3 3 2" xfId="7036"/>
    <cellStyle name="표준 7 10 3 3 3 2" xfId="7037"/>
    <cellStyle name="표준 8 4 3 3 3 2" xfId="7038"/>
    <cellStyle name="표준 9 4 3 3 3 2" xfId="7039"/>
    <cellStyle name="표준 10 4 3 3 3 2" xfId="7040"/>
    <cellStyle name="표준 7 11 3 3 3 2" xfId="7041"/>
    <cellStyle name="표준 8 5 3 3 3 2" xfId="7042"/>
    <cellStyle name="표준 9 5 3 3 3 2" xfId="7043"/>
    <cellStyle name="표준 10 5 3 3 3 2" xfId="7044"/>
    <cellStyle name="표준 21 3 4 3 2" xfId="7045"/>
    <cellStyle name="표준 7 12 3 3 3 2" xfId="7046"/>
    <cellStyle name="표준 8 6 3 3 3 2" xfId="7047"/>
    <cellStyle name="표준 9 6 3 3 3 2" xfId="7048"/>
    <cellStyle name="표준 10 6 3 3 3 2" xfId="7049"/>
    <cellStyle name="표준 7 13 3 3 3 2" xfId="7050"/>
    <cellStyle name="표준 8 7 3 3 3 2" xfId="7051"/>
    <cellStyle name="표준 9 7 3 3 3 2" xfId="7052"/>
    <cellStyle name="표준 10 7 3 3 3 2" xfId="7053"/>
    <cellStyle name="표준 7 14 3 3 3 2" xfId="7054"/>
    <cellStyle name="표준 8 8 3 3 3 2" xfId="7055"/>
    <cellStyle name="표준 9 8 3 3 3 2" xfId="7056"/>
    <cellStyle name="표준 10 8 3 3 3 2" xfId="7057"/>
    <cellStyle name="표준 22 4 3 2" xfId="7058"/>
    <cellStyle name="표준 10 10 2 2 3 2" xfId="7059"/>
    <cellStyle name="표준 10 11 2 2 3 2" xfId="7060"/>
    <cellStyle name="표준 10 12 2 2 3 2" xfId="7061"/>
    <cellStyle name="표준 10 14 2 3 2" xfId="7062"/>
    <cellStyle name="표준 10 2 2 2 2 3 2" xfId="7063"/>
    <cellStyle name="표준 10 2 3 2 2 3 2" xfId="7064"/>
    <cellStyle name="표준 10 2 4 2 2 3 2" xfId="7065"/>
    <cellStyle name="표준 10 2 5 2 3 2" xfId="7066"/>
    <cellStyle name="표준 10 4 2 2 2 3 2" xfId="7067"/>
    <cellStyle name="표준 10 4 3 2 2 3 2" xfId="7068"/>
    <cellStyle name="표준 10 4 4 2 2 3 2" xfId="7069"/>
    <cellStyle name="표준 10 4 5 2 3 2" xfId="7070"/>
    <cellStyle name="표준 10 5 2 2 2 3 2" xfId="7071"/>
    <cellStyle name="표준 10 5 3 2 2 3 2" xfId="7072"/>
    <cellStyle name="표준 10 5 4 2 2 3 2" xfId="7073"/>
    <cellStyle name="표준 10 5 5 2 3 2" xfId="7074"/>
    <cellStyle name="표준 10 6 2 2 2 3 2" xfId="7075"/>
    <cellStyle name="표준 10 6 3 2 2 3 2" xfId="7076"/>
    <cellStyle name="표준 10 6 4 2 2 3 2" xfId="7077"/>
    <cellStyle name="표준 10 6 5 2 3 2" xfId="7078"/>
    <cellStyle name="표준 10 7 2 2 2 3 2" xfId="7079"/>
    <cellStyle name="표준 10 7 3 2 2 3 2" xfId="7080"/>
    <cellStyle name="표준 10 7 4 2 2 3 2" xfId="7081"/>
    <cellStyle name="표준 10 7 5 2 3 2" xfId="7082"/>
    <cellStyle name="표준 10 8 2 2 2 3 2" xfId="7083"/>
    <cellStyle name="표준 10 8 3 2 2 3 2" xfId="7084"/>
    <cellStyle name="표준 10 8 4 2 2 3 2" xfId="7085"/>
    <cellStyle name="표준 10 8 5 2 3 2" xfId="7086"/>
    <cellStyle name="표준 10 9 2 2 2 3 2" xfId="7087"/>
    <cellStyle name="표준 10 9 3 2 2 3 2" xfId="7088"/>
    <cellStyle name="표준 10 9 4 2 3 2" xfId="7089"/>
    <cellStyle name="표준 21 2 3 2 3 2" xfId="7090"/>
    <cellStyle name="표준 21 3 3 2 3 2" xfId="7091"/>
    <cellStyle name="표준 21 4 3 2 3 2" xfId="7092"/>
    <cellStyle name="표준 21 40 2 3 2" xfId="7093"/>
    <cellStyle name="표준 22 3 2 3 2" xfId="7094"/>
    <cellStyle name="표준 24 41 2" xfId="7095"/>
    <cellStyle name="표준 25 25 2" xfId="7096"/>
    <cellStyle name="표준 7 10 2 2 2 3 2" xfId="7097"/>
    <cellStyle name="표준 7 10 3 2 2 3 2" xfId="7098"/>
    <cellStyle name="표준 7 10 4 2 2 3 2" xfId="7099"/>
    <cellStyle name="표준 7 10 5 2 3 2" xfId="7100"/>
    <cellStyle name="표준 7 11 2 2 2 3 2" xfId="7101"/>
    <cellStyle name="표준 7 11 3 2 2 3 2" xfId="7102"/>
    <cellStyle name="표준 7 11 4 2 2 3 2" xfId="7103"/>
    <cellStyle name="표준 7 11 5 2 3 2" xfId="7104"/>
    <cellStyle name="표준 7 12 2 2 2 3 2" xfId="7105"/>
    <cellStyle name="표준 7 12 3 2 2 3 2" xfId="7106"/>
    <cellStyle name="표준 7 12 4 2 2 3 2" xfId="7107"/>
    <cellStyle name="표준 7 12 5 2 3 2" xfId="7108"/>
    <cellStyle name="표준 7 13 2 2 2 3 2" xfId="7109"/>
    <cellStyle name="표준 7 13 3 2 2 3 2" xfId="7110"/>
    <cellStyle name="표준 7 13 4 2 2 3 2" xfId="7111"/>
    <cellStyle name="표준 7 13 5 2 3 2" xfId="7112"/>
    <cellStyle name="표준 7 14 2 2 2 3 2" xfId="7113"/>
    <cellStyle name="표준 7 14 3 2 2 3 2" xfId="7114"/>
    <cellStyle name="표준 7 14 4 2 2 3 2" xfId="7115"/>
    <cellStyle name="표준 7 14 5 2 3 2" xfId="7116"/>
    <cellStyle name="표준 7 15 2 2 2 3 2" xfId="7117"/>
    <cellStyle name="표준 7 15 3 2 2 3 2" xfId="7118"/>
    <cellStyle name="표준 7 15 4 2 3 2" xfId="7119"/>
    <cellStyle name="표준 7 16 2 2 3 2" xfId="7120"/>
    <cellStyle name="표준 7 17 2 2 3 2" xfId="7121"/>
    <cellStyle name="표준 7 18 2 2 3 2" xfId="7122"/>
    <cellStyle name="표준 7 2 3 2 2 3 2" xfId="7123"/>
    <cellStyle name="표준 7 2 4 2 2 3 2" xfId="7124"/>
    <cellStyle name="표준 7 2 5 2 2 3 2" xfId="7125"/>
    <cellStyle name="표준 7 2 6 2 3 2" xfId="7126"/>
    <cellStyle name="표준 7 20 2 3 2" xfId="7127"/>
    <cellStyle name="표준 8 10 2 2 3 2" xfId="7128"/>
    <cellStyle name="표준 8 11 2 2 3 2" xfId="7129"/>
    <cellStyle name="표준 8 12 2 2 3 2" xfId="7130"/>
    <cellStyle name="표준 8 14 2 3 2" xfId="7131"/>
    <cellStyle name="표준 8 2 2 2 2 3 2" xfId="7132"/>
    <cellStyle name="표준 8 2 3 2 2 3 2" xfId="7133"/>
    <cellStyle name="표준 8 2 4 2 2 3 2" xfId="7134"/>
    <cellStyle name="표준 8 2 5 2 3 2" xfId="7135"/>
    <cellStyle name="표준 8 4 2 2 2 3 2" xfId="7136"/>
    <cellStyle name="표준 8 4 3 2 2 3 2" xfId="7137"/>
    <cellStyle name="표준 8 4 4 2 2 3 2" xfId="7138"/>
    <cellStyle name="표준 8 4 5 2 3 2" xfId="7139"/>
    <cellStyle name="표준 8 5 2 2 2 3 2" xfId="7140"/>
    <cellStyle name="표준 8 5 3 2 2 3 2" xfId="7141"/>
    <cellStyle name="표준 8 5 4 2 2 3 2" xfId="7142"/>
    <cellStyle name="표준 8 5 5 2 3 2" xfId="7143"/>
    <cellStyle name="표준 8 6 2 2 2 3 2" xfId="7144"/>
    <cellStyle name="표준 8 6 3 2 2 3 2" xfId="7145"/>
    <cellStyle name="표준 8 6 4 2 2 3 2" xfId="7146"/>
    <cellStyle name="표준 8 6 5 2 3 2" xfId="7147"/>
    <cellStyle name="표준 8 7 2 2 2 3 2" xfId="7148"/>
    <cellStyle name="표준 8 7 3 2 2 3 2" xfId="7149"/>
    <cellStyle name="표준 8 7 4 2 2 3 2" xfId="7150"/>
    <cellStyle name="표준 8 7 5 2 3 2" xfId="7151"/>
    <cellStyle name="표준 8 8 2 2 2 3 2" xfId="7152"/>
    <cellStyle name="표준 8 8 3 2 2 3 2" xfId="7153"/>
    <cellStyle name="표준 8 8 4 2 2 3 2" xfId="7154"/>
    <cellStyle name="표준 8 8 5 2 3 2" xfId="7155"/>
    <cellStyle name="표준 8 9 2 2 2 3 2" xfId="7156"/>
    <cellStyle name="표준 8 9 3 2 2 3 2" xfId="7157"/>
    <cellStyle name="표준 8 9 4 2 3 2" xfId="7158"/>
    <cellStyle name="표준 9 10 2 2 3 2" xfId="7159"/>
    <cellStyle name="표준 9 11 2 2 3 2" xfId="7160"/>
    <cellStyle name="표준 9 12 2 2 3 2" xfId="7161"/>
    <cellStyle name="표준 9 14 2 3 2" xfId="7162"/>
    <cellStyle name="표준 9 2 2 2 2 3 2" xfId="7163"/>
    <cellStyle name="표준 9 2 3 2 2 3 2" xfId="7164"/>
    <cellStyle name="표준 9 2 4 2 2 3 2" xfId="7165"/>
    <cellStyle name="표준 9 2 5 2 3 2" xfId="7166"/>
    <cellStyle name="표준 9 4 2 2 2 3 2" xfId="7167"/>
    <cellStyle name="표준 9 4 3 2 2 3 2" xfId="7168"/>
    <cellStyle name="표준 9 4 4 2 2 3 2" xfId="7169"/>
    <cellStyle name="표준 9 4 5 2 3 2" xfId="7170"/>
    <cellStyle name="표준 9 5 2 2 2 3 2" xfId="7171"/>
    <cellStyle name="표준 9 5 3 2 2 3 2" xfId="7172"/>
    <cellStyle name="표준 9 5 4 2 2 3 2" xfId="7173"/>
    <cellStyle name="표준 9 5 5 2 3 2" xfId="7174"/>
    <cellStyle name="표준 9 6 2 2 2 3 2" xfId="7175"/>
    <cellStyle name="표준 9 6 3 2 2 3 2" xfId="7176"/>
    <cellStyle name="표준 9 6 4 2 2 3 2" xfId="7177"/>
    <cellStyle name="표준 9 6 5 2 3 2" xfId="7178"/>
    <cellStyle name="표준 9 7 2 2 2 3 2" xfId="7179"/>
    <cellStyle name="표준 9 7 3 2 2 3 2" xfId="7180"/>
    <cellStyle name="표준 9 7 4 2 2 3 2" xfId="7181"/>
    <cellStyle name="표준 9 7 5 2 3 2" xfId="7182"/>
    <cellStyle name="표준 9 8 2 2 2 3 2" xfId="7183"/>
    <cellStyle name="표준 9 8 3 2 2 3 2" xfId="7184"/>
    <cellStyle name="표준 9 8 4 2 2 3 2" xfId="7185"/>
    <cellStyle name="표준 9 8 5 2 3 2" xfId="7186"/>
    <cellStyle name="표준 9 9 2 2 2 3 2" xfId="7187"/>
    <cellStyle name="표준 9 9 3 2 2 3 2" xfId="7188"/>
    <cellStyle name="표준 9 9 4 2 3 2" xfId="7189"/>
    <cellStyle name="표준 26 42 2" xfId="7190"/>
    <cellStyle name="표준 27 42 2" xfId="7191"/>
    <cellStyle name="표준 4 16 2 2" xfId="7192"/>
    <cellStyle name="쉼표 [0] 2 3 2 2" xfId="7193"/>
    <cellStyle name="통화 [0] 2 3 2" xfId="7194"/>
    <cellStyle name="표준 4 2 2 2 2 2" xfId="7195"/>
    <cellStyle name="쉼표 [0] 2 2 2 2" xfId="7196"/>
    <cellStyle name="통화 [0] 2 2 2 2" xfId="7197"/>
    <cellStyle name="표준 28 42 2" xfId="7198"/>
    <cellStyle name="표준 29 42 2" xfId="7199"/>
    <cellStyle name="표준 30 41 2" xfId="7200"/>
    <cellStyle name="표준 7 22 2 2" xfId="7201"/>
    <cellStyle name="표준 8 16 2 2" xfId="7202"/>
    <cellStyle name="표준 9 16 2 2" xfId="7203"/>
    <cellStyle name="표준 10 16 2 2" xfId="7204"/>
    <cellStyle name="표준 7 15 6 2 2" xfId="7205"/>
    <cellStyle name="표준 8 9 6 2 2" xfId="7206"/>
    <cellStyle name="표준 9 9 6 2 2" xfId="7207"/>
    <cellStyle name="표준 10 9 6 2 2" xfId="7208"/>
    <cellStyle name="표준 7 2 8 2 2" xfId="7209"/>
    <cellStyle name="표준 8 2 7 2 2" xfId="7210"/>
    <cellStyle name="표준 9 2 7 2 2" xfId="7211"/>
    <cellStyle name="표준 10 2 7 2 2" xfId="7212"/>
    <cellStyle name="표준 7 10 7 2 2" xfId="7213"/>
    <cellStyle name="표준 8 4 7 2 2" xfId="7214"/>
    <cellStyle name="표준 9 4 7 2 2" xfId="7215"/>
    <cellStyle name="표준 10 4 7 2 2" xfId="7216"/>
    <cellStyle name="표준 7 11 7 2 2" xfId="7217"/>
    <cellStyle name="표준 8 5 7 2 2" xfId="7218"/>
    <cellStyle name="표준 9 5 7 2 2" xfId="7219"/>
    <cellStyle name="표준 10 5 7 2 2" xfId="7220"/>
    <cellStyle name="표준 21 42 2 2" xfId="7221"/>
    <cellStyle name="표준 7 12 7 2 2" xfId="7222"/>
    <cellStyle name="표준 8 6 7 2 2" xfId="7223"/>
    <cellStyle name="표준 9 6 7 2 2" xfId="7224"/>
    <cellStyle name="표준 10 6 7 2 2" xfId="7225"/>
    <cellStyle name="표준 7 13 7 2 2" xfId="7226"/>
    <cellStyle name="표준 8 7 7 2 2" xfId="7227"/>
    <cellStyle name="표준 9 7 7 2 2" xfId="7228"/>
    <cellStyle name="표준 10 7 7 2 2" xfId="7229"/>
    <cellStyle name="표준 7 14 7 2 2" xfId="7230"/>
    <cellStyle name="표준 8 8 7 2 2" xfId="7231"/>
    <cellStyle name="표준 9 8 7 2 2" xfId="7232"/>
    <cellStyle name="표준 10 8 7 2 2" xfId="7233"/>
    <cellStyle name="표준 7 18 4 2 2" xfId="7234"/>
    <cellStyle name="표준 8 12 4 2 2" xfId="7235"/>
    <cellStyle name="표준 9 12 4 2 2" xfId="7236"/>
    <cellStyle name="표준 10 12 4 2 2" xfId="7237"/>
    <cellStyle name="표준 7 2 5 4 2 2" xfId="7238"/>
    <cellStyle name="표준 8 2 4 4 2 2" xfId="7239"/>
    <cellStyle name="표준 9 2 4 4 2 2" xfId="7240"/>
    <cellStyle name="표준 10 2 4 4 2 2" xfId="7241"/>
    <cellStyle name="표준 7 10 4 4 2 2" xfId="7242"/>
    <cellStyle name="표준 8 4 4 4 2 2" xfId="7243"/>
    <cellStyle name="표준 9 4 4 4 2 2" xfId="7244"/>
    <cellStyle name="표준 10 4 4 4 2 2" xfId="7245"/>
    <cellStyle name="표준 7 11 4 4 2 2" xfId="7246"/>
    <cellStyle name="표준 8 5 4 4 2 2" xfId="7247"/>
    <cellStyle name="표준 9 5 4 4 2 2" xfId="7248"/>
    <cellStyle name="표준 10 5 4 4 2 2" xfId="7249"/>
    <cellStyle name="표준 21 4 5 2 2" xfId="7250"/>
    <cellStyle name="표준 7 12 4 4 2 2" xfId="7251"/>
    <cellStyle name="표준 8 6 4 4 2 2" xfId="7252"/>
    <cellStyle name="표준 9 6 4 4 2 2" xfId="7253"/>
    <cellStyle name="표준 10 6 4 4 2 2" xfId="7254"/>
    <cellStyle name="표준 7 13 4 4 2 2" xfId="7255"/>
    <cellStyle name="표준 8 7 4 4 2 2" xfId="7256"/>
    <cellStyle name="표준 9 7 4 4 2 2" xfId="7257"/>
    <cellStyle name="표준 10 7 4 4 2 2" xfId="7258"/>
    <cellStyle name="표준 7 14 4 4 2 2" xfId="7259"/>
    <cellStyle name="표준 8 8 4 4 2 2" xfId="7260"/>
    <cellStyle name="표준 9 8 4 4 2 2" xfId="7261"/>
    <cellStyle name="표준 10 8 4 4 2 2" xfId="7262"/>
    <cellStyle name="표준 7 16 4 2 2" xfId="7263"/>
    <cellStyle name="표준 8 10 4 2 2" xfId="7264"/>
    <cellStyle name="표준 9 10 4 2 2" xfId="7265"/>
    <cellStyle name="표준 10 10 4 2 2" xfId="7266"/>
    <cellStyle name="표준 7 15 3 4 2 2" xfId="7267"/>
    <cellStyle name="표준 8 9 3 4 2 2" xfId="7268"/>
    <cellStyle name="표준 9 9 3 4 2 2" xfId="7269"/>
    <cellStyle name="표준 10 9 3 4 2 2" xfId="7270"/>
    <cellStyle name="표준 7 2 3 4 2 2" xfId="7271"/>
    <cellStyle name="표준 8 2 2 4 2 2" xfId="7272"/>
    <cellStyle name="표준 9 2 2 4 2 2" xfId="7273"/>
    <cellStyle name="표준 10 2 2 4 2 2" xfId="7274"/>
    <cellStyle name="표준 7 10 2 4 2 2" xfId="7275"/>
    <cellStyle name="표준 8 4 2 4 2 2" xfId="7276"/>
    <cellStyle name="표준 9 4 2 4 2 2" xfId="7277"/>
    <cellStyle name="표준 10 4 2 4 2 2" xfId="7278"/>
    <cellStyle name="표준 7 11 2 4 2 2" xfId="7279"/>
    <cellStyle name="표준 8 5 2 4 2 2" xfId="7280"/>
    <cellStyle name="표준 9 5 2 4 2 2" xfId="7281"/>
    <cellStyle name="표준 10 5 2 4 2 2" xfId="7282"/>
    <cellStyle name="표준 21 2 5 2 2" xfId="7283"/>
    <cellStyle name="표준 7 12 2 4 2 2" xfId="7284"/>
    <cellStyle name="표준 8 6 2 4 2 2" xfId="7285"/>
    <cellStyle name="표준 9 6 2 4 2 2" xfId="7286"/>
    <cellStyle name="표준 10 6 2 4 2 2" xfId="7287"/>
    <cellStyle name="표준 7 13 2 4 2 2" xfId="7288"/>
    <cellStyle name="표준 8 7 2 4 2 2" xfId="7289"/>
    <cellStyle name="표준 9 7 2 4 2 2" xfId="7290"/>
    <cellStyle name="표준 10 7 2 4 2 2" xfId="7291"/>
    <cellStyle name="표준 7 14 2 4 2 2" xfId="7292"/>
    <cellStyle name="표준 8 8 2 4 2 2" xfId="7293"/>
    <cellStyle name="표준 9 8 2 4 2 2" xfId="7294"/>
    <cellStyle name="표준 10 8 2 4 2 2" xfId="7295"/>
    <cellStyle name="표준 7 17 4 2 2" xfId="7296"/>
    <cellStyle name="표준 8 11 4 2 2" xfId="7297"/>
    <cellStyle name="표준 9 11 4 2 2" xfId="7298"/>
    <cellStyle name="표준 10 11 4 2 2" xfId="7299"/>
    <cellStyle name="표준 7 15 2 4 2 2" xfId="7300"/>
    <cellStyle name="표준 8 9 2 4 2 2" xfId="7301"/>
    <cellStyle name="표준 9 9 2 4 2 2" xfId="7302"/>
    <cellStyle name="표준 10 9 2 4 2 2" xfId="7303"/>
    <cellStyle name="표준 7 2 4 4 2 2" xfId="7304"/>
    <cellStyle name="표준 8 2 3 4 2 2" xfId="7305"/>
    <cellStyle name="표준 9 2 3 4 2 2" xfId="7306"/>
    <cellStyle name="표준 10 2 3 4 2 2" xfId="7307"/>
    <cellStyle name="표준 7 10 3 4 2 2" xfId="7308"/>
    <cellStyle name="표준 8 4 3 4 2 2" xfId="7309"/>
    <cellStyle name="표준 9 4 3 4 2 2" xfId="7310"/>
    <cellStyle name="표준 10 4 3 4 2 2" xfId="7311"/>
    <cellStyle name="표준 7 11 3 4 2 2" xfId="7312"/>
    <cellStyle name="표준 8 5 3 4 2 2" xfId="7313"/>
    <cellStyle name="표준 9 5 3 4 2 2" xfId="7314"/>
    <cellStyle name="표준 10 5 3 4 2 2" xfId="7315"/>
    <cellStyle name="표준 21 3 5 2 2" xfId="7316"/>
    <cellStyle name="표준 7 12 3 4 2 2" xfId="7317"/>
    <cellStyle name="표준 8 6 3 4 2 2" xfId="7318"/>
    <cellStyle name="표준 9 6 3 4 2 2" xfId="7319"/>
    <cellStyle name="표준 10 6 3 4 2 2" xfId="7320"/>
    <cellStyle name="표준 7 13 3 4 2 2" xfId="7321"/>
    <cellStyle name="표준 8 7 3 4 2 2" xfId="7322"/>
    <cellStyle name="표준 9 7 3 4 2 2" xfId="7323"/>
    <cellStyle name="표준 10 7 3 4 2 2" xfId="7324"/>
    <cellStyle name="표준 7 14 3 4 2 2" xfId="7325"/>
    <cellStyle name="표준 8 8 3 4 2 2" xfId="7326"/>
    <cellStyle name="표준 9 8 3 4 2 2" xfId="7327"/>
    <cellStyle name="표준 10 8 3 4 2 2" xfId="7328"/>
    <cellStyle name="표준 22 5 2 2" xfId="7329"/>
    <cellStyle name="표준 7 20 3 2 2" xfId="7330"/>
    <cellStyle name="표준 8 14 3 2 2" xfId="7331"/>
    <cellStyle name="표준 9 14 3 2 2" xfId="7332"/>
    <cellStyle name="표준 10 14 3 2 2" xfId="7333"/>
    <cellStyle name="표준 7 15 4 3 2 2" xfId="7334"/>
    <cellStyle name="표준 8 9 4 3 2 2" xfId="7335"/>
    <cellStyle name="표준 9 9 4 3 2 2" xfId="7336"/>
    <cellStyle name="표준 10 9 4 3 2 2" xfId="7337"/>
    <cellStyle name="표준 7 2 6 3 2 2" xfId="7338"/>
    <cellStyle name="표준 8 2 5 3 2 2" xfId="7339"/>
    <cellStyle name="표준 9 2 5 3 2 2" xfId="7340"/>
    <cellStyle name="표준 10 2 5 3 2 2" xfId="7341"/>
    <cellStyle name="표준 7 10 5 3 2 2" xfId="7342"/>
    <cellStyle name="표준 8 4 5 3 2 2" xfId="7343"/>
    <cellStyle name="표준 9 4 5 3 2 2" xfId="7344"/>
    <cellStyle name="표준 10 4 5 3 2 2" xfId="7345"/>
    <cellStyle name="표준 7 11 5 3 2 2" xfId="7346"/>
    <cellStyle name="표준 8 5 5 3 2 2" xfId="7347"/>
    <cellStyle name="표준 9 5 5 3 2 2" xfId="7348"/>
    <cellStyle name="표준 10 5 5 3 2 2" xfId="7349"/>
    <cellStyle name="표준 21 40 3 2 2" xfId="7350"/>
    <cellStyle name="표준 7 12 5 3 2 2" xfId="7351"/>
    <cellStyle name="표준 8 6 5 3 2 2" xfId="7352"/>
    <cellStyle name="표준 9 6 5 3 2 2" xfId="7353"/>
    <cellStyle name="표준 10 6 5 3 2 2" xfId="7354"/>
    <cellStyle name="표준 7 13 5 3 2 2" xfId="7355"/>
    <cellStyle name="표준 8 7 5 3 2 2" xfId="7356"/>
    <cellStyle name="표준 9 7 5 3 2 2" xfId="7357"/>
    <cellStyle name="표준 10 7 5 3 2 2" xfId="7358"/>
    <cellStyle name="표준 7 14 5 3 2 2" xfId="7359"/>
    <cellStyle name="표준 8 8 5 3 2 2" xfId="7360"/>
    <cellStyle name="표준 9 8 5 3 2 2" xfId="7361"/>
    <cellStyle name="표준 10 8 5 3 2 2" xfId="7362"/>
    <cellStyle name="표준 7 18 2 3 2 2" xfId="7363"/>
    <cellStyle name="표준 8 12 2 3 2 2" xfId="7364"/>
    <cellStyle name="표준 9 12 2 3 2 2" xfId="7365"/>
    <cellStyle name="표준 10 12 2 3 2 2" xfId="7366"/>
    <cellStyle name="표준 7 2 5 2 3 2 2" xfId="7367"/>
    <cellStyle name="표준 8 2 4 2 3 2 2" xfId="7368"/>
    <cellStyle name="표준 9 2 4 2 3 2 2" xfId="7369"/>
    <cellStyle name="표준 10 2 4 2 3 2 2" xfId="7370"/>
    <cellStyle name="표준 7 10 4 2 3 2 2" xfId="7371"/>
    <cellStyle name="표준 8 4 4 2 3 2 2" xfId="7372"/>
    <cellStyle name="표준 9 4 4 2 3 2 2" xfId="7373"/>
    <cellStyle name="표준 10 4 4 2 3 2 2" xfId="7374"/>
    <cellStyle name="표준 7 11 4 2 3 2 2" xfId="7375"/>
    <cellStyle name="표준 8 5 4 2 3 2 2" xfId="7376"/>
    <cellStyle name="표준 9 5 4 2 3 2 2" xfId="7377"/>
    <cellStyle name="표준 10 5 4 2 3 2 2" xfId="7378"/>
    <cellStyle name="표준 21 4 3 3 2 2" xfId="7379"/>
    <cellStyle name="표준 7 12 4 2 3 2 2" xfId="7380"/>
    <cellStyle name="표준 8 6 4 2 3 2 2" xfId="7381"/>
    <cellStyle name="표준 9 6 4 2 3 2 2" xfId="7382"/>
    <cellStyle name="표준 10 6 4 2 3 2 2" xfId="7383"/>
    <cellStyle name="표준 7 13 4 2 3 2 2" xfId="7384"/>
    <cellStyle name="표준 8 7 4 2 3 2 2" xfId="7385"/>
    <cellStyle name="표준 9 7 4 2 3 2 2" xfId="7386"/>
    <cellStyle name="표준 10 7 4 2 3 2 2" xfId="7387"/>
    <cellStyle name="표준 7 14 4 2 3 2 2" xfId="7388"/>
    <cellStyle name="표준 8 8 4 2 3 2 2" xfId="7389"/>
    <cellStyle name="표준 9 8 4 2 3 2 2" xfId="7390"/>
    <cellStyle name="표준 10 8 4 2 3 2 2" xfId="7391"/>
    <cellStyle name="표준 7 16 2 3 2 2" xfId="7392"/>
    <cellStyle name="표준 8 10 2 3 2 2" xfId="7393"/>
    <cellStyle name="표준 9 10 2 3 2 2" xfId="7394"/>
    <cellStyle name="표준 10 10 2 3 2 2" xfId="7395"/>
    <cellStyle name="표준 7 15 3 2 3 2 2" xfId="7396"/>
    <cellStyle name="표준 8 9 3 2 3 2 2" xfId="7397"/>
    <cellStyle name="표준 9 9 3 2 3 2 2" xfId="7398"/>
    <cellStyle name="표준 10 9 3 2 3 2 2" xfId="7399"/>
    <cellStyle name="표준 7 2 3 2 3 2 2" xfId="7400"/>
    <cellStyle name="표준 8 2 2 2 3 2 2" xfId="7401"/>
    <cellStyle name="표준 9 2 2 2 3 2 2" xfId="7402"/>
    <cellStyle name="표준 10 2 2 2 3 2 2" xfId="7403"/>
    <cellStyle name="표준 7 10 2 2 3 2 2" xfId="7404"/>
    <cellStyle name="표준 8 4 2 2 3 2 2" xfId="7405"/>
    <cellStyle name="표준 9 4 2 2 3 2 2" xfId="7406"/>
    <cellStyle name="표준 10 4 2 2 3 2 2" xfId="7407"/>
    <cellStyle name="표준 7 11 2 2 3 2 2" xfId="7408"/>
    <cellStyle name="표준 8 5 2 2 3 2 2" xfId="7409"/>
    <cellStyle name="표준 9 5 2 2 3 2 2" xfId="7410"/>
    <cellStyle name="표준 10 5 2 2 3 2 2" xfId="7411"/>
    <cellStyle name="표준 21 2 3 3 2 2" xfId="7412"/>
    <cellStyle name="표준 7 12 2 2 3 2 2" xfId="7413"/>
    <cellStyle name="표준 8 6 2 2 3 2 2" xfId="7414"/>
    <cellStyle name="표준 9 6 2 2 3 2 2" xfId="7415"/>
    <cellStyle name="표준 10 6 2 2 3 2 2" xfId="7416"/>
    <cellStyle name="표준 7 13 2 2 3 2 2" xfId="7417"/>
    <cellStyle name="표준 8 7 2 2 3 2 2" xfId="7418"/>
    <cellStyle name="표준 9 7 2 2 3 2 2" xfId="7419"/>
    <cellStyle name="표준 10 7 2 2 3 2 2" xfId="7420"/>
    <cellStyle name="표준 7 14 2 2 3 2 2" xfId="7421"/>
    <cellStyle name="표준 8 8 2 2 3 2 2" xfId="7422"/>
    <cellStyle name="표준 9 8 2 2 3 2 2" xfId="7423"/>
    <cellStyle name="표준 10 8 2 2 3 2 2" xfId="7424"/>
    <cellStyle name="표준 7 17 2 3 2 2" xfId="7425"/>
    <cellStyle name="표준 8 11 2 3 2 2" xfId="7426"/>
    <cellStyle name="표준 9 11 2 3 2 2" xfId="7427"/>
    <cellStyle name="표준 10 11 2 3 2 2" xfId="7428"/>
    <cellStyle name="표준 7 15 2 2 3 2 2" xfId="7429"/>
    <cellStyle name="표준 8 9 2 2 3 2 2" xfId="7430"/>
    <cellStyle name="표준 9 9 2 2 3 2 2" xfId="7431"/>
    <cellStyle name="표준 10 9 2 2 3 2 2" xfId="7432"/>
    <cellStyle name="표준 7 2 4 2 3 2 2" xfId="7433"/>
    <cellStyle name="표준 8 2 3 2 3 2 2" xfId="7434"/>
    <cellStyle name="표준 9 2 3 2 3 2 2" xfId="7435"/>
    <cellStyle name="표준 10 2 3 2 3 2 2" xfId="7436"/>
    <cellStyle name="표준 7 10 3 2 3 2 2" xfId="7437"/>
    <cellStyle name="표준 8 4 3 2 3 2 2" xfId="7438"/>
    <cellStyle name="표준 9 4 3 2 3 2 2" xfId="7439"/>
    <cellStyle name="표준 10 4 3 2 3 2 2" xfId="7440"/>
    <cellStyle name="표준 7 11 3 2 3 2 2" xfId="7441"/>
    <cellStyle name="표준 8 5 3 2 3 2 2" xfId="7442"/>
    <cellStyle name="표준 9 5 3 2 3 2 2" xfId="7443"/>
    <cellStyle name="표준 10 5 3 2 3 2 2" xfId="7444"/>
    <cellStyle name="표준 21 3 3 3 2 2" xfId="7445"/>
    <cellStyle name="표준 7 12 3 2 3 2 2" xfId="7446"/>
    <cellStyle name="표준 8 6 3 2 3 2 2" xfId="7447"/>
    <cellStyle name="표준 9 6 3 2 3 2 2" xfId="7448"/>
    <cellStyle name="표준 10 6 3 2 3 2 2" xfId="7449"/>
    <cellStyle name="표준 7 13 3 2 3 2 2" xfId="7450"/>
    <cellStyle name="표준 8 7 3 2 3 2 2" xfId="7451"/>
    <cellStyle name="표준 9 7 3 2 3 2 2" xfId="7452"/>
    <cellStyle name="표준 10 7 3 2 3 2 2" xfId="7453"/>
    <cellStyle name="표준 7 14 3 2 3 2 2" xfId="7454"/>
    <cellStyle name="표준 8 8 3 2 3 2 2" xfId="7455"/>
    <cellStyle name="표준 9 8 3 2 3 2 2" xfId="7456"/>
    <cellStyle name="표준 10 8 3 2 3 2 2" xfId="7457"/>
    <cellStyle name="표준 22 3 3 2 2" xfId="7458"/>
    <cellStyle name="표준 7 21 2 2 2" xfId="7459"/>
    <cellStyle name="표준 8 15 2 2 2" xfId="7460"/>
    <cellStyle name="표준 9 15 2 2 2" xfId="7461"/>
    <cellStyle name="표준 10 15 2 2 2" xfId="7462"/>
    <cellStyle name="표준 7 15 5 2 2 2" xfId="7463"/>
    <cellStyle name="표준 8 9 5 2 2 2" xfId="7464"/>
    <cellStyle name="표준 9 9 5 2 2 2" xfId="7465"/>
    <cellStyle name="표준 10 9 5 2 2 2" xfId="7466"/>
    <cellStyle name="표준 7 2 7 2 2 2" xfId="7467"/>
    <cellStyle name="표준 8 2 6 2 2 2" xfId="7468"/>
    <cellStyle name="표준 9 2 6 2 2 2" xfId="7469"/>
    <cellStyle name="표준 10 2 6 2 2 2" xfId="7470"/>
    <cellStyle name="표준 7 10 6 2 2 2" xfId="7471"/>
    <cellStyle name="표준 8 4 6 2 2 2" xfId="7472"/>
    <cellStyle name="표준 9 4 6 2 2 2" xfId="7473"/>
    <cellStyle name="표준 10 4 6 2 2 2" xfId="7474"/>
    <cellStyle name="표준 7 11 6 2 2 2" xfId="7475"/>
    <cellStyle name="표준 8 5 6 2 2 2" xfId="7476"/>
    <cellStyle name="표준 9 5 6 2 2 2" xfId="7477"/>
    <cellStyle name="표준 10 5 6 2 2 2" xfId="7478"/>
    <cellStyle name="표준 21 41 2 2 2" xfId="7479"/>
    <cellStyle name="표준 7 12 6 2 2 2" xfId="7480"/>
    <cellStyle name="표준 8 6 6 2 2 2" xfId="7481"/>
    <cellStyle name="표준 9 6 6 2 2 2" xfId="7482"/>
    <cellStyle name="표준 10 6 6 2 2 2" xfId="7483"/>
    <cellStyle name="표준 7 13 6 2 2 2" xfId="7484"/>
    <cellStyle name="표준 8 7 6 2 2 2" xfId="7485"/>
    <cellStyle name="표준 9 7 6 2 2 2" xfId="7486"/>
    <cellStyle name="표준 10 7 6 2 2 2" xfId="7487"/>
    <cellStyle name="표준 7 14 6 2 2 2" xfId="7488"/>
    <cellStyle name="표준 8 8 6 2 2 2" xfId="7489"/>
    <cellStyle name="표준 9 8 6 2 2 2" xfId="7490"/>
    <cellStyle name="표준 10 8 6 2 2 2" xfId="7491"/>
    <cellStyle name="표준 7 18 3 2 2 2" xfId="7492"/>
    <cellStyle name="표준 8 12 3 2 2 2" xfId="7493"/>
    <cellStyle name="표준 9 12 3 2 2 2" xfId="7494"/>
    <cellStyle name="표준 10 12 3 2 2 2" xfId="7495"/>
    <cellStyle name="표준 7 2 5 3 2 2 2" xfId="7496"/>
    <cellStyle name="표준 8 2 4 3 2 2 2" xfId="7497"/>
    <cellStyle name="표준 9 2 4 3 2 2 2" xfId="7498"/>
    <cellStyle name="표준 10 2 4 3 2 2 2" xfId="7499"/>
    <cellStyle name="표준 7 10 4 3 2 2 2" xfId="7500"/>
    <cellStyle name="표준 8 4 4 3 2 2 2" xfId="7501"/>
    <cellStyle name="표준 9 4 4 3 2 2 2" xfId="7502"/>
    <cellStyle name="표준 10 4 4 3 2 2 2" xfId="7503"/>
    <cellStyle name="표준 7 11 4 3 2 2 2" xfId="7504"/>
    <cellStyle name="표준 8 5 4 3 2 2 2" xfId="7505"/>
    <cellStyle name="표준 9 5 4 3 2 2 2" xfId="7506"/>
    <cellStyle name="표준 10 5 4 3 2 2 2" xfId="7507"/>
    <cellStyle name="표준 21 4 4 2 2 2" xfId="7508"/>
    <cellStyle name="표준 7 12 4 3 2 2 2" xfId="7509"/>
    <cellStyle name="표준 8 6 4 3 2 2 2" xfId="7510"/>
    <cellStyle name="표준 9 6 4 3 2 2 2" xfId="7511"/>
    <cellStyle name="표준 10 6 4 3 2 2 2" xfId="7512"/>
    <cellStyle name="표준 7 13 4 3 2 2 2" xfId="7513"/>
    <cellStyle name="표준 8 7 4 3 2 2 2" xfId="7514"/>
    <cellStyle name="표준 9 7 4 3 2 2 2" xfId="7515"/>
    <cellStyle name="표준 10 7 4 3 2 2 2" xfId="7516"/>
    <cellStyle name="표준 7 14 4 3 2 2 2" xfId="7517"/>
    <cellStyle name="표준 8 8 4 3 2 2 2" xfId="7518"/>
    <cellStyle name="표준 9 8 4 3 2 2 2" xfId="7519"/>
    <cellStyle name="표준 10 8 4 3 2 2 2" xfId="7520"/>
    <cellStyle name="표준 7 16 3 2 2 2" xfId="7521"/>
    <cellStyle name="표준 8 10 3 2 2 2" xfId="7522"/>
    <cellStyle name="표준 9 10 3 2 2 2" xfId="7523"/>
    <cellStyle name="표준 10 10 3 2 2 2" xfId="7524"/>
    <cellStyle name="표준 7 15 3 3 2 2 2" xfId="7525"/>
    <cellStyle name="표준 8 9 3 3 2 2 2" xfId="7526"/>
    <cellStyle name="표준 9 9 3 3 2 2 2" xfId="7527"/>
    <cellStyle name="표준 10 9 3 3 2 2 2" xfId="7528"/>
    <cellStyle name="표준 7 2 3 3 2 2 2" xfId="7529"/>
    <cellStyle name="표준 8 2 2 3 2 2 2" xfId="7530"/>
    <cellStyle name="표준 9 2 2 3 2 2 2" xfId="7531"/>
    <cellStyle name="표준 10 2 2 3 2 2 2" xfId="7532"/>
    <cellStyle name="표준 7 10 2 3 2 2 2" xfId="7533"/>
    <cellStyle name="표준 8 4 2 3 2 2 2" xfId="7534"/>
    <cellStyle name="표준 9 4 2 3 2 2 2" xfId="7535"/>
    <cellStyle name="표준 10 4 2 3 2 2 2" xfId="7536"/>
    <cellStyle name="표준 7 11 2 3 2 2 2" xfId="7537"/>
    <cellStyle name="표준 8 5 2 3 2 2 2" xfId="7538"/>
    <cellStyle name="표준 9 5 2 3 2 2 2" xfId="7539"/>
    <cellStyle name="표준 10 5 2 3 2 2 2" xfId="7540"/>
    <cellStyle name="표준 21 2 4 2 2 2" xfId="7541"/>
    <cellStyle name="표준 7 12 2 3 2 2 2" xfId="7542"/>
    <cellStyle name="표준 8 6 2 3 2 2 2" xfId="7543"/>
    <cellStyle name="표준 9 6 2 3 2 2 2" xfId="7544"/>
    <cellStyle name="표준 10 6 2 3 2 2 2" xfId="7545"/>
    <cellStyle name="표준 7 13 2 3 2 2 2" xfId="7546"/>
    <cellStyle name="표준 8 7 2 3 2 2 2" xfId="7547"/>
    <cellStyle name="표준 9 7 2 3 2 2 2" xfId="7548"/>
    <cellStyle name="표준 10 7 2 3 2 2 2" xfId="7549"/>
    <cellStyle name="표준 7 14 2 3 2 2 2" xfId="7550"/>
    <cellStyle name="표준 8 8 2 3 2 2 2" xfId="7551"/>
    <cellStyle name="표준 9 8 2 3 2 2 2" xfId="7552"/>
    <cellStyle name="표준 10 8 2 3 2 2 2" xfId="7553"/>
    <cellStyle name="표준 7 17 3 2 2 2" xfId="7554"/>
    <cellStyle name="표준 8 11 3 2 2 2" xfId="7555"/>
    <cellStyle name="표준 9 11 3 2 2 2" xfId="7556"/>
    <cellStyle name="표준 10 11 3 2 2 2" xfId="7557"/>
    <cellStyle name="표준 7 15 2 3 2 2 2" xfId="7558"/>
    <cellStyle name="표준 8 9 2 3 2 2 2" xfId="7559"/>
    <cellStyle name="표준 9 9 2 3 2 2 2" xfId="7560"/>
    <cellStyle name="표준 10 9 2 3 2 2 2" xfId="7561"/>
    <cellStyle name="표준 7 2 4 3 2 2 2" xfId="7562"/>
    <cellStyle name="표준 8 2 3 3 2 2 2" xfId="7563"/>
    <cellStyle name="표준 9 2 3 3 2 2 2" xfId="7564"/>
    <cellStyle name="표준 10 2 3 3 2 2 2" xfId="7565"/>
    <cellStyle name="표준 7 10 3 3 2 2 2" xfId="7566"/>
    <cellStyle name="표준 8 4 3 3 2 2 2" xfId="7567"/>
    <cellStyle name="표준 9 4 3 3 2 2 2" xfId="7568"/>
    <cellStyle name="표준 10 4 3 3 2 2 2" xfId="7569"/>
    <cellStyle name="표준 7 11 3 3 2 2 2" xfId="7570"/>
    <cellStyle name="표준 8 5 3 3 2 2 2" xfId="7571"/>
    <cellStyle name="표준 9 5 3 3 2 2 2" xfId="7572"/>
    <cellStyle name="표준 10 5 3 3 2 2 2" xfId="7573"/>
    <cellStyle name="표준 21 3 4 2 2 2" xfId="7574"/>
    <cellStyle name="표준 7 12 3 3 2 2 2" xfId="7575"/>
    <cellStyle name="표준 8 6 3 3 2 2 2" xfId="7576"/>
    <cellStyle name="표준 9 6 3 3 2 2 2" xfId="7577"/>
    <cellStyle name="표준 10 6 3 3 2 2 2" xfId="7578"/>
    <cellStyle name="표준 7 13 3 3 2 2 2" xfId="7579"/>
    <cellStyle name="표준 8 7 3 3 2 2 2" xfId="7580"/>
    <cellStyle name="표준 9 7 3 3 2 2 2" xfId="7581"/>
    <cellStyle name="표준 10 7 3 3 2 2 2" xfId="7582"/>
    <cellStyle name="표준 7 14 3 3 2 2 2" xfId="7583"/>
    <cellStyle name="표준 8 8 3 3 2 2 2" xfId="7584"/>
    <cellStyle name="표준 9 8 3 3 2 2 2" xfId="7585"/>
    <cellStyle name="표준 10 8 3 3 2 2 2" xfId="7586"/>
    <cellStyle name="표준 22 4 2 2 2" xfId="7587"/>
    <cellStyle name="표준 10 10 2 2 2 2 2" xfId="7588"/>
    <cellStyle name="표준 10 11 2 2 2 2 2" xfId="7589"/>
    <cellStyle name="표준 10 12 2 2 2 2 2" xfId="7590"/>
    <cellStyle name="표준 10 14 2 2 2 2" xfId="7591"/>
    <cellStyle name="표준 10 2 2 2 2 2 2 2" xfId="7592"/>
    <cellStyle name="표준 10 2 3 2 2 2 2 2" xfId="7593"/>
    <cellStyle name="표준 10 2 4 2 2 2 2 2" xfId="7594"/>
    <cellStyle name="표준 10 2 5 2 2 2 2" xfId="7595"/>
    <cellStyle name="표준 10 4 2 2 2 2 2 2" xfId="7596"/>
    <cellStyle name="표준 10 4 3 2 2 2 2 2" xfId="7597"/>
    <cellStyle name="표준 10 4 4 2 2 2 2 2" xfId="7598"/>
    <cellStyle name="표준 10 4 5 2 2 2 2" xfId="7599"/>
    <cellStyle name="표준 10 5 2 2 2 2 2 2" xfId="7600"/>
    <cellStyle name="표준 10 5 3 2 2 2 2 2" xfId="7601"/>
    <cellStyle name="표준 10 5 4 2 2 2 2 2" xfId="7602"/>
    <cellStyle name="표준 10 5 5 2 2 2 2" xfId="7603"/>
    <cellStyle name="표준 10 6 2 2 2 2 2 2" xfId="7604"/>
    <cellStyle name="표준 10 6 3 2 2 2 2 2" xfId="7605"/>
    <cellStyle name="표준 10 6 4 2 2 2 2 2" xfId="7606"/>
    <cellStyle name="표준 10 6 5 2 2 2 2" xfId="7607"/>
    <cellStyle name="표준 10 7 2 2 2 2 2 2" xfId="7608"/>
    <cellStyle name="표준 10 7 3 2 2 2 2 2" xfId="7609"/>
    <cellStyle name="표준 10 7 4 2 2 2 2 2" xfId="7610"/>
    <cellStyle name="표준 10 7 5 2 2 2 2" xfId="7611"/>
    <cellStyle name="표준 10 8 2 2 2 2 2 2" xfId="7612"/>
    <cellStyle name="표준 10 8 3 2 2 2 2 2" xfId="7613"/>
    <cellStyle name="표준 10 8 4 2 2 2 2 2" xfId="7614"/>
    <cellStyle name="표준 10 8 5 2 2 2 2" xfId="7615"/>
    <cellStyle name="표준 10 9 2 2 2 2 2 2" xfId="7616"/>
    <cellStyle name="표준 10 9 3 2 2 2 2 2" xfId="7617"/>
    <cellStyle name="표준 10 9 4 2 2 2 2" xfId="7618"/>
    <cellStyle name="표준 21 2 3 2 2 2 2" xfId="7619"/>
    <cellStyle name="표준 21 3 3 2 2 2 2" xfId="7620"/>
    <cellStyle name="표준 21 4 3 2 2 2 2" xfId="7621"/>
    <cellStyle name="표준 21 40 2 2 2 2" xfId="7622"/>
    <cellStyle name="표준 22 3 2 2 2 2" xfId="7623"/>
    <cellStyle name="표준 24 40 2 2" xfId="7624"/>
    <cellStyle name="표준 25 24 2 2" xfId="7625"/>
    <cellStyle name="표준 7 10 2 2 2 2 2 2" xfId="7626"/>
    <cellStyle name="표준 7 10 3 2 2 2 2 2" xfId="7627"/>
    <cellStyle name="표준 7 10 4 2 2 2 2 2" xfId="7628"/>
    <cellStyle name="표준 7 10 5 2 2 2 2" xfId="7629"/>
    <cellStyle name="표준 7 11 2 2 2 2 2 2" xfId="7630"/>
    <cellStyle name="표준 7 11 3 2 2 2 2 2" xfId="7631"/>
    <cellStyle name="표준 7 11 4 2 2 2 2 2" xfId="7632"/>
    <cellStyle name="표준 7 11 5 2 2 2 2" xfId="7633"/>
    <cellStyle name="표준 7 12 2 2 2 2 2 2" xfId="7634"/>
    <cellStyle name="표준 7 12 3 2 2 2 2 2" xfId="7635"/>
    <cellStyle name="표준 7 12 4 2 2 2 2 2" xfId="7636"/>
    <cellStyle name="표준 7 12 5 2 2 2 2" xfId="7637"/>
    <cellStyle name="표준 7 13 2 2 2 2 2 2" xfId="7638"/>
    <cellStyle name="표준 7 13 3 2 2 2 2 2" xfId="7639"/>
    <cellStyle name="표준 7 13 4 2 2 2 2 2" xfId="7640"/>
    <cellStyle name="표준 7 13 5 2 2 2 2" xfId="7641"/>
    <cellStyle name="표준 7 14 2 2 2 2 2 2" xfId="7642"/>
    <cellStyle name="표준 7 14 3 2 2 2 2 2" xfId="7643"/>
    <cellStyle name="표준 7 14 4 2 2 2 2 2" xfId="7644"/>
    <cellStyle name="표준 7 14 5 2 2 2 2" xfId="7645"/>
    <cellStyle name="표준 7 15 2 2 2 2 2 2" xfId="7646"/>
    <cellStyle name="표준 7 15 3 2 2 2 2 2" xfId="7647"/>
    <cellStyle name="표준 7 15 4 2 2 2 2" xfId="7648"/>
    <cellStyle name="표준 7 16 2 2 2 2 2" xfId="7649"/>
    <cellStyle name="표준 7 17 2 2 2 2 2" xfId="7650"/>
    <cellStyle name="표준 7 18 2 2 2 2 2" xfId="7651"/>
    <cellStyle name="표준 7 2 3 2 2 2 2 2" xfId="7652"/>
    <cellStyle name="표준 7 2 4 2 2 2 2 2" xfId="7653"/>
    <cellStyle name="표준 7 2 5 2 2 2 2 2" xfId="7654"/>
    <cellStyle name="표준 7 2 6 2 2 2 2" xfId="7655"/>
    <cellStyle name="표준 7 20 2 2 2 2" xfId="7656"/>
    <cellStyle name="표준 8 10 2 2 2 2 2" xfId="7657"/>
    <cellStyle name="표준 8 11 2 2 2 2 2" xfId="7658"/>
    <cellStyle name="표준 8 12 2 2 2 2 2" xfId="7659"/>
    <cellStyle name="표준 8 14 2 2 2 2" xfId="7660"/>
    <cellStyle name="표준 8 2 2 2 2 2 2 2" xfId="7661"/>
    <cellStyle name="표준 8 2 3 2 2 2 2 2" xfId="7662"/>
    <cellStyle name="표준 8 2 4 2 2 2 2 2" xfId="7663"/>
    <cellStyle name="표준 8 2 5 2 2 2 2" xfId="7664"/>
    <cellStyle name="표준 8 4 2 2 2 2 2 2" xfId="7665"/>
    <cellStyle name="표준 8 4 3 2 2 2 2 2" xfId="7666"/>
    <cellStyle name="표준 8 4 4 2 2 2 2 2" xfId="7667"/>
    <cellStyle name="표준 8 4 5 2 2 2 2" xfId="7668"/>
    <cellStyle name="표준 8 5 2 2 2 2 2 2" xfId="7669"/>
    <cellStyle name="표준 8 5 3 2 2 2 2 2" xfId="7670"/>
    <cellStyle name="표준 8 5 4 2 2 2 2 2" xfId="7671"/>
    <cellStyle name="표준 8 5 5 2 2 2 2" xfId="7672"/>
    <cellStyle name="표준 8 6 2 2 2 2 2 2" xfId="7673"/>
    <cellStyle name="표준 8 6 3 2 2 2 2 2" xfId="7674"/>
    <cellStyle name="표준 8 6 4 2 2 2 2 2" xfId="7675"/>
    <cellStyle name="표준 8 6 5 2 2 2 2" xfId="7676"/>
    <cellStyle name="표준 8 7 2 2 2 2 2 2" xfId="7677"/>
    <cellStyle name="표준 8 7 3 2 2 2 2 2" xfId="7678"/>
    <cellStyle name="표준 8 7 4 2 2 2 2 2" xfId="7679"/>
    <cellStyle name="표준 8 7 5 2 2 2 2" xfId="7680"/>
    <cellStyle name="표준 8 8 2 2 2 2 2 2" xfId="7681"/>
    <cellStyle name="표준 8 8 3 2 2 2 2 2" xfId="7682"/>
    <cellStyle name="표준 8 8 4 2 2 2 2 2" xfId="7683"/>
    <cellStyle name="표준 8 8 5 2 2 2 2" xfId="7684"/>
    <cellStyle name="표준 8 9 2 2 2 2 2 2" xfId="7685"/>
    <cellStyle name="표준 8 9 3 2 2 2 2 2" xfId="7686"/>
    <cellStyle name="표준 8 9 4 2 2 2 2" xfId="7687"/>
    <cellStyle name="표준 9 10 2 2 2 2 2" xfId="7688"/>
    <cellStyle name="표준 9 11 2 2 2 2 2" xfId="7689"/>
    <cellStyle name="표준 9 12 2 2 2 2 2" xfId="7690"/>
    <cellStyle name="표준 9 14 2 2 2 2" xfId="7691"/>
    <cellStyle name="표준 9 2 2 2 2 2 2 2" xfId="7692"/>
    <cellStyle name="표준 9 2 3 2 2 2 2 2" xfId="7693"/>
    <cellStyle name="표준 9 2 4 2 2 2 2 2" xfId="7694"/>
    <cellStyle name="표준 9 2 5 2 2 2 2" xfId="7695"/>
    <cellStyle name="표준 9 4 2 2 2 2 2 2" xfId="7696"/>
    <cellStyle name="표준 9 4 3 2 2 2 2 2" xfId="7697"/>
    <cellStyle name="표준 9 4 4 2 2 2 2 2" xfId="7698"/>
    <cellStyle name="표준 9 4 5 2 2 2 2" xfId="7699"/>
    <cellStyle name="표준 9 5 2 2 2 2 2 2" xfId="7700"/>
    <cellStyle name="표준 9 5 3 2 2 2 2 2" xfId="7701"/>
    <cellStyle name="표준 9 5 4 2 2 2 2 2" xfId="7702"/>
    <cellStyle name="표준 9 5 5 2 2 2 2" xfId="7703"/>
    <cellStyle name="표준 9 6 2 2 2 2 2 2" xfId="7704"/>
    <cellStyle name="표준 9 6 3 2 2 2 2 2" xfId="7705"/>
    <cellStyle name="표준 9 6 4 2 2 2 2 2" xfId="7706"/>
    <cellStyle name="표준 9 6 5 2 2 2 2" xfId="7707"/>
    <cellStyle name="표준 9 7 2 2 2 2 2 2" xfId="7708"/>
    <cellStyle name="표준 9 7 3 2 2 2 2 2" xfId="7709"/>
    <cellStyle name="표준 9 7 4 2 2 2 2 2" xfId="7710"/>
    <cellStyle name="표준 9 7 5 2 2 2 2" xfId="7711"/>
    <cellStyle name="표준 9 8 2 2 2 2 2 2" xfId="7712"/>
    <cellStyle name="표준 9 8 3 2 2 2 2 2" xfId="7713"/>
    <cellStyle name="표준 9 8 4 2 2 2 2 2" xfId="7714"/>
    <cellStyle name="표준 9 8 5 2 2 2 2" xfId="7715"/>
    <cellStyle name="표준 9 9 2 2 2 2 2 2" xfId="7716"/>
    <cellStyle name="표준 9 9 3 2 2 2 2 2" xfId="7717"/>
    <cellStyle name="표준 9 9 4 2 2 2 2" xfId="7718"/>
    <cellStyle name="표준 7 24 2" xfId="7719"/>
    <cellStyle name="표준 8 18 2" xfId="7720"/>
    <cellStyle name="표준 9 18 2" xfId="7721"/>
    <cellStyle name="표준 10 18 2" xfId="7722"/>
    <cellStyle name="표준 7 15 8 2" xfId="7723"/>
    <cellStyle name="표준 8 9 8 2" xfId="7724"/>
    <cellStyle name="표준 9 9 8 2" xfId="7725"/>
    <cellStyle name="표준 10 9 8 2" xfId="7726"/>
    <cellStyle name="표준 7 2 10 2" xfId="7727"/>
    <cellStyle name="표준 8 2 9 2" xfId="7728"/>
    <cellStyle name="표준 9 2 9 2" xfId="7729"/>
    <cellStyle name="표준 10 2 9 2" xfId="7730"/>
    <cellStyle name="표준 7 10 9 2" xfId="7731"/>
    <cellStyle name="표준 8 4 9 2" xfId="7732"/>
    <cellStyle name="표준 9 4 9 2" xfId="7733"/>
    <cellStyle name="표준 10 4 9 2" xfId="7734"/>
    <cellStyle name="표준 7 11 9 2" xfId="7735"/>
    <cellStyle name="표준 8 5 9 2" xfId="7736"/>
    <cellStyle name="표준 9 5 9 2" xfId="7737"/>
    <cellStyle name="표준 10 5 9 2" xfId="7738"/>
    <cellStyle name="표준 21 44 2" xfId="7739"/>
    <cellStyle name="표준 7 12 9 2" xfId="7740"/>
    <cellStyle name="표준 8 6 9 2" xfId="7741"/>
    <cellStyle name="표준 9 6 9 2" xfId="7742"/>
    <cellStyle name="표준 10 6 9 2" xfId="7743"/>
    <cellStyle name="표준 7 13 9 2" xfId="7744"/>
    <cellStyle name="표준 8 7 9 2" xfId="7745"/>
    <cellStyle name="표준 9 7 9 2" xfId="7746"/>
    <cellStyle name="표준 10 7 9 2" xfId="7747"/>
    <cellStyle name="표준 7 14 9 2" xfId="7748"/>
    <cellStyle name="표준 8 8 9 2" xfId="7749"/>
    <cellStyle name="표준 9 8 9 2" xfId="7750"/>
    <cellStyle name="표준 10 8 9 2" xfId="7751"/>
    <cellStyle name="표준 7 18 6 2" xfId="7752"/>
    <cellStyle name="표준 8 12 6 2" xfId="7753"/>
    <cellStyle name="표준 9 12 6 2" xfId="7754"/>
    <cellStyle name="표준 10 12 6 2" xfId="7755"/>
    <cellStyle name="표준 7 2 5 6 2" xfId="7756"/>
    <cellStyle name="표준 8 2 4 6 2" xfId="7757"/>
    <cellStyle name="표준 9 2 4 6 2" xfId="7758"/>
    <cellStyle name="표준 10 2 4 6 2" xfId="7759"/>
    <cellStyle name="표준 7 10 4 6 2" xfId="7760"/>
    <cellStyle name="표준 8 4 4 6 2" xfId="7761"/>
    <cellStyle name="표준 9 4 4 6 2" xfId="7762"/>
    <cellStyle name="표준 10 4 4 6 2" xfId="7763"/>
    <cellStyle name="표준 7 11 4 6 2" xfId="7764"/>
    <cellStyle name="표준 8 5 4 6 2" xfId="7765"/>
    <cellStyle name="표준 9 5 4 6 2" xfId="7766"/>
    <cellStyle name="표준 10 5 4 6 2" xfId="7767"/>
    <cellStyle name="표준 21 4 7 2" xfId="7768"/>
    <cellStyle name="표준 7 12 4 6 2" xfId="7769"/>
    <cellStyle name="표준 8 6 4 6 2" xfId="7770"/>
    <cellStyle name="표준 9 6 4 6 2" xfId="7771"/>
    <cellStyle name="표준 10 6 4 6 2" xfId="7772"/>
    <cellStyle name="표준 7 13 4 6 2" xfId="7773"/>
    <cellStyle name="표준 8 7 4 6 2" xfId="7774"/>
    <cellStyle name="표준 9 7 4 6 2" xfId="7775"/>
    <cellStyle name="표준 10 7 4 6 2" xfId="7776"/>
    <cellStyle name="표준 7 14 4 6 2" xfId="7777"/>
    <cellStyle name="표준 8 8 4 6 2" xfId="7778"/>
    <cellStyle name="표준 9 8 4 6 2" xfId="7779"/>
    <cellStyle name="표준 10 8 4 6 2" xfId="7780"/>
    <cellStyle name="표준 7 16 6 2" xfId="7781"/>
    <cellStyle name="표준 8 10 6 2" xfId="7782"/>
    <cellStyle name="표준 9 10 6 2" xfId="7783"/>
    <cellStyle name="표준 10 10 6 2" xfId="7784"/>
    <cellStyle name="표준 7 15 3 6 2" xfId="7785"/>
    <cellStyle name="표준 8 9 3 6 2" xfId="7786"/>
    <cellStyle name="표준 9 9 3 6 2" xfId="7787"/>
    <cellStyle name="표준 10 9 3 6 2" xfId="7788"/>
    <cellStyle name="표준 7 2 3 6 2" xfId="7789"/>
    <cellStyle name="표준 8 2 2 6 2" xfId="7790"/>
    <cellStyle name="표준 9 2 2 6 2" xfId="7791"/>
    <cellStyle name="표준 10 2 2 6 2" xfId="7792"/>
    <cellStyle name="표준 7 10 2 6 2" xfId="7793"/>
    <cellStyle name="표준 8 4 2 6 2" xfId="7794"/>
    <cellStyle name="표준 9 4 2 6 2" xfId="7795"/>
    <cellStyle name="표준 10 4 2 6 2" xfId="7796"/>
    <cellStyle name="표준 7 11 2 6 2" xfId="7797"/>
    <cellStyle name="표준 8 5 2 6 2" xfId="7798"/>
    <cellStyle name="표준 9 5 2 6 2" xfId="7799"/>
    <cellStyle name="표준 10 5 2 6 2" xfId="7800"/>
    <cellStyle name="표준 21 2 7 2" xfId="7801"/>
    <cellStyle name="표준 7 12 2 6 2" xfId="7802"/>
    <cellStyle name="표준 8 6 2 6 2" xfId="7803"/>
    <cellStyle name="표준 9 6 2 6 2" xfId="7804"/>
    <cellStyle name="표준 10 6 2 6 2" xfId="7805"/>
    <cellStyle name="표준 7 13 2 6 2" xfId="7806"/>
    <cellStyle name="표준 8 7 2 6 2" xfId="7807"/>
    <cellStyle name="표준 9 7 2 6 2" xfId="7808"/>
    <cellStyle name="표준 10 7 2 6 2" xfId="7809"/>
    <cellStyle name="표준 7 14 2 6 2" xfId="7810"/>
    <cellStyle name="표준 8 8 2 6 2" xfId="7811"/>
    <cellStyle name="표준 9 8 2 6 2" xfId="7812"/>
    <cellStyle name="표준 10 8 2 6 2" xfId="7813"/>
    <cellStyle name="표준 7 17 6 2" xfId="7814"/>
    <cellStyle name="표준 8 11 6 2" xfId="7815"/>
    <cellStyle name="표준 9 11 6 2" xfId="7816"/>
    <cellStyle name="표준 10 11 6 2" xfId="7817"/>
    <cellStyle name="표준 7 15 2 6 2" xfId="7818"/>
    <cellStyle name="표준 8 9 2 6 2" xfId="7819"/>
    <cellStyle name="표준 9 9 2 6 2" xfId="7820"/>
    <cellStyle name="표준 10 9 2 6 2" xfId="7821"/>
    <cellStyle name="표준 7 2 4 6 2" xfId="7822"/>
    <cellStyle name="표준 8 2 3 6 2" xfId="7823"/>
    <cellStyle name="표준 9 2 3 6 2" xfId="7824"/>
    <cellStyle name="표준 10 2 3 6 2" xfId="7825"/>
    <cellStyle name="표준 7 10 3 6 2" xfId="7826"/>
    <cellStyle name="표준 8 4 3 6 2" xfId="7827"/>
    <cellStyle name="표준 9 4 3 6 2" xfId="7828"/>
    <cellStyle name="표준 10 4 3 6 2" xfId="7829"/>
    <cellStyle name="표준 7 11 3 6 2" xfId="7830"/>
    <cellStyle name="표준 8 5 3 6 2" xfId="7831"/>
    <cellStyle name="표준 9 5 3 6 2" xfId="7832"/>
    <cellStyle name="표준 10 5 3 6 2" xfId="7833"/>
    <cellStyle name="표준 21 3 7 2" xfId="7834"/>
    <cellStyle name="표준 7 12 3 6 2" xfId="7835"/>
    <cellStyle name="표준 8 6 3 6 2" xfId="7836"/>
    <cellStyle name="표준 9 6 3 6 2" xfId="7837"/>
    <cellStyle name="표준 10 6 3 6 2" xfId="7838"/>
    <cellStyle name="표준 7 13 3 6 2" xfId="7839"/>
    <cellStyle name="표준 8 7 3 6 2" xfId="7840"/>
    <cellStyle name="표준 9 7 3 6 2" xfId="7841"/>
    <cellStyle name="표준 10 7 3 6 2" xfId="7842"/>
    <cellStyle name="표준 7 14 3 6 2" xfId="7843"/>
    <cellStyle name="표준 8 8 3 6 2" xfId="7844"/>
    <cellStyle name="표준 9 8 3 6 2" xfId="7845"/>
    <cellStyle name="표준 10 8 3 6 2" xfId="7846"/>
    <cellStyle name="표준 22 7 2" xfId="7847"/>
    <cellStyle name="표준 7 20 5 2" xfId="7848"/>
    <cellStyle name="표준 8 14 5 2" xfId="7849"/>
    <cellStyle name="표준 9 14 5 2" xfId="7850"/>
    <cellStyle name="표준 10 14 5 2" xfId="7851"/>
    <cellStyle name="표준 7 15 4 5 2" xfId="7852"/>
    <cellStyle name="표준 8 9 4 5 2" xfId="7853"/>
    <cellStyle name="표준 9 9 4 5 2" xfId="7854"/>
    <cellStyle name="표준 10 9 4 5 2" xfId="7855"/>
    <cellStyle name="표준 7 2 6 5 2" xfId="7856"/>
    <cellStyle name="표준 8 2 5 5 2" xfId="7857"/>
    <cellStyle name="표준 9 2 5 5 2" xfId="7858"/>
    <cellStyle name="표준 10 2 5 5 2" xfId="7859"/>
    <cellStyle name="표준 7 10 5 5 2" xfId="7860"/>
    <cellStyle name="표준 8 4 5 5 2" xfId="7861"/>
    <cellStyle name="표준 9 4 5 5 2" xfId="7862"/>
    <cellStyle name="표준 10 4 5 5 2" xfId="7863"/>
    <cellStyle name="표준 7 11 5 5 2" xfId="7864"/>
    <cellStyle name="표준 8 5 5 5 2" xfId="7865"/>
    <cellStyle name="표준 9 5 5 5 2" xfId="7866"/>
    <cellStyle name="표준 10 5 5 5 2" xfId="7867"/>
    <cellStyle name="표준 21 40 5 2" xfId="7868"/>
    <cellStyle name="표준 7 12 5 5 2" xfId="7869"/>
    <cellStyle name="표준 8 6 5 5 2" xfId="7870"/>
    <cellStyle name="표준 9 6 5 5 2" xfId="7871"/>
    <cellStyle name="표준 10 6 5 5 2" xfId="7872"/>
    <cellStyle name="표준 7 13 5 5 2" xfId="7873"/>
    <cellStyle name="표준 8 7 5 5 2" xfId="7874"/>
    <cellStyle name="표준 9 7 5 5 2" xfId="7875"/>
    <cellStyle name="표준 10 7 5 5 2" xfId="7876"/>
    <cellStyle name="표준 7 14 5 5 2" xfId="7877"/>
    <cellStyle name="표준 8 8 5 5 2" xfId="7878"/>
    <cellStyle name="표준 9 8 5 5 2" xfId="7879"/>
    <cellStyle name="표준 10 8 5 5 2" xfId="7880"/>
    <cellStyle name="표준 7 18 2 5 2" xfId="7881"/>
    <cellStyle name="표준 8 12 2 5 2" xfId="7882"/>
    <cellStyle name="표준 9 12 2 5 2" xfId="7883"/>
    <cellStyle name="표준 10 12 2 5 2" xfId="7884"/>
    <cellStyle name="표준 7 2 5 2 5 2" xfId="7885"/>
    <cellStyle name="표준 8 2 4 2 5 2" xfId="7886"/>
    <cellStyle name="표준 9 2 4 2 5 2" xfId="7887"/>
    <cellStyle name="표준 10 2 4 2 5 2" xfId="7888"/>
    <cellStyle name="표준 7 10 4 2 5 2" xfId="7889"/>
    <cellStyle name="표준 8 4 4 2 5 2" xfId="7890"/>
    <cellStyle name="표준 9 4 4 2 5 2" xfId="7891"/>
    <cellStyle name="표준 10 4 4 2 5 2" xfId="7892"/>
    <cellStyle name="표준 7 11 4 2 5 2" xfId="7893"/>
    <cellStyle name="표준 8 5 4 2 5 2" xfId="7894"/>
    <cellStyle name="표준 9 5 4 2 5 2" xfId="7895"/>
    <cellStyle name="표준 10 5 4 2 5 2" xfId="7896"/>
    <cellStyle name="표준 21 4 3 5 2" xfId="7897"/>
    <cellStyle name="표준 7 12 4 2 5 2" xfId="7898"/>
    <cellStyle name="표준 8 6 4 2 5 2" xfId="7899"/>
    <cellStyle name="표준 9 6 4 2 5 2" xfId="7900"/>
    <cellStyle name="표준 10 6 4 2 5 2" xfId="7901"/>
    <cellStyle name="표준 7 13 4 2 5 2" xfId="7902"/>
    <cellStyle name="표준 8 7 4 2 5 2" xfId="7903"/>
    <cellStyle name="표준 9 7 4 2 5 2" xfId="7904"/>
    <cellStyle name="표준 10 7 4 2 5 2" xfId="7905"/>
    <cellStyle name="표준 7 14 4 2 5 2" xfId="7906"/>
    <cellStyle name="표준 8 8 4 2 5 2" xfId="7907"/>
    <cellStyle name="표준 9 8 4 2 5 2" xfId="7908"/>
    <cellStyle name="표준 10 8 4 2 5 2" xfId="7909"/>
    <cellStyle name="표준 7 16 2 5 2" xfId="7910"/>
    <cellStyle name="표준 8 10 2 5 2" xfId="7911"/>
    <cellStyle name="표준 9 10 2 5 2" xfId="7912"/>
    <cellStyle name="표준 10 10 2 5 2" xfId="7913"/>
    <cellStyle name="표준 7 15 3 2 5 2" xfId="7914"/>
    <cellStyle name="표준 8 9 3 2 5 2" xfId="7915"/>
    <cellStyle name="표준 9 9 3 2 5 2" xfId="7916"/>
    <cellStyle name="표준 10 9 3 2 5 2" xfId="7917"/>
    <cellStyle name="표준 7 2 3 2 5 2" xfId="7918"/>
    <cellStyle name="표준 8 2 2 2 5 2" xfId="7919"/>
    <cellStyle name="표준 9 2 2 2 5 2" xfId="7920"/>
    <cellStyle name="표준 10 2 2 2 5 2" xfId="7921"/>
    <cellStyle name="표준 7 10 2 2 5 2" xfId="7922"/>
    <cellStyle name="표준 8 4 2 2 5 2" xfId="7923"/>
    <cellStyle name="표준 9 4 2 2 5 2" xfId="7924"/>
    <cellStyle name="표준 10 4 2 2 5 2" xfId="7925"/>
    <cellStyle name="표준 7 11 2 2 5 2" xfId="7926"/>
    <cellStyle name="표준 8 5 2 2 5 2" xfId="7927"/>
    <cellStyle name="표준 9 5 2 2 5 2" xfId="7928"/>
    <cellStyle name="표준 10 5 2 2 5 2" xfId="7929"/>
    <cellStyle name="표준 21 2 3 5 2" xfId="7930"/>
    <cellStyle name="표준 7 12 2 2 5 2" xfId="7931"/>
    <cellStyle name="표준 8 6 2 2 5 2" xfId="7932"/>
    <cellStyle name="표준 9 6 2 2 5 2" xfId="7933"/>
    <cellStyle name="표준 10 6 2 2 5 2" xfId="7934"/>
    <cellStyle name="표준 7 13 2 2 5 2" xfId="7935"/>
    <cellStyle name="표준 8 7 2 2 5 2" xfId="7936"/>
    <cellStyle name="표준 9 7 2 2 5 2" xfId="7937"/>
    <cellStyle name="표준 10 7 2 2 5 2" xfId="7938"/>
    <cellStyle name="표준 7 14 2 2 5 2" xfId="7939"/>
    <cellStyle name="표준 8 8 2 2 5 2" xfId="7940"/>
    <cellStyle name="표준 9 8 2 2 5 2" xfId="7941"/>
    <cellStyle name="표준 10 8 2 2 5 2" xfId="7942"/>
    <cellStyle name="표준 7 17 2 5 2" xfId="7943"/>
    <cellStyle name="표준 8 11 2 5 2" xfId="7944"/>
    <cellStyle name="표준 9 11 2 5 2" xfId="7945"/>
    <cellStyle name="표준 10 11 2 5 2" xfId="7946"/>
    <cellStyle name="표준 7 15 2 2 5 2" xfId="7947"/>
    <cellStyle name="표준 8 9 2 2 5 2" xfId="7948"/>
    <cellStyle name="표준 9 9 2 2 5 2" xfId="7949"/>
    <cellStyle name="표준 10 9 2 2 5 2" xfId="7950"/>
    <cellStyle name="표준 7 2 4 2 5 2" xfId="7951"/>
    <cellStyle name="표준 8 2 3 2 5 2" xfId="7952"/>
    <cellStyle name="표준 9 2 3 2 5 2" xfId="7953"/>
    <cellStyle name="표준 10 2 3 2 5 2" xfId="7954"/>
    <cellStyle name="표준 7 10 3 2 5 2" xfId="7955"/>
    <cellStyle name="표준 8 4 3 2 5 2" xfId="7956"/>
    <cellStyle name="표준 9 4 3 2 5 2" xfId="7957"/>
    <cellStyle name="표준 10 4 3 2 5 2" xfId="7958"/>
    <cellStyle name="표준 7 11 3 2 5 2" xfId="7959"/>
    <cellStyle name="표준 8 5 3 2 5 2" xfId="7960"/>
    <cellStyle name="표준 9 5 3 2 5 2" xfId="7961"/>
    <cellStyle name="표준 10 5 3 2 5 2" xfId="7962"/>
    <cellStyle name="표준 21 3 3 5 2" xfId="7963"/>
    <cellStyle name="표준 7 12 3 2 5 2" xfId="7964"/>
    <cellStyle name="표준 8 6 3 2 5 2" xfId="7965"/>
    <cellStyle name="표준 9 6 3 2 5 2" xfId="7966"/>
    <cellStyle name="표준 10 6 3 2 5 2" xfId="7967"/>
    <cellStyle name="표준 7 13 3 2 5 2" xfId="7968"/>
    <cellStyle name="표준 8 7 3 2 5 2" xfId="7969"/>
    <cellStyle name="표준 9 7 3 2 5 2" xfId="7970"/>
    <cellStyle name="표준 10 7 3 2 5 2" xfId="7971"/>
    <cellStyle name="표준 7 14 3 2 5 2" xfId="7972"/>
    <cellStyle name="표준 8 8 3 2 5 2" xfId="7973"/>
    <cellStyle name="표준 9 8 3 2 5 2" xfId="7974"/>
    <cellStyle name="표준 10 8 3 2 5 2" xfId="7975"/>
    <cellStyle name="표준 22 3 5 2" xfId="7976"/>
    <cellStyle name="표준 7 21 4 2" xfId="7977"/>
    <cellStyle name="표준 8 15 4 2" xfId="7978"/>
    <cellStyle name="표준 9 15 4 2" xfId="7979"/>
    <cellStyle name="표준 10 15 4 2" xfId="7980"/>
    <cellStyle name="표준 7 15 5 4 2" xfId="7981"/>
    <cellStyle name="표준 8 9 5 4 2" xfId="7982"/>
    <cellStyle name="표준 9 9 5 4 2" xfId="7983"/>
    <cellStyle name="표준 10 9 5 4 2" xfId="7984"/>
    <cellStyle name="표준 7 2 7 4 2" xfId="7985"/>
    <cellStyle name="표준 8 2 6 4 2" xfId="7986"/>
    <cellStyle name="표준 9 2 6 4 2" xfId="7987"/>
    <cellStyle name="표준 10 2 6 4 2" xfId="7988"/>
    <cellStyle name="표준 7 10 6 4 2" xfId="7989"/>
    <cellStyle name="표준 8 4 6 4 2" xfId="7990"/>
    <cellStyle name="표준 9 4 6 4 2" xfId="7991"/>
    <cellStyle name="표준 10 4 6 4 2" xfId="7992"/>
    <cellStyle name="표준 7 11 6 4 2" xfId="7993"/>
    <cellStyle name="표준 8 5 6 4 2" xfId="7994"/>
    <cellStyle name="표준 9 5 6 4 2" xfId="7995"/>
    <cellStyle name="표준 10 5 6 4 2" xfId="7996"/>
    <cellStyle name="표준 21 41 4 2" xfId="7997"/>
    <cellStyle name="표준 7 12 6 4 2" xfId="7998"/>
    <cellStyle name="표준 8 6 6 4 2" xfId="7999"/>
    <cellStyle name="표준 9 6 6 4 2" xfId="8000"/>
    <cellStyle name="표준 10 6 6 4 2" xfId="8001"/>
    <cellStyle name="표준 7 13 6 4 2" xfId="8002"/>
    <cellStyle name="표준 8 7 6 4 2" xfId="8003"/>
    <cellStyle name="표준 9 7 6 4 2" xfId="8004"/>
    <cellStyle name="표준 10 7 6 4 2" xfId="8005"/>
    <cellStyle name="표준 7 14 6 4 2" xfId="8006"/>
    <cellStyle name="표준 8 8 6 4 2" xfId="8007"/>
    <cellStyle name="표준 9 8 6 4 2" xfId="8008"/>
    <cellStyle name="표준 10 8 6 4 2" xfId="8009"/>
    <cellStyle name="표준 7 18 3 4 2" xfId="8010"/>
    <cellStyle name="표준 8 12 3 4 2" xfId="8011"/>
    <cellStyle name="표준 9 12 3 4 2" xfId="8012"/>
    <cellStyle name="표준 10 12 3 4 2" xfId="8013"/>
    <cellStyle name="표준 7 2 5 3 4 2" xfId="8014"/>
    <cellStyle name="표준 8 2 4 3 4 2" xfId="8015"/>
    <cellStyle name="표준 9 2 4 3 4 2" xfId="8016"/>
    <cellStyle name="표준 10 2 4 3 4 2" xfId="8017"/>
    <cellStyle name="표준 7 10 4 3 4 2" xfId="8018"/>
    <cellStyle name="표준 8 4 4 3 4 2" xfId="8019"/>
    <cellStyle name="표준 9 4 4 3 4 2" xfId="8020"/>
    <cellStyle name="표준 10 4 4 3 4 2" xfId="8021"/>
    <cellStyle name="표준 7 11 4 3 4 2" xfId="8022"/>
    <cellStyle name="표준 8 5 4 3 4 2" xfId="8023"/>
    <cellStyle name="표준 9 5 4 3 4 2" xfId="8024"/>
    <cellStyle name="표준 10 5 4 3 4 2" xfId="8025"/>
    <cellStyle name="표준 21 4 4 4 2" xfId="8026"/>
    <cellStyle name="표준 7 12 4 3 4 2" xfId="8027"/>
    <cellStyle name="표준 8 6 4 3 4 2" xfId="8028"/>
    <cellStyle name="표준 9 6 4 3 4 2" xfId="8029"/>
    <cellStyle name="표준 10 6 4 3 4 2" xfId="8030"/>
    <cellStyle name="표준 7 13 4 3 4 2" xfId="8031"/>
    <cellStyle name="표준 8 7 4 3 4 2" xfId="8032"/>
    <cellStyle name="표준 9 7 4 3 4 2" xfId="8033"/>
    <cellStyle name="표준 10 7 4 3 4 2" xfId="8034"/>
    <cellStyle name="표준 7 14 4 3 4 2" xfId="8035"/>
    <cellStyle name="표준 8 8 4 3 4 2" xfId="8036"/>
    <cellStyle name="표준 9 8 4 3 4 2" xfId="8037"/>
    <cellStyle name="표준 10 8 4 3 4 2" xfId="8038"/>
    <cellStyle name="표준 7 16 3 4 2" xfId="8039"/>
    <cellStyle name="표준 8 10 3 4 2" xfId="8040"/>
    <cellStyle name="표준 9 10 3 4 2" xfId="8041"/>
    <cellStyle name="표준 10 10 3 4 2" xfId="8042"/>
    <cellStyle name="표준 7 15 3 3 4 2" xfId="8043"/>
    <cellStyle name="표준 8 9 3 3 4 2" xfId="8044"/>
    <cellStyle name="표준 9 9 3 3 4 2" xfId="8045"/>
    <cellStyle name="표준 10 9 3 3 4 2" xfId="8046"/>
    <cellStyle name="표준 7 2 3 3 4 2" xfId="8047"/>
    <cellStyle name="표준 8 2 2 3 4 2" xfId="8048"/>
    <cellStyle name="표준 9 2 2 3 4 2" xfId="8049"/>
    <cellStyle name="표준 10 2 2 3 4 2" xfId="8050"/>
    <cellStyle name="표준 7 10 2 3 4 2" xfId="8051"/>
    <cellStyle name="표준 8 4 2 3 4 2" xfId="8052"/>
    <cellStyle name="표준 9 4 2 3 4 2" xfId="8053"/>
    <cellStyle name="표준 10 4 2 3 4 2" xfId="8054"/>
    <cellStyle name="표준 7 11 2 3 4 2" xfId="8055"/>
    <cellStyle name="표준 8 5 2 3 4 2" xfId="8056"/>
    <cellStyle name="표준 9 5 2 3 4 2" xfId="8057"/>
    <cellStyle name="표준 10 5 2 3 4 2" xfId="8058"/>
    <cellStyle name="표준 21 2 4 4 2" xfId="8059"/>
    <cellStyle name="표준 7 12 2 3 4 2" xfId="8060"/>
    <cellStyle name="표준 8 6 2 3 4 2" xfId="8061"/>
    <cellStyle name="표준 9 6 2 3 4 2" xfId="8062"/>
    <cellStyle name="표준 10 6 2 3 4 2" xfId="8063"/>
    <cellStyle name="표준 7 13 2 3 4 2" xfId="8064"/>
    <cellStyle name="표준 8 7 2 3 4 2" xfId="8065"/>
    <cellStyle name="표준 9 7 2 3 4 2" xfId="8066"/>
    <cellStyle name="표준 10 7 2 3 4 2" xfId="8067"/>
    <cellStyle name="표준 7 14 2 3 4 2" xfId="8068"/>
    <cellStyle name="표준 8 8 2 3 4 2" xfId="8069"/>
    <cellStyle name="표준 9 8 2 3 4 2" xfId="8070"/>
    <cellStyle name="표준 10 8 2 3 4 2" xfId="8071"/>
    <cellStyle name="표준 7 17 3 4 2" xfId="8072"/>
    <cellStyle name="표준 8 11 3 4 2" xfId="8073"/>
    <cellStyle name="표준 9 11 3 4 2" xfId="8074"/>
    <cellStyle name="표준 10 11 3 4 2" xfId="8075"/>
    <cellStyle name="표준 7 15 2 3 4 2" xfId="8076"/>
    <cellStyle name="표준 8 9 2 3 4 2" xfId="8077"/>
    <cellStyle name="표준 9 9 2 3 4 2" xfId="8078"/>
    <cellStyle name="표준 10 9 2 3 4 2" xfId="8079"/>
    <cellStyle name="표준 7 2 4 3 4 2" xfId="8080"/>
    <cellStyle name="표준 8 2 3 3 4 2" xfId="8081"/>
    <cellStyle name="표준 9 2 3 3 4 2" xfId="8082"/>
    <cellStyle name="표준 10 2 3 3 4 2" xfId="8083"/>
    <cellStyle name="표준 7 10 3 3 4 2" xfId="8084"/>
    <cellStyle name="표준 8 4 3 3 4 2" xfId="8085"/>
    <cellStyle name="표준 9 4 3 3 4 2" xfId="8086"/>
    <cellStyle name="표준 10 4 3 3 4 2" xfId="8087"/>
    <cellStyle name="표준 7 11 3 3 4 2" xfId="8088"/>
    <cellStyle name="표준 8 5 3 3 4 2" xfId="8089"/>
    <cellStyle name="표준 9 5 3 3 4 2" xfId="8090"/>
    <cellStyle name="표준 10 5 3 3 4 2" xfId="8091"/>
    <cellStyle name="표준 21 3 4 4 2" xfId="8092"/>
    <cellStyle name="표준 7 12 3 3 4 2" xfId="8093"/>
    <cellStyle name="표준 8 6 3 3 4 2" xfId="8094"/>
    <cellStyle name="표준 9 6 3 3 4 2" xfId="8095"/>
    <cellStyle name="표준 10 6 3 3 4 2" xfId="8096"/>
    <cellStyle name="표준 7 13 3 3 4 2" xfId="8097"/>
    <cellStyle name="표준 8 7 3 3 4 2" xfId="8098"/>
    <cellStyle name="표준 9 7 3 3 4 2" xfId="8099"/>
    <cellStyle name="표준 10 7 3 3 4 2" xfId="8100"/>
    <cellStyle name="표준 7 14 3 3 4 2" xfId="8101"/>
    <cellStyle name="표준 8 8 3 3 4 2" xfId="8102"/>
    <cellStyle name="표준 9 8 3 3 4 2" xfId="8103"/>
    <cellStyle name="표준 10 8 3 3 4 2" xfId="8104"/>
    <cellStyle name="표준 22 4 4 2" xfId="8105"/>
    <cellStyle name="표준 10 10 2 2 4 2" xfId="8106"/>
    <cellStyle name="표준 10 11 2 2 4 2" xfId="8107"/>
    <cellStyle name="표준 10 12 2 2 4 2" xfId="8108"/>
    <cellStyle name="표준 10 14 2 4 2" xfId="8109"/>
    <cellStyle name="표준 10 2 2 2 2 4 2" xfId="8110"/>
    <cellStyle name="표준 10 2 3 2 2 4 2" xfId="8111"/>
    <cellStyle name="표준 10 2 4 2 2 4 2" xfId="8112"/>
    <cellStyle name="표준 10 2 5 2 4 2" xfId="8113"/>
    <cellStyle name="표준 10 4 2 2 2 4 2" xfId="8114"/>
    <cellStyle name="표준 10 4 3 2 2 4 2" xfId="8115"/>
    <cellStyle name="표준 10 4 4 2 2 4 2" xfId="8116"/>
    <cellStyle name="표준 10 4 5 2 4 2" xfId="8117"/>
    <cellStyle name="표준 10 5 2 2 2 4 2" xfId="8118"/>
    <cellStyle name="표준 10 5 3 2 2 4 2" xfId="8119"/>
    <cellStyle name="표준 10 5 4 2 2 4 2" xfId="8120"/>
    <cellStyle name="표준 10 5 5 2 4 2" xfId="8121"/>
    <cellStyle name="표준 10 6 2 2 2 4 2" xfId="8122"/>
    <cellStyle name="표준 10 6 3 2 2 4 2" xfId="8123"/>
    <cellStyle name="표준 10 6 4 2 2 4 2" xfId="8124"/>
    <cellStyle name="표준 10 6 5 2 4 2" xfId="8125"/>
    <cellStyle name="표준 10 7 2 2 2 4 2" xfId="8126"/>
    <cellStyle name="표준 10 7 3 2 2 4 2" xfId="8127"/>
    <cellStyle name="표준 10 7 4 2 2 4 2" xfId="8128"/>
    <cellStyle name="표준 10 7 5 2 4 2" xfId="8129"/>
    <cellStyle name="표준 10 8 2 2 2 4 2" xfId="8130"/>
    <cellStyle name="표준 10 8 3 2 2 4 2" xfId="8131"/>
    <cellStyle name="표준 10 8 4 2 2 4 2" xfId="8132"/>
    <cellStyle name="표준 10 8 5 2 4 2" xfId="8133"/>
    <cellStyle name="표준 10 9 2 2 2 4 2" xfId="8134"/>
    <cellStyle name="표준 10 9 3 2 2 4 2" xfId="8135"/>
    <cellStyle name="표준 10 9 4 2 4 2" xfId="8136"/>
    <cellStyle name="표준 21 2 3 2 4 2" xfId="8137"/>
    <cellStyle name="표준 21 3 3 2 4 2" xfId="8138"/>
    <cellStyle name="표준 21 4 3 2 4 2" xfId="8139"/>
    <cellStyle name="표준 21 40 2 4 2" xfId="8140"/>
    <cellStyle name="표준 22 3 2 4 2" xfId="8141"/>
    <cellStyle name="표준 24 42 2" xfId="8142"/>
    <cellStyle name="표준 25 26 2" xfId="8143"/>
    <cellStyle name="표준 7 10 2 2 2 4 2" xfId="8144"/>
    <cellStyle name="표준 7 10 3 2 2 4 2" xfId="8145"/>
    <cellStyle name="표준 7 10 4 2 2 4 2" xfId="8146"/>
    <cellStyle name="표준 7 10 5 2 4 2" xfId="8147"/>
    <cellStyle name="표준 7 11 2 2 2 4 2" xfId="8148"/>
    <cellStyle name="표준 7 11 3 2 2 4 2" xfId="8149"/>
    <cellStyle name="표준 7 11 4 2 2 4 2" xfId="8150"/>
    <cellStyle name="표준 7 11 5 2 4 2" xfId="8151"/>
    <cellStyle name="표준 7 12 2 2 2 4 2" xfId="8152"/>
    <cellStyle name="표준 7 12 3 2 2 4 2" xfId="8153"/>
    <cellStyle name="표준 7 12 4 2 2 4 2" xfId="8154"/>
    <cellStyle name="표준 7 12 5 2 4 2" xfId="8155"/>
    <cellStyle name="표준 7 13 2 2 2 4 2" xfId="8156"/>
    <cellStyle name="표준 7 13 3 2 2 4 2" xfId="8157"/>
    <cellStyle name="표준 7 13 4 2 2 4 2" xfId="8158"/>
    <cellStyle name="표준 7 13 5 2 4 2" xfId="8159"/>
    <cellStyle name="표준 7 14 2 2 2 4 2" xfId="8160"/>
    <cellStyle name="표준 7 14 3 2 2 4 2" xfId="8161"/>
    <cellStyle name="표준 7 14 4 2 2 4 2" xfId="8162"/>
    <cellStyle name="표준 7 14 5 2 4 2" xfId="8163"/>
    <cellStyle name="표준 7 15 2 2 2 4 2" xfId="8164"/>
    <cellStyle name="표준 7 15 3 2 2 4 2" xfId="8165"/>
    <cellStyle name="표준 7 15 4 2 4 2" xfId="8166"/>
    <cellStyle name="표준 7 16 2 2 4 2" xfId="8167"/>
    <cellStyle name="표준 7 17 2 2 4 2" xfId="8168"/>
    <cellStyle name="표준 7 18 2 2 4 2" xfId="8169"/>
    <cellStyle name="표준 7 2 3 2 2 4 2" xfId="8170"/>
    <cellStyle name="표준 7 2 4 2 2 4 2" xfId="8171"/>
    <cellStyle name="표준 7 2 5 2 2 4 2" xfId="8172"/>
    <cellStyle name="표준 7 2 6 2 4 2" xfId="8173"/>
    <cellStyle name="표준 7 20 2 4 2" xfId="8174"/>
    <cellStyle name="표준 8 10 2 2 4 2" xfId="8175"/>
    <cellStyle name="표준 8 11 2 2 4 2" xfId="8176"/>
    <cellStyle name="표준 8 12 2 2 4 2" xfId="8177"/>
    <cellStyle name="표준 8 14 2 4 2" xfId="8178"/>
    <cellStyle name="표준 8 2 2 2 2 4 2" xfId="8179"/>
    <cellStyle name="표준 8 2 3 2 2 4 2" xfId="8180"/>
    <cellStyle name="표준 8 2 4 2 2 4 2" xfId="8181"/>
    <cellStyle name="표준 8 2 5 2 4 2" xfId="8182"/>
    <cellStyle name="표준 8 4 2 2 2 4 2" xfId="8183"/>
    <cellStyle name="표준 8 4 3 2 2 4 2" xfId="8184"/>
    <cellStyle name="표준 8 4 4 2 2 4 2" xfId="8185"/>
    <cellStyle name="표준 8 4 5 2 4 2" xfId="8186"/>
    <cellStyle name="표준 8 5 2 2 2 4 2" xfId="8187"/>
    <cellStyle name="표준 8 5 3 2 2 4 2" xfId="8188"/>
    <cellStyle name="표준 8 5 4 2 2 4 2" xfId="8189"/>
    <cellStyle name="표준 8 5 5 2 4 2" xfId="8190"/>
    <cellStyle name="표준 8 6 2 2 2 4 2" xfId="8191"/>
    <cellStyle name="표준 8 6 3 2 2 4 2" xfId="8192"/>
    <cellStyle name="표준 8 6 4 2 2 4 2" xfId="8193"/>
    <cellStyle name="표준 8 6 5 2 4 2" xfId="8194"/>
    <cellStyle name="표준 8 7 2 2 2 4 2" xfId="8195"/>
    <cellStyle name="표준 8 7 3 2 2 4 2" xfId="8196"/>
    <cellStyle name="표준 8 7 4 2 2 4 2" xfId="8197"/>
    <cellStyle name="표준 8 7 5 2 4 2" xfId="8198"/>
    <cellStyle name="표준 8 8 2 2 2 4 2" xfId="8199"/>
    <cellStyle name="표준 8 8 3 2 2 4 2" xfId="8200"/>
    <cellStyle name="표준 8 8 4 2 2 4 2" xfId="8201"/>
    <cellStyle name="표준 8 8 5 2 4 2" xfId="8202"/>
    <cellStyle name="표준 8 9 2 2 2 4 2" xfId="8203"/>
    <cellStyle name="표준 8 9 3 2 2 4 2" xfId="8204"/>
    <cellStyle name="표준 8 9 4 2 4 2" xfId="8205"/>
    <cellStyle name="표준 9 10 2 2 4 2" xfId="8206"/>
    <cellStyle name="표준 9 11 2 2 4 2" xfId="8207"/>
    <cellStyle name="표준 9 12 2 2 4 2" xfId="8208"/>
    <cellStyle name="표준 9 14 2 4 2" xfId="8209"/>
    <cellStyle name="표준 9 2 2 2 2 4 2" xfId="8210"/>
    <cellStyle name="표준 9 2 3 2 2 4 2" xfId="8211"/>
    <cellStyle name="표준 9 2 4 2 2 4 2" xfId="8212"/>
    <cellStyle name="표준 9 2 5 2 4 2" xfId="8213"/>
    <cellStyle name="표준 9 4 2 2 2 4 2" xfId="8214"/>
    <cellStyle name="표준 9 4 3 2 2 4 2" xfId="8215"/>
    <cellStyle name="표준 9 4 4 2 2 4 2" xfId="8216"/>
    <cellStyle name="표준 9 4 5 2 4 2" xfId="8217"/>
    <cellStyle name="표준 9 5 2 2 2 4 2" xfId="8218"/>
    <cellStyle name="표준 9 5 3 2 2 4 2" xfId="8219"/>
    <cellStyle name="표준 9 5 4 2 2 4 2" xfId="8220"/>
    <cellStyle name="표준 9 5 5 2 4 2" xfId="8221"/>
    <cellStyle name="표준 9 6 2 2 2 4 2" xfId="8222"/>
    <cellStyle name="표준 9 6 3 2 2 4 2" xfId="8223"/>
    <cellStyle name="표준 9 6 4 2 2 4 2" xfId="8224"/>
    <cellStyle name="표준 9 6 5 2 4 2" xfId="8225"/>
    <cellStyle name="표준 9 7 2 2 2 4 2" xfId="8226"/>
    <cellStyle name="표준 9 7 3 2 2 4 2" xfId="8227"/>
    <cellStyle name="표준 9 7 4 2 2 4 2" xfId="8228"/>
    <cellStyle name="표준 9 7 5 2 4 2" xfId="8229"/>
    <cellStyle name="표준 9 8 2 2 2 4 2" xfId="8230"/>
    <cellStyle name="표준 9 8 3 2 2 4 2" xfId="8231"/>
    <cellStyle name="표준 9 8 4 2 2 4 2" xfId="8232"/>
    <cellStyle name="표준 9 8 5 2 4 2" xfId="8233"/>
    <cellStyle name="표준 9 9 2 2 2 4 2" xfId="8234"/>
    <cellStyle name="표준 9 9 3 2 2 4 2" xfId="8235"/>
    <cellStyle name="표준 9 9 4 2 4 2" xfId="8236"/>
    <cellStyle name="표준 27 43 2" xfId="8237"/>
    <cellStyle name="표준 7 22 3 2" xfId="8238"/>
    <cellStyle name="표준 8 16 3 2" xfId="8239"/>
    <cellStyle name="표준 9 16 3 2" xfId="8240"/>
    <cellStyle name="표준 10 16 3 2" xfId="8241"/>
    <cellStyle name="표준 7 15 6 3 2" xfId="8242"/>
    <cellStyle name="표준 8 9 6 3 2" xfId="8243"/>
    <cellStyle name="표준 9 9 6 3 2" xfId="8244"/>
    <cellStyle name="표준 10 9 6 3 2" xfId="8245"/>
    <cellStyle name="표준 7 2 8 3 2" xfId="8246"/>
    <cellStyle name="표준 8 2 7 3 2" xfId="8247"/>
    <cellStyle name="표준 9 2 7 3 2" xfId="8248"/>
    <cellStyle name="표준 10 2 7 3 2" xfId="8249"/>
    <cellStyle name="표준 7 10 7 3 2" xfId="8250"/>
    <cellStyle name="표준 8 4 7 3 2" xfId="8251"/>
    <cellStyle name="표준 9 4 7 3 2" xfId="8252"/>
    <cellStyle name="표준 10 4 7 3 2" xfId="8253"/>
    <cellStyle name="표준 7 11 7 3 2" xfId="8254"/>
    <cellStyle name="표준 8 5 7 3 2" xfId="8255"/>
    <cellStyle name="표준 9 5 7 3 2" xfId="8256"/>
    <cellStyle name="표준 10 5 7 3 2" xfId="8257"/>
    <cellStyle name="표준 21 42 3 2" xfId="8258"/>
    <cellStyle name="표준 7 12 7 3 2" xfId="8259"/>
    <cellStyle name="표준 8 6 7 3 2" xfId="8260"/>
    <cellStyle name="표준 9 6 7 3 2" xfId="8261"/>
    <cellStyle name="표준 10 6 7 3 2" xfId="8262"/>
    <cellStyle name="표준 7 13 7 3 2" xfId="8263"/>
    <cellStyle name="표준 8 7 7 3 2" xfId="8264"/>
    <cellStyle name="표준 9 7 7 3 2" xfId="8265"/>
    <cellStyle name="표준 10 7 7 3 2" xfId="8266"/>
    <cellStyle name="표준 7 14 7 3 2" xfId="8267"/>
    <cellStyle name="표준 8 8 7 3 2" xfId="8268"/>
    <cellStyle name="표준 9 8 7 3 2" xfId="8269"/>
    <cellStyle name="표준 10 8 7 3 2" xfId="8270"/>
    <cellStyle name="표준 7 18 4 3 2" xfId="8271"/>
    <cellStyle name="표준 8 12 4 3 2" xfId="8272"/>
    <cellStyle name="표준 9 12 4 3 2" xfId="8273"/>
    <cellStyle name="표준 10 12 4 3 2" xfId="8274"/>
    <cellStyle name="표준 7 2 5 4 3 2" xfId="8275"/>
    <cellStyle name="표준 8 2 4 4 3 2" xfId="8276"/>
    <cellStyle name="표준 9 2 4 4 3 2" xfId="8277"/>
    <cellStyle name="표준 10 2 4 4 3 2" xfId="8278"/>
    <cellStyle name="표준 7 10 4 4 3 2" xfId="8279"/>
    <cellStyle name="표준 8 4 4 4 3 2" xfId="8280"/>
    <cellStyle name="표준 9 4 4 4 3 2" xfId="8281"/>
    <cellStyle name="표준 10 4 4 4 3 2" xfId="8282"/>
    <cellStyle name="표준 7 11 4 4 3 2" xfId="8283"/>
    <cellStyle name="표준 8 5 4 4 3 2" xfId="8284"/>
    <cellStyle name="표준 9 5 4 4 3 2" xfId="8285"/>
    <cellStyle name="표준 10 5 4 4 3 2" xfId="8286"/>
    <cellStyle name="표준 21 4 5 3 2" xfId="8287"/>
    <cellStyle name="표준 7 12 4 4 3 2" xfId="8288"/>
    <cellStyle name="표준 8 6 4 4 3 2" xfId="8289"/>
    <cellStyle name="표준 9 6 4 4 3 2" xfId="8290"/>
    <cellStyle name="표준 10 6 4 4 3 2" xfId="8291"/>
    <cellStyle name="표준 7 13 4 4 3 2" xfId="8292"/>
    <cellStyle name="표준 8 7 4 4 3 2" xfId="8293"/>
    <cellStyle name="표준 9 7 4 4 3 2" xfId="8294"/>
    <cellStyle name="표준 10 7 4 4 3 2" xfId="8295"/>
    <cellStyle name="표준 7 14 4 4 3 2" xfId="8296"/>
    <cellStyle name="표준 8 8 4 4 3 2" xfId="8297"/>
    <cellStyle name="표준 9 8 4 4 3 2" xfId="8298"/>
    <cellStyle name="표준 10 8 4 4 3 2" xfId="8299"/>
    <cellStyle name="표준 7 16 4 3 2" xfId="8300"/>
    <cellStyle name="표준 8 10 4 3 2" xfId="8301"/>
    <cellStyle name="표준 9 10 4 3 2" xfId="8302"/>
    <cellStyle name="표준 10 10 4 3 2" xfId="8303"/>
    <cellStyle name="표준 7 15 3 4 3 2" xfId="8304"/>
    <cellStyle name="표준 8 9 3 4 3 2" xfId="8305"/>
    <cellStyle name="표준 9 9 3 4 3 2" xfId="8306"/>
    <cellStyle name="표준 10 9 3 4 3 2" xfId="8307"/>
    <cellStyle name="표준 7 2 3 4 3 2" xfId="8308"/>
    <cellStyle name="표준 8 2 2 4 3 2" xfId="8309"/>
    <cellStyle name="표준 9 2 2 4 3 2" xfId="8310"/>
    <cellStyle name="표준 10 2 2 4 3 2" xfId="8311"/>
    <cellStyle name="표준 7 10 2 4 3 2" xfId="8312"/>
    <cellStyle name="표준 8 4 2 4 3 2" xfId="8313"/>
    <cellStyle name="표준 9 4 2 4 3 2" xfId="8314"/>
    <cellStyle name="표준 10 4 2 4 3 2" xfId="8315"/>
    <cellStyle name="표준 7 11 2 4 3 2" xfId="8316"/>
    <cellStyle name="표준 8 5 2 4 3 2" xfId="8317"/>
    <cellStyle name="표준 9 5 2 4 3 2" xfId="8318"/>
    <cellStyle name="표준 10 5 2 4 3 2" xfId="8319"/>
    <cellStyle name="표준 21 2 5 3 2" xfId="8320"/>
    <cellStyle name="표준 7 12 2 4 3 2" xfId="8321"/>
    <cellStyle name="표준 8 6 2 4 3 2" xfId="8322"/>
    <cellStyle name="표준 9 6 2 4 3 2" xfId="8323"/>
    <cellStyle name="표준 10 6 2 4 3 2" xfId="8324"/>
    <cellStyle name="표준 7 13 2 4 3 2" xfId="8325"/>
    <cellStyle name="표준 8 7 2 4 3 2" xfId="8326"/>
    <cellStyle name="표준 9 7 2 4 3 2" xfId="8327"/>
    <cellStyle name="표준 10 7 2 4 3 2" xfId="8328"/>
    <cellStyle name="표준 7 14 2 4 3 2" xfId="8329"/>
    <cellStyle name="표준 8 8 2 4 3 2" xfId="8330"/>
    <cellStyle name="표준 9 8 2 4 3 2" xfId="8331"/>
    <cellStyle name="표준 10 8 2 4 3 2" xfId="8332"/>
    <cellStyle name="표준 7 17 4 3 2" xfId="8333"/>
    <cellStyle name="표준 8 11 4 3 2" xfId="8334"/>
    <cellStyle name="표준 9 11 4 3 2" xfId="8335"/>
    <cellStyle name="표준 10 11 4 3 2" xfId="8336"/>
    <cellStyle name="표준 7 15 2 4 3 2" xfId="8337"/>
    <cellStyle name="표준 8 9 2 4 3 2" xfId="8338"/>
    <cellStyle name="표준 9 9 2 4 3 2" xfId="8339"/>
    <cellStyle name="표준 10 9 2 4 3 2" xfId="8340"/>
    <cellStyle name="표준 7 2 4 4 3 2" xfId="8341"/>
    <cellStyle name="표준 8 2 3 4 3 2" xfId="8342"/>
    <cellStyle name="표준 9 2 3 4 3 2" xfId="8343"/>
    <cellStyle name="표준 10 2 3 4 3 2" xfId="8344"/>
    <cellStyle name="표준 7 10 3 4 3 2" xfId="8345"/>
    <cellStyle name="표준 8 4 3 4 3 2" xfId="8346"/>
    <cellStyle name="표준 9 4 3 4 3 2" xfId="8347"/>
    <cellStyle name="표준 10 4 3 4 3 2" xfId="8348"/>
    <cellStyle name="표준 7 11 3 4 3 2" xfId="8349"/>
    <cellStyle name="표준 8 5 3 4 3 2" xfId="8350"/>
    <cellStyle name="표준 9 5 3 4 3 2" xfId="8351"/>
    <cellStyle name="표준 10 5 3 4 3 2" xfId="8352"/>
    <cellStyle name="표준 21 3 5 3 2" xfId="8353"/>
    <cellStyle name="표준 7 12 3 4 3 2" xfId="8354"/>
    <cellStyle name="표준 8 6 3 4 3 2" xfId="8355"/>
    <cellStyle name="표준 9 6 3 4 3 2" xfId="8356"/>
    <cellStyle name="표준 10 6 3 4 3 2" xfId="8357"/>
    <cellStyle name="표준 7 13 3 4 3 2" xfId="8358"/>
    <cellStyle name="표준 8 7 3 4 3 2" xfId="8359"/>
    <cellStyle name="표준 9 7 3 4 3 2" xfId="8360"/>
    <cellStyle name="표준 10 7 3 4 3 2" xfId="8361"/>
    <cellStyle name="표준 7 14 3 4 3 2" xfId="8362"/>
    <cellStyle name="표준 8 8 3 4 3 2" xfId="8363"/>
    <cellStyle name="표준 9 8 3 4 3 2" xfId="8364"/>
    <cellStyle name="표준 10 8 3 4 3 2" xfId="8365"/>
    <cellStyle name="표준 22 5 3 2" xfId="8366"/>
    <cellStyle name="표준 7 20 3 3 2" xfId="8367"/>
    <cellStyle name="표준 8 14 3 3 2" xfId="8368"/>
    <cellStyle name="표준 9 14 3 3 2" xfId="8369"/>
    <cellStyle name="표준 10 14 3 3 2" xfId="8370"/>
    <cellStyle name="표준 7 15 4 3 3 2" xfId="8371"/>
    <cellStyle name="표준 8 9 4 3 3 2" xfId="8372"/>
    <cellStyle name="표준 9 9 4 3 3 2" xfId="8373"/>
    <cellStyle name="표준 10 9 4 3 3 2" xfId="8374"/>
    <cellStyle name="표준 7 2 6 3 3 2" xfId="8375"/>
    <cellStyle name="표준 8 2 5 3 3 2" xfId="8376"/>
    <cellStyle name="표준 9 2 5 3 3 2" xfId="8377"/>
    <cellStyle name="표준 10 2 5 3 3 2" xfId="8378"/>
    <cellStyle name="표준 7 10 5 3 3 2" xfId="8379"/>
    <cellStyle name="표준 8 4 5 3 3 2" xfId="8380"/>
    <cellStyle name="표준 9 4 5 3 3 2" xfId="8381"/>
    <cellStyle name="표준 10 4 5 3 3 2" xfId="8382"/>
    <cellStyle name="표준 7 11 5 3 3 2" xfId="8383"/>
    <cellStyle name="표준 8 5 5 3 3 2" xfId="8384"/>
    <cellStyle name="표준 9 5 5 3 3 2" xfId="8385"/>
    <cellStyle name="표준 10 5 5 3 3 2" xfId="8386"/>
    <cellStyle name="표준 21 40 3 3 2" xfId="8387"/>
    <cellStyle name="표준 7 12 5 3 3 2" xfId="8388"/>
    <cellStyle name="표준 8 6 5 3 3 2" xfId="8389"/>
    <cellStyle name="표준 9 6 5 3 3 2" xfId="8390"/>
    <cellStyle name="표준 10 6 5 3 3 2" xfId="8391"/>
    <cellStyle name="표준 7 13 5 3 3 2" xfId="8392"/>
    <cellStyle name="표준 8 7 5 3 3 2" xfId="8393"/>
    <cellStyle name="표준 9 7 5 3 3 2" xfId="8394"/>
    <cellStyle name="표준 10 7 5 3 3 2" xfId="8395"/>
    <cellStyle name="표준 7 14 5 3 3 2" xfId="8396"/>
    <cellStyle name="표준 8 8 5 3 3 2" xfId="8397"/>
    <cellStyle name="표준 9 8 5 3 3 2" xfId="8398"/>
    <cellStyle name="표준 10 8 5 3 3 2" xfId="8399"/>
    <cellStyle name="표준 7 18 2 3 3 2" xfId="8400"/>
    <cellStyle name="표준 8 12 2 3 3 2" xfId="8401"/>
    <cellStyle name="표준 9 12 2 3 3 2" xfId="8402"/>
    <cellStyle name="표준 10 12 2 3 3 2" xfId="8403"/>
    <cellStyle name="표준 7 2 5 2 3 3 2" xfId="8404"/>
    <cellStyle name="표준 8 2 4 2 3 3 2" xfId="8405"/>
    <cellStyle name="표준 9 2 4 2 3 3 2" xfId="8406"/>
    <cellStyle name="표준 10 2 4 2 3 3 2" xfId="8407"/>
    <cellStyle name="표준 7 10 4 2 3 3 2" xfId="8408"/>
    <cellStyle name="표준 8 4 4 2 3 3 2" xfId="8409"/>
    <cellStyle name="표준 9 4 4 2 3 3 2" xfId="8410"/>
    <cellStyle name="표준 10 4 4 2 3 3 2" xfId="8411"/>
    <cellStyle name="표준 7 11 4 2 3 3 2" xfId="8412"/>
    <cellStyle name="표준 8 5 4 2 3 3 2" xfId="8413"/>
    <cellStyle name="표준 9 5 4 2 3 3 2" xfId="8414"/>
    <cellStyle name="표준 10 5 4 2 3 3 2" xfId="8415"/>
    <cellStyle name="표준 21 4 3 3 3 2" xfId="8416"/>
    <cellStyle name="표준 7 12 4 2 3 3 2" xfId="8417"/>
    <cellStyle name="표준 8 6 4 2 3 3 2" xfId="8418"/>
    <cellStyle name="표준 9 6 4 2 3 3 2" xfId="8419"/>
    <cellStyle name="표준 10 6 4 2 3 3 2" xfId="8420"/>
    <cellStyle name="표준 7 13 4 2 3 3 2" xfId="8421"/>
    <cellStyle name="표준 8 7 4 2 3 3 2" xfId="8422"/>
    <cellStyle name="표준 9 7 4 2 3 3 2" xfId="8423"/>
    <cellStyle name="표준 10 7 4 2 3 3 2" xfId="8424"/>
    <cellStyle name="표준 7 14 4 2 3 3 2" xfId="8425"/>
    <cellStyle name="표준 8 8 4 2 3 3 2" xfId="8426"/>
    <cellStyle name="표준 9 8 4 2 3 3 2" xfId="8427"/>
    <cellStyle name="표준 10 8 4 2 3 3 2" xfId="8428"/>
    <cellStyle name="표준 7 16 2 3 3 2" xfId="8429"/>
    <cellStyle name="표준 8 10 2 3 3 2" xfId="8430"/>
    <cellStyle name="표준 9 10 2 3 3 2" xfId="8431"/>
    <cellStyle name="표준 10 10 2 3 3 2" xfId="8432"/>
    <cellStyle name="표준 7 15 3 2 3 3 2" xfId="8433"/>
    <cellStyle name="표준 8 9 3 2 3 3 2" xfId="8434"/>
    <cellStyle name="표준 9 9 3 2 3 3 2" xfId="8435"/>
    <cellStyle name="표준 10 9 3 2 3 3 2" xfId="8436"/>
    <cellStyle name="표준 7 2 3 2 3 3 2" xfId="8437"/>
    <cellStyle name="표준 8 2 2 2 3 3 2" xfId="8438"/>
    <cellStyle name="표준 9 2 2 2 3 3 2" xfId="8439"/>
    <cellStyle name="표준 10 2 2 2 3 3 2" xfId="8440"/>
    <cellStyle name="표준 7 10 2 2 3 3 2" xfId="8441"/>
    <cellStyle name="표준 8 4 2 2 3 3 2" xfId="8442"/>
    <cellStyle name="표준 9 4 2 2 3 3 2" xfId="8443"/>
    <cellStyle name="표준 10 4 2 2 3 3 2" xfId="8444"/>
    <cellStyle name="표준 7 11 2 2 3 3 2" xfId="8445"/>
    <cellStyle name="표준 8 5 2 2 3 3 2" xfId="8446"/>
    <cellStyle name="표준 9 5 2 2 3 3 2" xfId="8447"/>
    <cellStyle name="표준 10 5 2 2 3 3 2" xfId="8448"/>
    <cellStyle name="표준 21 2 3 3 3 2" xfId="8449"/>
    <cellStyle name="표준 7 12 2 2 3 3 2" xfId="8450"/>
    <cellStyle name="표준 8 6 2 2 3 3 2" xfId="8451"/>
    <cellStyle name="표준 9 6 2 2 3 3 2" xfId="8452"/>
    <cellStyle name="표준 10 6 2 2 3 3 2" xfId="8453"/>
    <cellStyle name="표준 7 13 2 2 3 3 2" xfId="8454"/>
    <cellStyle name="표준 8 7 2 2 3 3 2" xfId="8455"/>
    <cellStyle name="표준 9 7 2 2 3 3 2" xfId="8456"/>
    <cellStyle name="표준 10 7 2 2 3 3 2" xfId="8457"/>
    <cellStyle name="표준 7 14 2 2 3 3 2" xfId="8458"/>
    <cellStyle name="표준 8 8 2 2 3 3 2" xfId="8459"/>
    <cellStyle name="표준 9 8 2 2 3 3 2" xfId="8460"/>
    <cellStyle name="표준 10 8 2 2 3 3 2" xfId="8461"/>
    <cellStyle name="표준 7 17 2 3 3 2" xfId="8462"/>
    <cellStyle name="표준 8 11 2 3 3 2" xfId="8463"/>
    <cellStyle name="표준 9 11 2 3 3 2" xfId="8464"/>
    <cellStyle name="표준 10 11 2 3 3 2" xfId="8465"/>
    <cellStyle name="표준 7 15 2 2 3 3 2" xfId="8466"/>
    <cellStyle name="표준 8 9 2 2 3 3 2" xfId="8467"/>
    <cellStyle name="표준 9 9 2 2 3 3 2" xfId="8468"/>
    <cellStyle name="표준 10 9 2 2 3 3 2" xfId="8469"/>
    <cellStyle name="표준 7 2 4 2 3 3 2" xfId="8470"/>
    <cellStyle name="표준 8 2 3 2 3 3 2" xfId="8471"/>
    <cellStyle name="표준 9 2 3 2 3 3 2" xfId="8472"/>
    <cellStyle name="표준 10 2 3 2 3 3 2" xfId="8473"/>
    <cellStyle name="표준 7 10 3 2 3 3 2" xfId="8474"/>
    <cellStyle name="표준 8 4 3 2 3 3 2" xfId="8475"/>
    <cellStyle name="표준 9 4 3 2 3 3 2" xfId="8476"/>
    <cellStyle name="표준 10 4 3 2 3 3 2" xfId="8477"/>
    <cellStyle name="표준 7 11 3 2 3 3 2" xfId="8478"/>
    <cellStyle name="표준 8 5 3 2 3 3 2" xfId="8479"/>
    <cellStyle name="표준 9 5 3 2 3 3 2" xfId="8480"/>
    <cellStyle name="표준 10 5 3 2 3 3 2" xfId="8481"/>
    <cellStyle name="표준 21 3 3 3 3 2" xfId="8482"/>
    <cellStyle name="표준 7 12 3 2 3 3 2" xfId="8483"/>
    <cellStyle name="표준 8 6 3 2 3 3 2" xfId="8484"/>
    <cellStyle name="표준 9 6 3 2 3 3 2" xfId="8485"/>
    <cellStyle name="표준 10 6 3 2 3 3 2" xfId="8486"/>
    <cellStyle name="표준 7 13 3 2 3 3 2" xfId="8487"/>
    <cellStyle name="표준 8 7 3 2 3 3 2" xfId="8488"/>
    <cellStyle name="표준 9 7 3 2 3 3 2" xfId="8489"/>
    <cellStyle name="표준 10 7 3 2 3 3 2" xfId="8490"/>
    <cellStyle name="표준 7 14 3 2 3 3 2" xfId="8491"/>
    <cellStyle name="표준 8 8 3 2 3 3 2" xfId="8492"/>
    <cellStyle name="표준 9 8 3 2 3 3 2" xfId="8493"/>
    <cellStyle name="표준 10 8 3 2 3 3 2" xfId="8494"/>
    <cellStyle name="표준 22 3 3 3 2" xfId="8495"/>
    <cellStyle name="표준 7 21 2 3 2" xfId="8496"/>
    <cellStyle name="표준 8 15 2 3 2" xfId="8497"/>
    <cellStyle name="표준 9 15 2 3 2" xfId="8498"/>
    <cellStyle name="표준 10 15 2 3 2" xfId="8499"/>
    <cellStyle name="표준 7 15 5 2 3 2" xfId="8500"/>
    <cellStyle name="표준 8 9 5 2 3 2" xfId="8501"/>
    <cellStyle name="표준 9 9 5 2 3 2" xfId="8502"/>
    <cellStyle name="표준 10 9 5 2 3 2" xfId="8503"/>
    <cellStyle name="표준 7 2 7 2 3 2" xfId="8504"/>
    <cellStyle name="표준 8 2 6 2 3 2" xfId="8505"/>
    <cellStyle name="표준 9 2 6 2 3 2" xfId="8506"/>
    <cellStyle name="표준 10 2 6 2 3 2" xfId="8507"/>
    <cellStyle name="표준 7 10 6 2 3 2" xfId="8508"/>
    <cellStyle name="표준 8 4 6 2 3 2" xfId="8509"/>
    <cellStyle name="표준 9 4 6 2 3 2" xfId="8510"/>
    <cellStyle name="표준 10 4 6 2 3 2" xfId="8511"/>
    <cellStyle name="표준 7 11 6 2 3 2" xfId="8512"/>
    <cellStyle name="표준 8 5 6 2 3 2" xfId="8513"/>
    <cellStyle name="표준 9 5 6 2 3 2" xfId="8514"/>
    <cellStyle name="표준 10 5 6 2 3 2" xfId="8515"/>
    <cellStyle name="표준 21 41 2 3 2" xfId="8516"/>
    <cellStyle name="표준 7 12 6 2 3 2" xfId="8517"/>
    <cellStyle name="표준 8 6 6 2 3 2" xfId="8518"/>
    <cellStyle name="표준 9 6 6 2 3 2" xfId="8519"/>
    <cellStyle name="표준 10 6 6 2 3 2" xfId="8520"/>
    <cellStyle name="표준 7 13 6 2 3 2" xfId="8521"/>
    <cellStyle name="표준 8 7 6 2 3 2" xfId="8522"/>
    <cellStyle name="표준 9 7 6 2 3 2" xfId="8523"/>
    <cellStyle name="표준 10 7 6 2 3 2" xfId="8524"/>
    <cellStyle name="표준 7 14 6 2 3 2" xfId="8525"/>
    <cellStyle name="표준 8 8 6 2 3 2" xfId="8526"/>
    <cellStyle name="표준 9 8 6 2 3 2" xfId="8527"/>
    <cellStyle name="표준 10 8 6 2 3 2" xfId="8528"/>
    <cellStyle name="표준 7 18 3 2 3 2" xfId="8529"/>
    <cellStyle name="표준 8 12 3 2 3 2" xfId="8530"/>
    <cellStyle name="표준 9 12 3 2 3 2" xfId="8531"/>
    <cellStyle name="표준 10 12 3 2 3 2" xfId="8532"/>
    <cellStyle name="표준 7 2 5 3 2 3 2" xfId="8533"/>
    <cellStyle name="표준 8 2 4 3 2 3 2" xfId="8534"/>
    <cellStyle name="표준 9 2 4 3 2 3 2" xfId="8535"/>
    <cellStyle name="표준 10 2 4 3 2 3 2" xfId="8536"/>
    <cellStyle name="표준 7 10 4 3 2 3 2" xfId="8537"/>
    <cellStyle name="표준 8 4 4 3 2 3 2" xfId="8538"/>
    <cellStyle name="표준 9 4 4 3 2 3 2" xfId="8539"/>
    <cellStyle name="표준 10 4 4 3 2 3 2" xfId="8540"/>
    <cellStyle name="표준 7 11 4 3 2 3 2" xfId="8541"/>
    <cellStyle name="표준 8 5 4 3 2 3 2" xfId="8542"/>
    <cellStyle name="표준 9 5 4 3 2 3 2" xfId="8543"/>
    <cellStyle name="표준 10 5 4 3 2 3 2" xfId="8544"/>
    <cellStyle name="표준 21 4 4 2 3 2" xfId="8545"/>
    <cellStyle name="표준 7 12 4 3 2 3 2" xfId="8546"/>
    <cellStyle name="표준 8 6 4 3 2 3 2" xfId="8547"/>
    <cellStyle name="표준 9 6 4 3 2 3 2" xfId="8548"/>
    <cellStyle name="표준 10 6 4 3 2 3 2" xfId="8549"/>
    <cellStyle name="표준 7 13 4 3 2 3 2" xfId="8550"/>
    <cellStyle name="표준 8 7 4 3 2 3 2" xfId="8551"/>
    <cellStyle name="표준 9 7 4 3 2 3 2" xfId="8552"/>
    <cellStyle name="표준 10 7 4 3 2 3 2" xfId="8553"/>
    <cellStyle name="표준 7 14 4 3 2 3 2" xfId="8554"/>
    <cellStyle name="표준 8 8 4 3 2 3 2" xfId="8555"/>
    <cellStyle name="표준 9 8 4 3 2 3 2" xfId="8556"/>
    <cellStyle name="표준 10 8 4 3 2 3 2" xfId="8557"/>
    <cellStyle name="표준 7 16 3 2 3 2" xfId="8558"/>
    <cellStyle name="표준 8 10 3 2 3 2" xfId="8559"/>
    <cellStyle name="표준 9 10 3 2 3 2" xfId="8560"/>
    <cellStyle name="표준 10 10 3 2 3 2" xfId="8561"/>
    <cellStyle name="표준 7 15 3 3 2 3 2" xfId="8562"/>
    <cellStyle name="표준 8 9 3 3 2 3 2" xfId="8563"/>
    <cellStyle name="표준 9 9 3 3 2 3 2" xfId="8564"/>
    <cellStyle name="표준 10 9 3 3 2 3 2" xfId="8565"/>
    <cellStyle name="표준 7 2 3 3 2 3 2" xfId="8566"/>
    <cellStyle name="표준 8 2 2 3 2 3 2" xfId="8567"/>
    <cellStyle name="표준 9 2 2 3 2 3 2" xfId="8568"/>
    <cellStyle name="표준 10 2 2 3 2 3 2" xfId="8569"/>
    <cellStyle name="표준 7 10 2 3 2 3 2" xfId="8570"/>
    <cellStyle name="표준 8 4 2 3 2 3 2" xfId="8571"/>
    <cellStyle name="표준 9 4 2 3 2 3 2" xfId="8572"/>
    <cellStyle name="표준 10 4 2 3 2 3 2" xfId="8573"/>
    <cellStyle name="표준 7 11 2 3 2 3 2" xfId="8574"/>
    <cellStyle name="표준 8 5 2 3 2 3 2" xfId="8575"/>
    <cellStyle name="표준 9 5 2 3 2 3 2" xfId="8576"/>
    <cellStyle name="표준 10 5 2 3 2 3 2" xfId="8577"/>
    <cellStyle name="표준 21 2 4 2 3 2" xfId="8578"/>
    <cellStyle name="표준 7 12 2 3 2 3 2" xfId="8579"/>
    <cellStyle name="표준 8 6 2 3 2 3 2" xfId="8580"/>
    <cellStyle name="표준 9 6 2 3 2 3 2" xfId="8581"/>
    <cellStyle name="표준 10 6 2 3 2 3 2" xfId="8582"/>
    <cellStyle name="표준 7 13 2 3 2 3 2" xfId="8583"/>
    <cellStyle name="표준 8 7 2 3 2 3 2" xfId="8584"/>
    <cellStyle name="표준 9 7 2 3 2 3 2" xfId="8585"/>
    <cellStyle name="표준 10 7 2 3 2 3 2" xfId="8586"/>
    <cellStyle name="표준 7 14 2 3 2 3 2" xfId="8587"/>
    <cellStyle name="표준 8 8 2 3 2 3 2" xfId="8588"/>
    <cellStyle name="표준 9 8 2 3 2 3 2" xfId="8589"/>
    <cellStyle name="표준 10 8 2 3 2 3 2" xfId="8590"/>
    <cellStyle name="표준 7 17 3 2 3 2" xfId="8591"/>
    <cellStyle name="표준 8 11 3 2 3 2" xfId="8592"/>
    <cellStyle name="표준 9 11 3 2 3 2" xfId="8593"/>
    <cellStyle name="표준 10 11 3 2 3 2" xfId="8594"/>
    <cellStyle name="표준 7 15 2 3 2 3 2" xfId="8595"/>
    <cellStyle name="표준 8 9 2 3 2 3 2" xfId="8596"/>
    <cellStyle name="표준 9 9 2 3 2 3 2" xfId="8597"/>
    <cellStyle name="표준 10 9 2 3 2 3 2" xfId="8598"/>
    <cellStyle name="표준 7 2 4 3 2 3 2" xfId="8599"/>
    <cellStyle name="표준 8 2 3 3 2 3 2" xfId="8600"/>
    <cellStyle name="표준 9 2 3 3 2 3 2" xfId="8601"/>
    <cellStyle name="표준 10 2 3 3 2 3 2" xfId="8602"/>
    <cellStyle name="표준 7 10 3 3 2 3 2" xfId="8603"/>
    <cellStyle name="표준 8 4 3 3 2 3 2" xfId="8604"/>
    <cellStyle name="표준 9 4 3 3 2 3 2" xfId="8605"/>
    <cellStyle name="표준 10 4 3 3 2 3 2" xfId="8606"/>
    <cellStyle name="표준 7 11 3 3 2 3 2" xfId="8607"/>
    <cellStyle name="표준 8 5 3 3 2 3 2" xfId="8608"/>
    <cellStyle name="표준 9 5 3 3 2 3 2" xfId="8609"/>
    <cellStyle name="표준 10 5 3 3 2 3 2" xfId="8610"/>
    <cellStyle name="표준 21 3 4 2 3 2" xfId="8611"/>
    <cellStyle name="표준 7 12 3 3 2 3 2" xfId="8612"/>
    <cellStyle name="표준 8 6 3 3 2 3 2" xfId="8613"/>
    <cellStyle name="표준 9 6 3 3 2 3 2" xfId="8614"/>
    <cellStyle name="표준 10 6 3 3 2 3 2" xfId="8615"/>
    <cellStyle name="표준 7 13 3 3 2 3 2" xfId="8616"/>
    <cellStyle name="표준 8 7 3 3 2 3 2" xfId="8617"/>
    <cellStyle name="표준 9 7 3 3 2 3 2" xfId="8618"/>
    <cellStyle name="표준 10 7 3 3 2 3 2" xfId="8619"/>
    <cellStyle name="표준 7 14 3 3 2 3 2" xfId="8620"/>
    <cellStyle name="표준 8 8 3 3 2 3 2" xfId="8621"/>
    <cellStyle name="표준 9 8 3 3 2 3 2" xfId="8622"/>
    <cellStyle name="표준 10 8 3 3 2 3 2" xfId="8623"/>
    <cellStyle name="표준 22 4 2 3 2" xfId="8624"/>
    <cellStyle name="표준 10 10 2 2 2 3 2" xfId="8625"/>
    <cellStyle name="표준 10 11 2 2 2 3 2" xfId="8626"/>
    <cellStyle name="표준 10 12 2 2 2 3 2" xfId="8627"/>
    <cellStyle name="표준 10 14 2 2 3 2" xfId="8628"/>
    <cellStyle name="표준 10 2 2 2 2 2 3 2" xfId="8629"/>
    <cellStyle name="표준 10 2 3 2 2 2 3 2" xfId="8630"/>
    <cellStyle name="표준 10 2 4 2 2 2 3 2" xfId="8631"/>
    <cellStyle name="표준 10 2 5 2 2 3 2" xfId="8632"/>
    <cellStyle name="표준 10 4 2 2 2 2 3 2" xfId="8633"/>
    <cellStyle name="표준 10 4 3 2 2 2 3 2" xfId="8634"/>
    <cellStyle name="표준 10 4 4 2 2 2 3 2" xfId="8635"/>
    <cellStyle name="표준 10 4 5 2 2 3 2" xfId="8636"/>
    <cellStyle name="표준 10 5 2 2 2 2 3 2" xfId="8637"/>
    <cellStyle name="표준 10 5 3 2 2 2 3 2" xfId="8638"/>
    <cellStyle name="표준 10 5 4 2 2 2 3 2" xfId="8639"/>
    <cellStyle name="표준 10 5 5 2 2 3 2" xfId="8640"/>
    <cellStyle name="표준 10 6 2 2 2 2 3 2" xfId="8641"/>
    <cellStyle name="표준 10 6 3 2 2 2 3 2" xfId="8642"/>
    <cellStyle name="표준 10 6 4 2 2 2 3 2" xfId="8643"/>
    <cellStyle name="표준 10 6 5 2 2 3 2" xfId="8644"/>
    <cellStyle name="표준 10 7 2 2 2 2 3 2" xfId="8645"/>
    <cellStyle name="표준 10 7 3 2 2 2 3 2" xfId="8646"/>
    <cellStyle name="표준 10 7 4 2 2 2 3 2" xfId="8647"/>
    <cellStyle name="표준 10 7 5 2 2 3 2" xfId="8648"/>
    <cellStyle name="표준 10 8 2 2 2 2 3 2" xfId="8649"/>
    <cellStyle name="표준 10 8 3 2 2 2 3 2" xfId="8650"/>
    <cellStyle name="표준 10 8 4 2 2 2 3 2" xfId="8651"/>
    <cellStyle name="표준 10 8 5 2 2 3 2" xfId="8652"/>
    <cellStyle name="표준 10 9 2 2 2 2 3 2" xfId="8653"/>
    <cellStyle name="표준 10 9 3 2 2 2 3 2" xfId="8654"/>
    <cellStyle name="표준 10 9 4 2 2 3 2" xfId="8655"/>
    <cellStyle name="표준 21 2 3 2 2 3 2" xfId="8656"/>
    <cellStyle name="표준 21 3 3 2 2 3 2" xfId="8657"/>
    <cellStyle name="표준 21 4 3 2 2 3 2" xfId="8658"/>
    <cellStyle name="표준 21 40 2 2 3 2" xfId="8659"/>
    <cellStyle name="표준 22 3 2 2 3 2" xfId="8660"/>
    <cellStyle name="표준 24 40 3 2" xfId="8661"/>
    <cellStyle name="표준 25 24 3 2" xfId="8662"/>
    <cellStyle name="표준 7 10 2 2 2 2 3 2" xfId="8663"/>
    <cellStyle name="표준 7 10 3 2 2 2 3 2" xfId="8664"/>
    <cellStyle name="표준 7 10 4 2 2 2 3 2" xfId="8665"/>
    <cellStyle name="표준 7 10 5 2 2 3 2" xfId="8666"/>
    <cellStyle name="표준 7 11 2 2 2 2 3 2" xfId="8667"/>
    <cellStyle name="표준 7 11 3 2 2 2 3 2" xfId="8668"/>
    <cellStyle name="표준 7 11 4 2 2 2 3 2" xfId="8669"/>
    <cellStyle name="표준 7 11 5 2 2 3 2" xfId="8670"/>
    <cellStyle name="표준 7 12 2 2 2 2 3 2" xfId="8671"/>
    <cellStyle name="표준 7 12 3 2 2 2 3 2" xfId="8672"/>
    <cellStyle name="표준 7 12 4 2 2 2 3 2" xfId="8673"/>
    <cellStyle name="표준 7 12 5 2 2 3 2" xfId="8674"/>
    <cellStyle name="표준 7 13 2 2 2 2 3 2" xfId="8675"/>
    <cellStyle name="표준 7 13 3 2 2 2 3 2" xfId="8676"/>
    <cellStyle name="표준 7 13 4 2 2 2 3 2" xfId="8677"/>
    <cellStyle name="표준 7 13 5 2 2 3 2" xfId="8678"/>
    <cellStyle name="표준 7 14 2 2 2 2 3 2" xfId="8679"/>
    <cellStyle name="표준 7 14 3 2 2 2 3 2" xfId="8680"/>
    <cellStyle name="표준 7 14 4 2 2 2 3 2" xfId="8681"/>
    <cellStyle name="표준 7 14 5 2 2 3 2" xfId="8682"/>
    <cellStyle name="표준 7 15 2 2 2 2 3 2" xfId="8683"/>
    <cellStyle name="표준 7 15 3 2 2 2 3 2" xfId="8684"/>
    <cellStyle name="표준 7 15 4 2 2 3 2" xfId="8685"/>
    <cellStyle name="표준 7 16 2 2 2 3 2" xfId="8686"/>
    <cellStyle name="표준 7 17 2 2 2 3 2" xfId="8687"/>
    <cellStyle name="표준 7 18 2 2 2 3 2" xfId="8688"/>
    <cellStyle name="표준 7 2 3 2 2 2 3 2" xfId="8689"/>
    <cellStyle name="표준 7 2 4 2 2 2 3 2" xfId="8690"/>
    <cellStyle name="표준 7 2 5 2 2 2 3 2" xfId="8691"/>
    <cellStyle name="표준 7 2 6 2 2 3 2" xfId="8692"/>
    <cellStyle name="표준 7 20 2 2 3 2" xfId="8693"/>
    <cellStyle name="표준 8 10 2 2 2 3 2" xfId="8694"/>
    <cellStyle name="표준 8 11 2 2 2 3 2" xfId="8695"/>
    <cellStyle name="표준 8 12 2 2 2 3 2" xfId="8696"/>
    <cellStyle name="표준 8 14 2 2 3 2" xfId="8697"/>
    <cellStyle name="표준 8 2 2 2 2 2 3 2" xfId="8698"/>
    <cellStyle name="표준 8 2 3 2 2 2 3 2" xfId="8699"/>
    <cellStyle name="표준 8 2 4 2 2 2 3 2" xfId="8700"/>
    <cellStyle name="표준 8 2 5 2 2 3 2" xfId="8701"/>
    <cellStyle name="표준 8 4 2 2 2 2 3 2" xfId="8702"/>
    <cellStyle name="표준 8 4 3 2 2 2 3 2" xfId="8703"/>
    <cellStyle name="표준 8 4 4 2 2 2 3 2" xfId="8704"/>
    <cellStyle name="표준 8 4 5 2 2 3 2" xfId="8705"/>
    <cellStyle name="표준 8 5 2 2 2 2 3 2" xfId="8706"/>
    <cellStyle name="표준 8 5 3 2 2 2 3 2" xfId="8707"/>
    <cellStyle name="표준 8 5 4 2 2 2 3 2" xfId="8708"/>
    <cellStyle name="표준 8 5 5 2 2 3 2" xfId="8709"/>
    <cellStyle name="표준 8 6 2 2 2 2 3 2" xfId="8710"/>
    <cellStyle name="표준 8 6 3 2 2 2 3 2" xfId="8711"/>
    <cellStyle name="표준 8 6 4 2 2 2 3 2" xfId="8712"/>
    <cellStyle name="표준 8 6 5 2 2 3 2" xfId="8713"/>
    <cellStyle name="표준 8 7 2 2 2 2 3 2" xfId="8714"/>
    <cellStyle name="표준 8 7 3 2 2 2 3 2" xfId="8715"/>
    <cellStyle name="표준 8 7 4 2 2 2 3 2" xfId="8716"/>
    <cellStyle name="표준 8 7 5 2 2 3 2" xfId="8717"/>
    <cellStyle name="표준 8 8 2 2 2 2 3 2" xfId="8718"/>
    <cellStyle name="표준 8 8 3 2 2 2 3 2" xfId="8719"/>
    <cellStyle name="표준 8 8 4 2 2 2 3 2" xfId="8720"/>
    <cellStyle name="표준 8 8 5 2 2 3 2" xfId="8721"/>
    <cellStyle name="표준 8 9 2 2 2 2 3 2" xfId="8722"/>
    <cellStyle name="표준 8 9 3 2 2 2 3 2" xfId="8723"/>
    <cellStyle name="표준 8 9 4 2 2 3 2" xfId="8724"/>
    <cellStyle name="표준 9 10 2 2 2 3 2" xfId="8725"/>
    <cellStyle name="표준 9 11 2 2 2 3 2" xfId="8726"/>
    <cellStyle name="표준 9 12 2 2 2 3 2" xfId="8727"/>
    <cellStyle name="표준 9 14 2 2 3 2" xfId="8728"/>
    <cellStyle name="표준 9 2 2 2 2 2 3 2" xfId="8729"/>
    <cellStyle name="표준 9 2 3 2 2 2 3 2" xfId="8730"/>
    <cellStyle name="표준 9 2 4 2 2 2 3 2" xfId="8731"/>
    <cellStyle name="표준 9 2 5 2 2 3 2" xfId="8732"/>
    <cellStyle name="표준 9 4 2 2 2 2 3 2" xfId="8733"/>
    <cellStyle name="표준 9 4 3 2 2 2 3 2" xfId="8734"/>
    <cellStyle name="표준 9 4 4 2 2 2 3 2" xfId="8735"/>
    <cellStyle name="표준 9 4 5 2 2 3 2" xfId="8736"/>
    <cellStyle name="표준 9 5 2 2 2 2 3 2" xfId="8737"/>
    <cellStyle name="표준 9 5 3 2 2 2 3 2" xfId="8738"/>
    <cellStyle name="표준 9 5 4 2 2 2 3 2" xfId="8739"/>
    <cellStyle name="표준 9 5 5 2 2 3 2" xfId="8740"/>
    <cellStyle name="표준 9 6 2 2 2 2 3 2" xfId="8741"/>
    <cellStyle name="표준 9 6 3 2 2 2 3 2" xfId="8742"/>
    <cellStyle name="표준 9 6 4 2 2 2 3 2" xfId="8743"/>
    <cellStyle name="표준 9 6 5 2 2 3 2" xfId="8744"/>
    <cellStyle name="표준 9 7 2 2 2 2 3 2" xfId="8745"/>
    <cellStyle name="표준 9 7 3 2 2 2 3 2" xfId="8746"/>
    <cellStyle name="표준 9 7 4 2 2 2 3 2" xfId="8747"/>
    <cellStyle name="표준 9 7 5 2 2 3 2" xfId="8748"/>
    <cellStyle name="표준 9 8 2 2 2 2 3 2" xfId="8749"/>
    <cellStyle name="표준 9 8 3 2 2 2 3 2" xfId="8750"/>
    <cellStyle name="표준 9 8 4 2 2 2 3 2" xfId="8751"/>
    <cellStyle name="표준 9 8 5 2 2 3 2" xfId="8752"/>
    <cellStyle name="표준 9 9 2 2 2 2 3 2" xfId="8753"/>
    <cellStyle name="표준 9 9 3 2 2 2 3 2" xfId="8754"/>
    <cellStyle name="표준 9 9 4 2 2 3 2" xfId="8755"/>
    <cellStyle name="표준 287 2" xfId="8756"/>
    <cellStyle name="표준 31 42" xfId="8757"/>
    <cellStyle name="표준 31 41" xfId="8758"/>
    <cellStyle name="표준 41 5" xfId="8759"/>
    <cellStyle name="표준_롯데홈쇼핑_정보자산목록_v0.1" xfId="8760"/>
    <cellStyle name="표준 98" xfId="8761"/>
    <cellStyle name="표준 10 2 13" xfId="8762"/>
    <cellStyle name="표준 568" xfId="8763"/>
  </cellStyles>
  <dxfs count="20">
    <dxf>
      <font>
        <b val="1"/>
        <color rgb="FFFF0000"/>
      </font>
      <fill>
        <patternFill>
          <bgColor rgb="FFF2DCDB"/>
        </patternFill>
      </fill>
    </dxf>
    <dxf>
      <font>
        <b val="1"/>
        <color rgb="FFBFBFBF"/>
      </font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1"/>
      </font>
      <fill>
        <patternFill>
          <bgColor theme="6"/>
        </patternFill>
      </fill>
    </dxf>
    <dxf>
      <font>
        <b val="1"/>
        <color rgb="FFFF0000"/>
      </font>
      <fill>
        <patternFill>
          <bgColor theme="5" tint="0.7999816888943144"/>
        </patternFill>
      </fill>
    </dxf>
    <dxf>
      <font>
        <color theme="0" tint="-0.249946592608417"/>
      </font>
    </dxf>
    <dxf>
      <font>
        <b val="1"/>
        <color rgb="FFFF0000"/>
      </font>
      <fill>
        <patternFill>
          <bgColor rgb="FFF2DCDB"/>
        </patternFill>
      </fill>
    </dxf>
    <dxf>
      <font>
        <b val="1"/>
        <color rgb="FFBFBFBF"/>
      </font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1"/>
      </font>
      <fill>
        <patternFill>
          <bgColor theme="6"/>
        </patternFill>
      </fill>
    </dxf>
    <dxf>
      <font>
        <b val="1"/>
        <color rgb="FFFF0000"/>
      </font>
      <fill>
        <patternFill>
          <bgColor theme="5" tint="0.7999816888943144"/>
        </patternFill>
      </fill>
    </dxf>
    <dxf>
      <font>
        <color theme="0" tint="-0.249946592608417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FF0000"/>
      </font>
      <fill>
        <patternFill>
          <bgColor theme="5" tint="0.7999816888943144"/>
        </patternFill>
      </fill>
    </dxf>
    <dxf>
      <font>
        <color theme="0" tint="-0.249946592608417"/>
      </font>
    </dxf>
    <dxf>
      <font>
        <b val="1"/>
        <color theme="0" tint="-0.249946592608417"/>
      </font>
    </dxf>
    <dxf>
      <font>
        <name val="맑은 고딕"/>
        <b val="1"/>
        <color theme="5" tint="-0.499984740745262"/>
      </font>
      <fill>
        <patternFill>
          <bgColor theme="5" tint="0.7999816888943144"/>
        </patternFill>
      </fill>
    </dxf>
    <dxf>
      <font>
        <b val="1"/>
        <color rgb="FFFF0000"/>
      </font>
      <fill>
        <patternFill>
          <bgColor theme="5" tint="0.7999816888943144"/>
        </patternFill>
      </fill>
    </dxf>
    <dxf>
      <font>
        <color theme="0" tint="-0.249946592608417"/>
      </font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externalLink" Target="/xl/externalLinks/externalLink1.xml" Id="rId12" /><Relationship Type="http://schemas.openxmlformats.org/officeDocument/2006/relationships/externalLink" Target="/xl/externalLinks/externalLink2.xml" Id="rId13" /><Relationship Type="http://schemas.openxmlformats.org/officeDocument/2006/relationships/externalLink" Target="/xl/externalLinks/externalLink3.xml" Id="rId14" /><Relationship Type="http://schemas.openxmlformats.org/officeDocument/2006/relationships/externalLink" Target="/xl/externalLinks/externalLink4.xml" Id="rId15" /><Relationship Type="http://schemas.openxmlformats.org/officeDocument/2006/relationships/externalLink" Target="/xl/externalLinks/externalLink5.xml" Id="rId16" /><Relationship Type="http://schemas.openxmlformats.org/officeDocument/2006/relationships/externalLink" Target="/xl/externalLinks/externalLink6.xml" Id="rId17" /><Relationship Type="http://schemas.openxmlformats.org/officeDocument/2006/relationships/externalLink" Target="/xl/externalLinks/externalLink7.xml" Id="rId18" /><Relationship Type="http://schemas.openxmlformats.org/officeDocument/2006/relationships/styles" Target="styles.xml" Id="rId19" /><Relationship Type="http://schemas.openxmlformats.org/officeDocument/2006/relationships/theme" Target="theme/theme1.xml" Id="rId20" /><Relationship Type="http://schemas.microsoft.com/office/2006/relationships/vbaProject" Target="vbaProject.bin" Id="rId21" /></Relationships>
</file>

<file path=xl/charts/chart1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2290494461006029"/>
          <y val="0.1543407105029169"/>
          <w val="0.5637779519689305"/>
          <h val="0.7654525245178072"/>
        </manualLayout>
      </layout>
      <radarChart>
        <radarStyle val="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dLbls>
            <dLbl>
              <idx val="0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1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2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3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4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spPr>
              <a:noFill/>
              <a:ln w="25400">
                <a:noFill/>
                <a:prstDash val="solid"/>
              </a:ln>
            </sp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'보안수준 통계'!$B$6:$B$10</f>
              <strCache>
                <ptCount val="5"/>
                <pt idx="0">
                  <v>계정 관리</v>
                </pt>
                <pt idx="1">
                  <v>파일 및 디렉터리 관리</v>
                </pt>
                <pt idx="2">
                  <v>서비스 관리</v>
                </pt>
                <pt idx="3">
                  <v>패치 관리</v>
                </pt>
                <pt idx="4">
                  <v>로그 관리</v>
                </pt>
              </strCache>
            </strRef>
          </cat>
          <val>
            <numLit>
              <formatCode>General</formatCode>
              <ptCount val="5"/>
            </numLit>
          </val>
        </ser>
        <ser>
          <idx val="1"/>
          <order val="1"/>
          <spPr>
            <a:ln>
              <a:solidFill>
                <a:schemeClr val="tx2">
                  <a:lumMod val="75000"/>
                </a:schemeClr>
              </a:solidFill>
              <a:prstDash val="solid"/>
            </a:ln>
          </spPr>
          <marker>
            <symbol val="circle"/>
            <size val="7"/>
            <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  <a:prstDash val="solid"/>
              </a:ln>
            </spPr>
          </marker>
          <dLbls>
            <dLbl>
              <idx val="0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1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2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3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4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numFmt formatCode="0%"/>
            <spPr>
              <a:noFill/>
              <a:ln w="25400">
                <a:noFill/>
                <a:prstDash val="solid"/>
              </a:ln>
            </spPr>
            <txPr>
              <a:bodyPr/>
              <a:lstStyle/>
              <a:p>
                <a:pPr>
                  <a:defRPr sz="1100" b="0"/>
                </a:pPr>
                <a:r>
                  <a:t/>
                </a:r>
                <a:endParaRPr lang="ko-KR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'보안수준 통계'!$B$6:$B$10</f>
              <strCache>
                <ptCount val="5"/>
                <pt idx="0">
                  <v>계정 관리</v>
                </pt>
                <pt idx="1">
                  <v>파일 및 디렉터리 관리</v>
                </pt>
                <pt idx="2">
                  <v>서비스 관리</v>
                </pt>
                <pt idx="3">
                  <v>패치 관리</v>
                </pt>
                <pt idx="4">
                  <v>로그 관리</v>
                </pt>
              </strCache>
            </strRef>
          </cat>
          <val>
            <numRef>
              <f>'보안수준 통계'!$I$6:$I$10</f>
              <numCache>
                <formatCode>0%</formatCode>
                <ptCount val="5"/>
                <pt idx="0">
                  <v>0.6785714285714286</v>
                </pt>
                <pt idx="1">
                  <v>1</v>
                </pt>
                <pt idx="2">
                  <v>1</v>
                </pt>
                <pt idx="3">
                  <v>1</v>
                </pt>
                <pt idx="4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419419872"/>
        <axId val="419481552"/>
      </radarChart>
      <catAx>
        <axId val="419419872"/>
        <scaling>
          <orientation val="minMax"/>
        </scaling>
        <delete val="0"/>
        <axPos val="b"/>
        <majorGridlines/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800" b="0"/>
            </a:pPr>
            <a:r>
              <a:t/>
            </a:r>
            <a:endParaRPr lang="ko-KR"/>
          </a:p>
        </txPr>
        <crossAx val="419481552"/>
        <crosses val="autoZero"/>
        <auto val="0"/>
        <lblAlgn val="ctr"/>
        <lblOffset val="100"/>
        <noMultiLvlLbl val="0"/>
      </catAx>
      <valAx>
        <axId val="419481552"/>
        <scaling>
          <orientation val="minMax"/>
          <max val="1"/>
          <min val="0"/>
        </scaling>
        <delete val="0"/>
        <axPos val="l"/>
        <majorGridlines/>
        <minorGridlines/>
        <numFmt formatCode="0%" sourceLinked="0"/>
        <majorTickMark val="none"/>
        <minorTickMark val="none"/>
        <tickLblPos val="nextTo"/>
        <crossAx val="419419872"/>
        <crosses val="autoZero"/>
        <crossBetween val="between"/>
        <majorUnit val="0.2"/>
        <minorUnit val="0.2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7734741659316877"/>
          <y val="0.09205064949635501"/>
          <w val="0.8758689576758371"/>
          <h val="0.7764806621213313"/>
        </manualLayout>
      </layout>
      <barChart>
        <barDir val="col"/>
        <grouping val="stacked"/>
        <varyColors val="0"/>
        <ser>
          <idx val="0"/>
          <order val="0"/>
          <spPr>
            <a:ln>
              <a:prstDash val="solid"/>
            </a:ln>
          </spPr>
          <invertIfNegative val="0"/>
          <cat>
            <strRef>
              <f>'보안수준 통계'!$B$6:$B$10</f>
              <strCache>
                <ptCount val="5"/>
                <pt idx="0">
                  <v>계정 관리</v>
                </pt>
                <pt idx="1">
                  <v>파일 및 디렉터리 관리</v>
                </pt>
                <pt idx="2">
                  <v>서비스 관리</v>
                </pt>
                <pt idx="3">
                  <v>패치 관리</v>
                </pt>
                <pt idx="4">
                  <v>로그 관리</v>
                </pt>
              </strCache>
            </strRef>
          </cat>
          <val>
            <numLit>
              <formatCode>General</formatCode>
              <ptCount val="5"/>
            </numLit>
          </val>
        </ser>
        <ser>
          <idx val="1"/>
          <order val="1"/>
          <spPr>
            <a:solidFill>
              <a:srgbClr val="FFCC00"/>
            </a:solidFill>
            <a:ln>
              <a:solidFill>
                <a:srgbClr val="FFCC00"/>
              </a:solidFill>
              <a:prstDash val="solid"/>
            </a:ln>
          </spPr>
          <invertIfNegative val="0"/>
          <dLbls>
            <numFmt formatCode="0%"/>
            <spPr>
              <a:noFill/>
              <a:ln w="25400">
                <a:noFill/>
                <a:prstDash val="solid"/>
              </a:ln>
            </spPr>
            <txPr>
              <a:bodyPr/>
              <a:lstStyle/>
              <a:p>
                <a:pPr>
                  <a:defRPr sz="1100" b="1"/>
                </a:pPr>
                <a:r>
                  <a:t/>
                </a:r>
                <a:endParaRPr lang="ko-KR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'보안수준 통계'!$B$6:$B$10</f>
              <strCache>
                <ptCount val="5"/>
                <pt idx="0">
                  <v>계정 관리</v>
                </pt>
                <pt idx="1">
                  <v>파일 및 디렉터리 관리</v>
                </pt>
                <pt idx="2">
                  <v>서비스 관리</v>
                </pt>
                <pt idx="3">
                  <v>패치 관리</v>
                </pt>
                <pt idx="4">
                  <v>로그 관리</v>
                </pt>
              </strCache>
            </strRef>
          </cat>
          <val>
            <numRef>
              <f>'보안수준 통계'!$I$6:$I$10</f>
              <numCache>
                <formatCode>0%</formatCode>
                <ptCount val="5"/>
                <pt idx="0">
                  <v>0.6785714285714286</v>
                </pt>
                <pt idx="1">
                  <v>1</v>
                </pt>
                <pt idx="2">
                  <v>1</v>
                </pt>
                <pt idx="3">
                  <v>1</v>
                </pt>
                <pt idx="4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419557520"/>
        <axId val="419557904"/>
      </barChart>
      <catAx>
        <axId val="419557520"/>
        <scaling>
          <orientation val="minMax"/>
        </scaling>
        <delete val="0"/>
        <axPos val="b"/>
        <numFmt formatCode="General" sourceLinked="0"/>
        <majorTickMark val="none"/>
        <minorTickMark val="none"/>
        <tickLblPos val="nextTo"/>
        <txPr>
          <a:bodyPr/>
          <a:lstStyle/>
          <a:p>
            <a:pPr>
              <a:defRPr b="0"/>
            </a:pPr>
            <a:r>
              <a:t/>
            </a:r>
            <a:endParaRPr lang="ko-KR"/>
          </a:p>
        </txPr>
        <crossAx val="419557904"/>
        <crosses val="autoZero"/>
        <auto val="0"/>
        <lblAlgn val="ctr"/>
        <lblOffset val="100"/>
        <noMultiLvlLbl val="0"/>
      </catAx>
      <valAx>
        <axId val="419557904"/>
        <scaling>
          <orientation val="minMax"/>
          <max val="1"/>
          <min val="0"/>
        </scaling>
        <delete val="0"/>
        <axPos val="l"/>
        <majorGridlines/>
        <numFmt formatCode="0%" sourceLinked="0"/>
        <majorTickMark val="none"/>
        <minorTickMark val="none"/>
        <tickLblPos val="nextTo"/>
        <txPr>
          <a:bodyPr/>
          <a:lstStyle/>
          <a:p>
            <a:pPr>
              <a:defRPr b="0"/>
            </a:pPr>
            <a:r>
              <a:t/>
            </a:r>
            <a:endParaRPr lang="ko-KR"/>
          </a:p>
        </txPr>
        <crossAx val="419557520"/>
        <crosses val="autoZero"/>
        <crossBetween val="between"/>
        <majorUnit val="0.2"/>
        <minorUnit val="0.1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7734741659316877"/>
          <y val="0.09205064949635501"/>
          <w val="0.8758689576758371"/>
          <h val="0.7764806621213313"/>
        </manualLayout>
      </layout>
      <barChart>
        <barDir val="col"/>
        <grouping val="clustered"/>
        <varyColors val="0"/>
        <ser>
          <idx val="0"/>
          <order val="0"/>
          <spPr>
            <a:solidFill>
              <a:srgbClr val="FFCC00"/>
            </a:solidFill>
            <a:ln>
              <a:prstDash val="solid"/>
            </a:ln>
          </spPr>
          <invertIfNegative val="0"/>
          <dLbls>
            <dLbl>
              <idx val="0"/>
              <spPr>
                <a:noFill/>
                <a:ln>
                  <a:noFill/>
                  <a:prstDash val="solid"/>
                </a:ln>
              </spPr>
              <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b="1"/>
                  </a:pPr>
                  <a:r>
                    <a:t/>
                  </a:r>
                  <a:endParaRPr lang="ko-KR"/>
                </a:p>
              </txPr>
              <dLblPos val="outEnd"/>
              <showLegendKey val="0"/>
              <showVal val="1"/>
              <showCatName val="0"/>
              <showSerName val="0"/>
              <showPercent val="0"/>
              <showBubbleSize val="0"/>
            </dLbl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r>
                  <a:t/>
                </a:r>
                <a:endParaRPr lang="ko-KR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'요약 통계'!$B$2</f>
              <strCache>
                <ptCount val="1"/>
                <pt idx="0">
                  <v>◎ 요약 통계</v>
                </pt>
              </strCache>
            </strRef>
          </cat>
          <val>
            <numRef>
              <f>'보안수준 통계'!$I$11</f>
              <numCache>
                <formatCode>0%</formatCode>
                <ptCount val="1"/>
                <pt idx="0">
                  <v>0.9454545454545454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axId val="419571696"/>
        <axId val="419517832"/>
      </barChart>
      <catAx>
        <axId val="419571696"/>
        <scaling>
          <orientation val="minMax"/>
        </scaling>
        <delete val="0"/>
        <axPos val="b"/>
        <numFmt formatCode="General" sourceLinked="0"/>
        <majorTickMark val="none"/>
        <minorTickMark val="none"/>
        <tickLblPos val="nextTo"/>
        <spPr>
          <a:ln>
            <a:noFill/>
            <a:prstDash val="solid"/>
          </a:ln>
        </spPr>
        <txPr>
          <a:bodyPr/>
          <a:lstStyle/>
          <a:p>
            <a:pPr>
              <a:defRPr sz="800" b="0"/>
            </a:pPr>
            <a:r>
              <a:t/>
            </a:r>
            <a:endParaRPr lang="ko-KR"/>
          </a:p>
        </txPr>
        <crossAx val="419517832"/>
        <crosses val="autoZero"/>
        <auto val="0"/>
        <lblAlgn val="ctr"/>
        <lblOffset val="100"/>
        <noMultiLvlLbl val="0"/>
      </catAx>
      <valAx>
        <axId val="419517832"/>
        <scaling>
          <orientation val="minMax"/>
          <max val="1"/>
          <min val="0"/>
        </scaling>
        <delete val="0"/>
        <axPos val="l"/>
        <majorGridlines>
          <spPr>
            <a:ln>
              <a:solidFill>
                <a:schemeClr val="accent1">
                  <a:alpha val="50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spPr>
          <a:ln>
            <a:noFill/>
            <a:prstDash val="solid"/>
          </a:ln>
        </spPr>
        <txPr>
          <a:bodyPr/>
          <a:lstStyle/>
          <a:p>
            <a:pPr>
              <a:defRPr b="0"/>
            </a:pPr>
            <a:r>
              <a:t/>
            </a:r>
            <a:endParaRPr lang="ko-KR"/>
          </a:p>
        </txPr>
        <crossAx val="419571696"/>
        <crosses val="autoZero"/>
        <crossBetween val="between"/>
        <majorUnit val="0.2"/>
        <minorUnit val="0.1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layout>
        <manualLayout>
          <xMode val="edge"/>
          <yMode val="edge"/>
          <wMode val="factor"/>
          <hMode val="factor"/>
          <x val="0.3808941294996454"/>
          <y val="0.0348865317842858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'보안수준 통계'!$B$36:$K$36</f>
              <strCache>
                <ptCount val="10"/>
                <pt idx="0">
                  <v>◎ 위험도 통계 그래프</v>
                </pt>
              </strCache>
            </strRef>
          </tx>
          <spPr>
            <a:solidFill>
              <a:srgbClr val="FFCC00"/>
            </a:solidFill>
            <a:ln>
              <a:noFill/>
              <a:prstDash val="solid"/>
            </a:ln>
          </spPr>
          <invertIfNegative val="0"/>
          <dLbls>
            <delete val="1"/>
          </dLbls>
          <cat>
            <numRef>
              <f>'보안수준 통계'!$D$30:$J$30</f>
              <numCache>
                <formatCode>General</formatCode>
                <ptCount val="7"/>
                <pt idx="0">
                  <v>3</v>
                </pt>
                <pt idx="1">
                  <v>4</v>
                </pt>
                <pt idx="2">
                  <v>5</v>
                </pt>
                <pt idx="3">
                  <v>6</v>
                </pt>
                <pt idx="4">
                  <v>7</v>
                </pt>
                <pt idx="5">
                  <v>8</v>
                </pt>
                <pt idx="6">
                  <v>9</v>
                </pt>
              </numCache>
            </numRef>
          </cat>
          <val>
            <numRef>
              <f>'보안수준 통계'!$D$33:$J$33</f>
              <numCache>
                <formatCode>0%</formatCode>
                <ptCount val="7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1</v>
                </pt>
              </numCache>
            </numRef>
          </val>
        </ser>
        <dLbls>
          <dLblPos val="ctr"/>
          <showLegendKey val="0"/>
          <showVal val="1"/>
          <showCatName val="0"/>
          <showSerName val="0"/>
          <showPercent val="0"/>
          <showBubbleSize val="0"/>
        </dLbls>
        <gapWidth val="40"/>
        <overlap val="-27"/>
        <axId val="424200592"/>
        <axId val="424246248"/>
      </barChart>
      <catAx>
        <axId val="42420059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424246248"/>
        <crosses val="autoZero"/>
        <auto val="1"/>
        <lblAlgn val="ctr"/>
        <lblOffset val="100"/>
        <noMultiLvlLbl val="0"/>
      </catAx>
      <valAx>
        <axId val="424246248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/>
          <a:ln>
            <a:solidFill>
              <a:schemeClr val="accent1"/>
            </a:solidFill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424200592"/>
        <crosses val="autoZero"/>
        <crossBetween val="between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1</colOff>
      <row>13</row>
      <rowOff>76200</rowOff>
    </from>
    <to>
      <col>4</col>
      <colOff>351183</colOff>
      <row>24</row>
      <rowOff>57150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4</col>
      <colOff>437322</colOff>
      <row>13</row>
      <rowOff>79674</rowOff>
    </from>
    <to>
      <col>10</col>
      <colOff>642730</colOff>
      <row>24</row>
      <rowOff>57509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9</col>
      <colOff>13216</colOff>
      <row>3</row>
      <rowOff>198345</rowOff>
    </from>
    <to>
      <col>10</col>
      <colOff>661358</colOff>
      <row>11</row>
      <rowOff>6627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199030</colOff>
      <row>35</row>
      <rowOff>185036</rowOff>
    </from>
    <to>
      <col>10</col>
      <colOff>640056</colOff>
      <row>46</row>
      <rowOff>150495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192.168.1.104\&#54028;&#51068;&#49436;&#48260;\mySingle\Temp\&#44204;&#51201;Template%20V2.2(&#51228;&#50504;)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10.144.17.50\pims_isms$\04.%20&#51089;&#50629;\2010\&#51204;&#51088;&#51221;&#48512;&#51221;&#48372;&#48372;&#54840;&#44288;&#47532;&#52404;&#44228;&#44396;&#52629;&#52968;&#49444;&#54021;\3&#52264;&#49688;_&#50668;&#49688;&#49884;&#52397;\99.%20&#44592;&#53440;\&#44256;&#44061;%20&#51228;&#44277;&#51088;&#47308;\My%20Documents\&#44305;&#51452;%20&#51228;2&#53685;&#54633;&#51204;&#49328;&#49468;&#53552;\999.%20&#54532;&#47196;&#51229;&#53944;%20&#44277;&#50976;\mySingle\Temp\&#51221;&#48372;&#49688;&#51665;&#49436;_v2.3.xls" TargetMode="External" Id="rId1" 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file:///G:\6.%20PIA\SKT@2007\&#44256;&#44061;&#51221;&#48372;&#50689;&#54693;&#54217;&#44032;&#51216;&#44160;&#54364;v3.5_10_&#54596;&#53552;&#47553;v4.3_1217(&#52572;&#51333;).xls" TargetMode="External" Id="rId1" 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M:\nexPam\99.&#51089;&#50629;&#51473;\06.&#45936;&#51060;&#53552;&#51060;&#54665;\04.&#45936;&#51060;&#53552;&#51060;&#54665;_&#51077;&#47141;\&#44592;&#44288;&#51204;&#52404;_&#45936;&#51060;&#53552;v3.3.xls" TargetMode="External" Id="rId1" /></Relationships>
</file>

<file path=xl/externalLinks/_rels/externalLink5.xml.rels><Relationships xmlns="http://schemas.openxmlformats.org/package/2006/relationships"><Relationship Type="http://schemas.openxmlformats.org/officeDocument/2006/relationships/externalLinkPath" Target="file:///G:\SKT-&#44256;&#44061;&#51221;&#48372;&#50689;&#54693;&#54217;&#44032;\&#51089;&#50629;&#51473;\&#44256;&#44061;&#51221;&#48372;%20&#50689;&#54693;&#54217;&#44032;%20&#51216;&#44160;&#54364;-&#51089;&#50629;&#51473;.xls" TargetMode="External" Id="rId1" /></Relationships>
</file>

<file path=xl/externalLinks/_rels/externalLink6.xml.rels><Relationships xmlns="http://schemas.openxmlformats.org/package/2006/relationships"><Relationship Type="http://schemas.openxmlformats.org/officeDocument/2006/relationships/externalLinkPath" Target="https://d.docs.live.net/pims$/200.%20&#54788;&#54889;%20&#48143;%20&#50948;&#54744;&#48516;&#49437;/220.%20&#50948;&#54744;&#54217;&#44032;/223.%20&#50948;&#54744;&#51312;&#52824;&#44228;&#54925;%20&#49688;&#47549;/SKE&amp;S_'OC&#49324;&#47749;'_PIMS_&#50948;&#54744;&#51312;&#52824;&#44228;&#54925;&#49436;(&#49345;&#49464;)_v0.8a_&#53596;&#54540;&#47551;.xlsx" TargetMode="External" Id="rId1" /></Relationships>
</file>

<file path=xl/externalLinks/_rels/externalLink7.xml.rels><Relationships xmlns="http://schemas.openxmlformats.org/package/2006/relationships"><Relationship Type="http://schemas.openxmlformats.org/officeDocument/2006/relationships/externalLinkPath" Target="file:///H:\&#44060;&#48156;&#49468;&#53552;_staff\2007&#45380;_&#51204;&#47029;&#44060;&#48156;&#45812;&#45817;_&#50629;&#47924;&#51088;&#47308;\03.&#51204;&#47029;&#44060;&#48156;&#45812;&#45817;_&#50629;&#47924;&#48372;&#44256;\03.1.&#51204;&#47029;&#44060;&#48156;&#45812;&#45817;_&#50629;&#47924;&#48372;&#44256;_&#51452;&#44036;&#48372;&#44256;\2008&#45380;\3&#50900;2&#51452;&#52264;\&#54924;&#51032;&#50504;&#44148;\&#52280;&#51312;\&#54532;&#47196;&#51229;&#53944;%20&#54788;&#54889;&#54032;(V1.5_20070705)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코드"/>
      <sheetName val="1.기본정보"/>
      <sheetName val="2.규모측정(간이법)"/>
      <sheetName val="3.복잡도"/>
      <sheetName val="4.규모측정(정규법)"/>
      <sheetName val="5.규모측정종합"/>
      <sheetName val="6.생산성보정요인"/>
      <sheetName val="Sheet4"/>
    </sheetNames>
    <sheetDataSet>
      <sheetData sheetId="0">
        <row r="2">
          <cell r="A2" t="str">
            <v>수의계약</v>
          </cell>
          <cell r="B2" t="str">
            <v>종합낙찰제</v>
          </cell>
          <cell r="C2" t="str">
            <v>신규개발</v>
          </cell>
          <cell r="D2" t="str">
            <v>공공</v>
          </cell>
          <cell r="E2" t="str">
            <v>관공서</v>
          </cell>
          <cell r="F2" t="str">
            <v>사업계획</v>
          </cell>
          <cell r="G2" t="str">
            <v>Y</v>
          </cell>
          <cell r="H2" t="str">
            <v>단독입찰</v>
          </cell>
          <cell r="J2" t="str">
            <v>공공</v>
          </cell>
          <cell r="K2" t="str">
            <v>SW개발</v>
          </cell>
        </row>
        <row r="3">
          <cell r="A3" t="str">
            <v>2단계 동시</v>
          </cell>
          <cell r="B3" t="str">
            <v>최저가낙찰제</v>
          </cell>
          <cell r="C3" t="str">
            <v>기능개선</v>
          </cell>
          <cell r="D3" t="str">
            <v>금융</v>
          </cell>
          <cell r="E3" t="str">
            <v>지방자치단체</v>
          </cell>
          <cell r="F3" t="str">
            <v>제안</v>
          </cell>
          <cell r="G3" t="str">
            <v>N</v>
          </cell>
          <cell r="H3" t="str">
            <v>턴키</v>
          </cell>
          <cell r="J3" t="str">
            <v>금융</v>
          </cell>
          <cell r="K3" t="str">
            <v>SI(SW+HW)</v>
          </cell>
        </row>
        <row r="4">
          <cell r="A4" t="str">
            <v>2단계 분리</v>
          </cell>
          <cell r="B4" t="str">
            <v>협상에의한 낙찰제</v>
          </cell>
          <cell r="C4" t="str">
            <v>재구축</v>
          </cell>
          <cell r="D4" t="str">
            <v>제조</v>
          </cell>
          <cell r="E4" t="str">
            <v>정부투자기관</v>
          </cell>
          <cell r="F4" t="str">
            <v>계약</v>
          </cell>
          <cell r="H4" t="str">
            <v>컨소시엄</v>
          </cell>
          <cell r="J4" t="str">
            <v>제조</v>
          </cell>
          <cell r="K4" t="str">
            <v>컨설팅</v>
          </cell>
        </row>
        <row r="5">
          <cell r="A5" t="str">
            <v>일괄입찰</v>
          </cell>
          <cell r="B5" t="str">
            <v>기타</v>
          </cell>
          <cell r="C5" t="str">
            <v>플랫폼교체</v>
          </cell>
          <cell r="D5" t="str">
            <v>서비스</v>
          </cell>
          <cell r="E5" t="str">
            <v>SOC</v>
          </cell>
          <cell r="F5" t="str">
            <v>설계</v>
          </cell>
          <cell r="J5" t="str">
            <v>유통/서비스</v>
          </cell>
          <cell r="K5" t="str">
            <v>ASP</v>
          </cell>
        </row>
        <row r="6">
          <cell r="A6" t="str">
            <v>일반경쟁</v>
          </cell>
          <cell r="C6" t="str">
            <v>패키지 적용</v>
          </cell>
          <cell r="D6" t="str">
            <v>정보통신</v>
          </cell>
          <cell r="E6" t="str">
            <v>국방</v>
          </cell>
          <cell r="F6" t="str">
            <v>실행</v>
          </cell>
          <cell r="J6" t="str">
            <v>응용시스템</v>
          </cell>
          <cell r="K6" t="str">
            <v>인력지원</v>
          </cell>
        </row>
        <row r="7">
          <cell r="A7" t="str">
            <v>제한경쟁</v>
          </cell>
          <cell r="C7" t="str">
            <v>유지보수</v>
          </cell>
          <cell r="D7" t="str">
            <v>유틸리티</v>
          </cell>
          <cell r="E7" t="str">
            <v>은행</v>
          </cell>
          <cell r="F7" t="str">
            <v>종료</v>
          </cell>
          <cell r="J7" t="str">
            <v>OM</v>
          </cell>
          <cell r="K7" t="str">
            <v>전체외주</v>
          </cell>
        </row>
        <row r="8">
          <cell r="A8" t="str">
            <v>지명경쟁</v>
          </cell>
          <cell r="D8" t="str">
            <v>교통</v>
          </cell>
          <cell r="E8" t="str">
            <v>증권</v>
          </cell>
          <cell r="K8" t="str">
            <v>유지보수</v>
          </cell>
        </row>
        <row r="9">
          <cell r="A9" t="str">
            <v>협상에의한 낙찰제</v>
          </cell>
          <cell r="D9" t="str">
            <v>기타</v>
          </cell>
          <cell r="E9" t="str">
            <v>보험</v>
          </cell>
          <cell r="K9" t="str">
            <v>수주연동솔루션</v>
          </cell>
        </row>
        <row r="10">
          <cell r="A10" t="str">
            <v>기타</v>
          </cell>
          <cell r="E10" t="str">
            <v>카드</v>
          </cell>
          <cell r="K10" t="str">
            <v>국책과제</v>
          </cell>
        </row>
        <row r="11">
          <cell r="E11" t="str">
            <v>케피탈</v>
          </cell>
          <cell r="K11" t="str">
            <v>자주과제</v>
          </cell>
        </row>
        <row r="12">
          <cell r="E12" t="str">
            <v>리스,종금,투신</v>
          </cell>
          <cell r="K12" t="str">
            <v>장기개발솔루션</v>
          </cell>
        </row>
        <row r="13">
          <cell r="E13" t="str">
            <v>무역/유통</v>
          </cell>
          <cell r="K13" t="str">
            <v>기타</v>
          </cell>
        </row>
        <row r="14">
          <cell r="E14" t="str">
            <v>레저/문화</v>
          </cell>
        </row>
        <row r="15">
          <cell r="E15" t="str">
            <v>의료</v>
          </cell>
        </row>
        <row r="16">
          <cell r="E16" t="str">
            <v>교육/언론</v>
          </cell>
        </row>
        <row r="17">
          <cell r="E17" t="str">
            <v>종교</v>
          </cell>
        </row>
        <row r="18">
          <cell r="E18" t="str">
            <v>금속/기계</v>
          </cell>
        </row>
        <row r="19">
          <cell r="E19" t="str">
            <v>전기/전자</v>
          </cell>
        </row>
        <row r="20">
          <cell r="E20" t="str">
            <v>자동차/건설기계</v>
          </cell>
        </row>
        <row r="21">
          <cell r="E21" t="str">
            <v>정밀기기</v>
          </cell>
        </row>
        <row r="22">
          <cell r="E22" t="str">
            <v>석유/화학</v>
          </cell>
        </row>
        <row r="23">
          <cell r="E23" t="str">
            <v>섬유/제지</v>
          </cell>
        </row>
        <row r="24">
          <cell r="E24" t="str">
            <v>음식료/제약</v>
          </cell>
        </row>
        <row r="25">
          <cell r="E25" t="str">
            <v>조선</v>
          </cell>
        </row>
        <row r="26">
          <cell r="E26" t="str">
            <v>건설</v>
          </cell>
        </row>
        <row r="27">
          <cell r="E27" t="str">
            <v>엔지니어링</v>
          </cell>
        </row>
        <row r="28">
          <cell r="E28" t="str">
            <v>정보통신</v>
          </cell>
        </row>
        <row r="29">
          <cell r="E29" t="str">
            <v>소프트웨어개발</v>
          </cell>
        </row>
        <row r="30">
          <cell r="E30" t="str">
            <v>항공</v>
          </cell>
        </row>
        <row r="31">
          <cell r="E31" t="str">
            <v>공통</v>
          </cell>
        </row>
        <row r="32">
          <cell r="E32" t="str">
            <v>기타</v>
          </cell>
        </row>
        <row r="35">
          <cell r="A35" t="str">
            <v>Process Control</v>
          </cell>
          <cell r="B35" t="str">
            <v>C/S</v>
          </cell>
          <cell r="C35">
            <v>1</v>
          </cell>
          <cell r="D35" t="str">
            <v>1 ~ 10</v>
          </cell>
          <cell r="E35" t="str">
            <v>INNOVATOR-C/S</v>
          </cell>
          <cell r="F35" t="str">
            <v>MVS</v>
          </cell>
          <cell r="G35" t="str">
            <v>CODA</v>
          </cell>
          <cell r="H35" t="str">
            <v>Topend</v>
          </cell>
          <cell r="I35" t="str">
            <v>PC</v>
          </cell>
          <cell r="J35" t="str">
            <v>ASP/PHP/JSP</v>
          </cell>
          <cell r="K35" t="str">
            <v>ER/WIN</v>
          </cell>
          <cell r="L35" t="str">
            <v>PC</v>
          </cell>
          <cell r="M35" t="str">
            <v>3GL</v>
          </cell>
        </row>
        <row r="36">
          <cell r="A36" t="str">
            <v>Network Management</v>
          </cell>
          <cell r="B36" t="str">
            <v>WEB</v>
          </cell>
          <cell r="C36" t="str">
            <v>1~5</v>
          </cell>
          <cell r="D36" t="str">
            <v>11 ~ 100</v>
          </cell>
          <cell r="E36" t="str">
            <v>INNOVATOR-HOST</v>
          </cell>
          <cell r="F36" t="str">
            <v>Unix</v>
          </cell>
          <cell r="G36" t="str">
            <v>DB2</v>
          </cell>
          <cell r="H36" t="str">
            <v>CGI</v>
          </cell>
          <cell r="I36" t="str">
            <v>IBM</v>
          </cell>
          <cell r="J36" t="str">
            <v>CGI</v>
          </cell>
          <cell r="K36" t="str">
            <v>PoerDesigner</v>
          </cell>
          <cell r="L36" t="str">
            <v>Midrange</v>
          </cell>
          <cell r="M36" t="str">
            <v>4GL</v>
          </cell>
        </row>
        <row r="37">
          <cell r="A37" t="str">
            <v>Trading</v>
          </cell>
          <cell r="B37" t="str">
            <v>DW</v>
          </cell>
          <cell r="C37" t="str">
            <v>6~10</v>
          </cell>
          <cell r="D37" t="str">
            <v>101 ~ 200</v>
          </cell>
          <cell r="E37" t="str">
            <v>INNOVATOR-INTRANET</v>
          </cell>
          <cell r="F37" t="str">
            <v>Linux</v>
          </cell>
          <cell r="G37" t="str">
            <v>EasyBase</v>
          </cell>
          <cell r="H37" t="str">
            <v>CS Talk</v>
          </cell>
          <cell r="I37" t="str">
            <v>IBM-RS/6000</v>
          </cell>
          <cell r="J37" t="str">
            <v>JAVA</v>
          </cell>
          <cell r="K37" t="str">
            <v>Rational Rose</v>
          </cell>
          <cell r="L37" t="str">
            <v>Mainframe</v>
          </cell>
          <cell r="M37" t="str">
            <v>APG</v>
          </cell>
        </row>
        <row r="38">
          <cell r="A38" t="str">
            <v>Stock Control &amp; Order Processing</v>
          </cell>
          <cell r="B38" t="str">
            <v>CBD</v>
          </cell>
          <cell r="C38" t="str">
            <v>11 이상</v>
          </cell>
          <cell r="D38" t="str">
            <v>201 ~ 1000</v>
          </cell>
          <cell r="E38" t="str">
            <v>INNOVATOR-SAP R/3</v>
          </cell>
          <cell r="F38" t="str">
            <v>WIN95/98</v>
          </cell>
          <cell r="G38" t="str">
            <v>Foxpro</v>
          </cell>
          <cell r="H38" t="str">
            <v>Encina</v>
          </cell>
          <cell r="I38" t="str">
            <v>IBM-SP2</v>
          </cell>
          <cell r="J38" t="str">
            <v>JAVA Script</v>
          </cell>
          <cell r="K38" t="str">
            <v>System Architect</v>
          </cell>
        </row>
        <row r="39">
          <cell r="A39" t="str">
            <v>Document management</v>
          </cell>
          <cell r="B39" t="str">
            <v>OO</v>
          </cell>
          <cell r="D39" t="str">
            <v>1000 ~</v>
          </cell>
          <cell r="E39" t="str">
            <v>INNOVATOR-패키지</v>
          </cell>
          <cell r="F39" t="str">
            <v>Window NT</v>
          </cell>
          <cell r="G39" t="str">
            <v>IMS</v>
          </cell>
          <cell r="H39" t="str">
            <v>Entera</v>
          </cell>
          <cell r="I39" t="str">
            <v>IBM-Mainframe</v>
          </cell>
          <cell r="J39" t="str">
            <v>HTML</v>
          </cell>
          <cell r="K39" t="str">
            <v>COOL GEN</v>
          </cell>
        </row>
        <row r="40">
          <cell r="A40" t="str">
            <v>EDI</v>
          </cell>
          <cell r="E40" t="str">
            <v>INNOVATOR-객체지향</v>
          </cell>
          <cell r="F40" t="str">
            <v>Windiw XP</v>
          </cell>
          <cell r="G40" t="str">
            <v>MS-Acess</v>
          </cell>
          <cell r="H40" t="str">
            <v>ISIS</v>
          </cell>
          <cell r="I40" t="str">
            <v>HP</v>
          </cell>
          <cell r="J40" t="str">
            <v>Sapphire Web</v>
          </cell>
          <cell r="K40" t="str">
            <v>ANALYZER</v>
          </cell>
        </row>
        <row r="41">
          <cell r="A41" t="str">
            <v>GIS</v>
          </cell>
          <cell r="E41" t="str">
            <v>INNOVATOR-공정제어</v>
          </cell>
          <cell r="F41" t="str">
            <v>NEC</v>
          </cell>
          <cell r="G41" t="str">
            <v>OODB</v>
          </cell>
          <cell r="H41" t="str">
            <v>MQ-Series</v>
          </cell>
          <cell r="I41" t="str">
            <v>HP-K series</v>
          </cell>
          <cell r="J41" t="str">
            <v>Perl</v>
          </cell>
          <cell r="K41" t="str">
            <v>기타</v>
          </cell>
        </row>
        <row r="42">
          <cell r="A42" t="str">
            <v xml:space="preserve">Multimedia </v>
          </cell>
          <cell r="E42" t="str">
            <v>INNOVATOR-유지보수</v>
          </cell>
          <cell r="F42" t="str">
            <v>기타</v>
          </cell>
          <cell r="G42" t="str">
            <v>Oracle</v>
          </cell>
          <cell r="H42" t="str">
            <v>RPC</v>
          </cell>
          <cell r="I42" t="str">
            <v>HP-D series</v>
          </cell>
          <cell r="J42" t="str">
            <v>C</v>
          </cell>
        </row>
        <row r="43">
          <cell r="A43" t="str">
            <v>Financial</v>
          </cell>
          <cell r="E43" t="str">
            <v>INNOVATOR-CBD</v>
          </cell>
          <cell r="G43" t="str">
            <v>SQL Server</v>
          </cell>
          <cell r="H43" t="str">
            <v>SEQUE-LINK</v>
          </cell>
          <cell r="I43" t="str">
            <v>HP-T series</v>
          </cell>
          <cell r="J43" t="str">
            <v>C++</v>
          </cell>
        </row>
        <row r="44">
          <cell r="A44" t="str">
            <v>Accounting</v>
          </cell>
          <cell r="E44" t="str">
            <v>INNOVATOR-기타</v>
          </cell>
          <cell r="G44" t="str">
            <v>Sybase</v>
          </cell>
          <cell r="H44" t="str">
            <v>Tuxedo</v>
          </cell>
          <cell r="I44" t="str">
            <v>SUN</v>
          </cell>
          <cell r="J44" t="str">
            <v>Visual Basic</v>
          </cell>
        </row>
        <row r="45">
          <cell r="A45" t="str">
            <v>Logistics Control</v>
          </cell>
          <cell r="E45" t="str">
            <v>SLIC</v>
          </cell>
          <cell r="G45" t="str">
            <v>ADBAS</v>
          </cell>
          <cell r="H45" t="str">
            <v>RPC</v>
          </cell>
          <cell r="I45" t="str">
            <v>SUN-workstation</v>
          </cell>
          <cell r="J45" t="str">
            <v>Cisual C++</v>
          </cell>
        </row>
        <row r="46">
          <cell r="A46" t="str">
            <v>Online Analysis</v>
          </cell>
          <cell r="E46" t="str">
            <v>METHOD/1</v>
          </cell>
          <cell r="G46" t="str">
            <v>DB관리툴</v>
          </cell>
          <cell r="H46" t="str">
            <v>CORBA</v>
          </cell>
          <cell r="I46" t="str">
            <v>SUN-server</v>
          </cell>
          <cell r="J46" t="str">
            <v>Delphi</v>
          </cell>
        </row>
        <row r="47">
          <cell r="A47" t="str">
            <v>MIS</v>
          </cell>
          <cell r="E47" t="str">
            <v>OMT</v>
          </cell>
          <cell r="G47" t="str">
            <v>DBMS활용</v>
          </cell>
          <cell r="H47" t="str">
            <v>CICS</v>
          </cell>
          <cell r="I47" t="str">
            <v>DEC</v>
          </cell>
          <cell r="J47" t="str">
            <v>SQL</v>
          </cell>
        </row>
        <row r="48">
          <cell r="A48" t="str">
            <v>Imbeded Software</v>
          </cell>
          <cell r="E48" t="str">
            <v>NAVIGATOR</v>
          </cell>
          <cell r="G48" t="str">
            <v>데이타베이스구축</v>
          </cell>
          <cell r="H48" t="str">
            <v>IMS DC</v>
          </cell>
          <cell r="I48" t="str">
            <v>DEC-ALPHA 300</v>
          </cell>
          <cell r="J48" t="str">
            <v>COBOL</v>
          </cell>
        </row>
        <row r="49">
          <cell r="A49" t="str">
            <v>Mathematical Modeling</v>
          </cell>
          <cell r="E49" t="str">
            <v>DOD</v>
          </cell>
          <cell r="G49" t="str">
            <v>기타</v>
          </cell>
          <cell r="H49" t="str">
            <v>기타</v>
          </cell>
          <cell r="I49" t="str">
            <v>DEC-ALPHA 800</v>
          </cell>
          <cell r="J49" t="str">
            <v>XML</v>
          </cell>
        </row>
        <row r="50">
          <cell r="E50" t="str">
            <v>UML</v>
          </cell>
          <cell r="I50" t="str">
            <v>DEC-ALPHA 4100</v>
          </cell>
          <cell r="J50" t="str">
            <v>PowerBuilder</v>
          </cell>
        </row>
        <row r="51">
          <cell r="E51" t="str">
            <v>개발방법론 기타</v>
          </cell>
          <cell r="I51" t="str">
            <v>삼성전자</v>
          </cell>
          <cell r="J51" t="str">
            <v>BASIC</v>
          </cell>
        </row>
        <row r="52">
          <cell r="I52" t="str">
            <v>삼성전자-SSM Series</v>
          </cell>
          <cell r="J52" t="str">
            <v>PRO*C</v>
          </cell>
        </row>
        <row r="53">
          <cell r="I53" t="str">
            <v>삼성전자-Magic Pro Server</v>
          </cell>
          <cell r="J53" t="str">
            <v>PRO*COBOL</v>
          </cell>
        </row>
        <row r="54">
          <cell r="I54" t="str">
            <v>삼성전자-Smartnet Server</v>
          </cell>
          <cell r="J54" t="str">
            <v>VRML</v>
          </cell>
        </row>
        <row r="55">
          <cell r="I55" t="str">
            <v>NCR</v>
          </cell>
          <cell r="J55" t="str">
            <v>SGML</v>
          </cell>
        </row>
        <row r="56">
          <cell r="I56" t="str">
            <v>NCR-POS</v>
          </cell>
          <cell r="J56" t="str">
            <v>JCL</v>
          </cell>
        </row>
        <row r="57">
          <cell r="I57" t="str">
            <v>NCR-Server</v>
          </cell>
          <cell r="J57" t="str">
            <v>ABAP/4</v>
          </cell>
        </row>
        <row r="58">
          <cell r="I58" t="str">
            <v>기타</v>
          </cell>
          <cell r="J58" t="str">
            <v>Fortran</v>
          </cell>
        </row>
        <row r="59">
          <cell r="I59" t="str">
            <v>N/A</v>
          </cell>
          <cell r="J59" t="str">
            <v>PL*SQL</v>
          </cell>
        </row>
        <row r="60">
          <cell r="J60" t="str">
            <v>기타</v>
          </cell>
        </row>
        <row r="61">
          <cell r="J61" t="str">
            <v>N/A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코드표"/>
      <sheetName val="필드설명"/>
      <sheetName val="업무분류"/>
      <sheetName val="서버"/>
      <sheetName val="네트워크"/>
      <sheetName val="보안"/>
      <sheetName val="스토리지"/>
      <sheetName val="백업"/>
      <sheetName val="기타"/>
      <sheetName val="소프트웨어"/>
    </sheetNames>
    <sheetDataSet>
      <sheetData sheetId="0">
        <row r="2">
          <cell r="C2">
            <v>1</v>
          </cell>
        </row>
        <row r="3">
          <cell r="C3">
            <v>2</v>
          </cell>
        </row>
        <row r="4">
          <cell r="C4" t="str">
            <v>O</v>
          </cell>
        </row>
        <row r="5">
          <cell r="C5" t="str">
            <v>D</v>
          </cell>
        </row>
        <row r="6">
          <cell r="C6" t="str">
            <v>T</v>
          </cell>
        </row>
        <row r="7">
          <cell r="C7" t="str">
            <v>Active</v>
          </cell>
        </row>
        <row r="8">
          <cell r="C8" t="str">
            <v>InActive</v>
          </cell>
        </row>
        <row r="9">
          <cell r="C9" t="str">
            <v>Delete</v>
          </cell>
        </row>
        <row r="11">
          <cell r="C11" t="str">
            <v>P</v>
          </cell>
        </row>
        <row r="12">
          <cell r="C12" t="str">
            <v>C</v>
          </cell>
        </row>
        <row r="13">
          <cell r="C13" t="str">
            <v>Y</v>
          </cell>
        </row>
        <row r="14">
          <cell r="C14" t="str">
            <v>N</v>
          </cell>
        </row>
        <row r="15">
          <cell r="C15" t="str">
            <v>Active</v>
          </cell>
        </row>
        <row r="16">
          <cell r="C16" t="str">
            <v>Standbay</v>
          </cell>
        </row>
        <row r="17">
          <cell r="C17" t="str">
            <v>R</v>
          </cell>
        </row>
        <row r="18">
          <cell r="C18" t="str">
            <v>T</v>
          </cell>
        </row>
        <row r="19">
          <cell r="C19" t="str">
            <v>APPLICATION</v>
          </cell>
        </row>
        <row r="20">
          <cell r="C20" t="str">
            <v>BACKUP</v>
          </cell>
        </row>
        <row r="21">
          <cell r="C21" t="str">
            <v>DB</v>
          </cell>
        </row>
        <row r="22">
          <cell r="C22" t="str">
            <v>DHCP</v>
          </cell>
        </row>
        <row r="23">
          <cell r="C23" t="str">
            <v>WASWEB</v>
          </cell>
        </row>
        <row r="24">
          <cell r="C24" t="str">
            <v>FILE</v>
          </cell>
        </row>
        <row r="25">
          <cell r="C25" t="str">
            <v>MAIL</v>
          </cell>
        </row>
        <row r="26">
          <cell r="C26" t="str">
            <v>CON</v>
          </cell>
        </row>
        <row r="27">
          <cell r="C27" t="str">
            <v>WASWEB APP</v>
          </cell>
        </row>
        <row r="28">
          <cell r="C28" t="str">
            <v>DB APP</v>
          </cell>
        </row>
        <row r="29">
          <cell r="C29" t="str">
            <v>UN</v>
          </cell>
        </row>
        <row r="30">
          <cell r="C30" t="str">
            <v>NT</v>
          </cell>
        </row>
        <row r="31">
          <cell r="C31" t="str">
            <v>LX</v>
          </cell>
        </row>
        <row r="32">
          <cell r="C32" t="str">
            <v>Y</v>
          </cell>
        </row>
        <row r="33">
          <cell r="C33" t="str">
            <v>N</v>
          </cell>
        </row>
        <row r="34">
          <cell r="C34" t="str">
            <v>대</v>
          </cell>
        </row>
        <row r="35">
          <cell r="C35" t="str">
            <v>중</v>
          </cell>
        </row>
        <row r="36">
          <cell r="C36" t="str">
            <v>소</v>
          </cell>
        </row>
        <row r="37">
          <cell r="C37" t="str">
            <v>CD</v>
          </cell>
        </row>
        <row r="38">
          <cell r="C38" t="str">
            <v>DVD</v>
          </cell>
        </row>
        <row r="39">
          <cell r="C39" t="str">
            <v>DAT</v>
          </cell>
        </row>
        <row r="40">
          <cell r="C40" t="str">
            <v>LTO</v>
          </cell>
        </row>
        <row r="41">
          <cell r="C41">
            <v>1</v>
          </cell>
        </row>
        <row r="42">
          <cell r="C42">
            <v>2</v>
          </cell>
        </row>
        <row r="43">
          <cell r="C43">
            <v>3</v>
          </cell>
        </row>
        <row r="44">
          <cell r="C44">
            <v>99</v>
          </cell>
        </row>
        <row r="45">
          <cell r="C45">
            <v>1</v>
          </cell>
        </row>
        <row r="46">
          <cell r="C46">
            <v>2</v>
          </cell>
        </row>
        <row r="47">
          <cell r="C47" t="str">
            <v>L2</v>
          </cell>
        </row>
        <row r="48">
          <cell r="C48" t="str">
            <v>L3</v>
          </cell>
        </row>
        <row r="49">
          <cell r="C49" t="str">
            <v>L4</v>
          </cell>
        </row>
        <row r="50">
          <cell r="C50" t="str">
            <v>라우터</v>
          </cell>
        </row>
        <row r="51">
          <cell r="C51" t="str">
            <v>허브</v>
          </cell>
        </row>
        <row r="52">
          <cell r="C52" t="str">
            <v>Y</v>
          </cell>
        </row>
        <row r="53">
          <cell r="C53" t="str">
            <v>N</v>
          </cell>
        </row>
        <row r="54">
          <cell r="C54" t="str">
            <v>Y</v>
          </cell>
        </row>
        <row r="55">
          <cell r="C55" t="str">
            <v>N</v>
          </cell>
        </row>
        <row r="56">
          <cell r="C56" t="str">
            <v>U</v>
          </cell>
        </row>
        <row r="57">
          <cell r="C57" t="str">
            <v>M</v>
          </cell>
        </row>
        <row r="58">
          <cell r="C58" t="str">
            <v>RJ45</v>
          </cell>
        </row>
        <row r="59">
          <cell r="C59" t="str">
            <v>DB9</v>
          </cell>
        </row>
        <row r="60">
          <cell r="C60" t="str">
            <v>F/W</v>
          </cell>
        </row>
        <row r="61">
          <cell r="C61" t="str">
            <v>IPS</v>
          </cell>
        </row>
        <row r="62">
          <cell r="C62" t="str">
            <v>IDS</v>
          </cell>
        </row>
        <row r="63">
          <cell r="C63" t="str">
            <v>VPN</v>
          </cell>
        </row>
        <row r="64">
          <cell r="C64" t="str">
            <v>SCETC</v>
          </cell>
        </row>
        <row r="65">
          <cell r="C65" t="str">
            <v>UTP10</v>
          </cell>
        </row>
        <row r="66">
          <cell r="C66" t="str">
            <v>UTP100</v>
          </cell>
        </row>
        <row r="67">
          <cell r="C67" t="str">
            <v>FIBERSC</v>
          </cell>
        </row>
        <row r="68">
          <cell r="C68" t="str">
            <v>FIBERLC</v>
          </cell>
        </row>
        <row r="69">
          <cell r="C69" t="str">
            <v>EXT</v>
          </cell>
        </row>
        <row r="70">
          <cell r="C70" t="str">
            <v>SAN</v>
          </cell>
        </row>
        <row r="71">
          <cell r="C71" t="str">
            <v>RAID 0</v>
          </cell>
        </row>
        <row r="72">
          <cell r="C72" t="str">
            <v>RAID 1</v>
          </cell>
        </row>
        <row r="73">
          <cell r="C73" t="str">
            <v>RAID 3</v>
          </cell>
        </row>
        <row r="74">
          <cell r="C74" t="str">
            <v>RAID 5</v>
          </cell>
        </row>
        <row r="75">
          <cell r="C75" t="str">
            <v>RAID 0+1</v>
          </cell>
        </row>
        <row r="76">
          <cell r="C76" t="str">
            <v>DAT</v>
          </cell>
        </row>
        <row r="77">
          <cell r="C77" t="str">
            <v>LTO</v>
          </cell>
        </row>
        <row r="78">
          <cell r="C78" t="str">
            <v>SAIT</v>
          </cell>
        </row>
        <row r="79">
          <cell r="C79" t="str">
            <v>AIT</v>
          </cell>
        </row>
        <row r="80">
          <cell r="C80" t="str">
            <v>SDLT</v>
          </cell>
        </row>
        <row r="81">
          <cell r="C81" t="str">
            <v>DLT</v>
          </cell>
        </row>
        <row r="82">
          <cell r="C82" t="str">
            <v>DDS</v>
          </cell>
        </row>
        <row r="83">
          <cell r="C83" t="str">
            <v>L</v>
          </cell>
        </row>
        <row r="84">
          <cell r="C84" t="str">
            <v>S</v>
          </cell>
        </row>
        <row r="85">
          <cell r="C85">
            <v>1</v>
          </cell>
        </row>
        <row r="86">
          <cell r="C86">
            <v>2</v>
          </cell>
        </row>
        <row r="87">
          <cell r="C87">
            <v>3</v>
          </cell>
        </row>
        <row r="88">
          <cell r="B88" t="str">
            <v>시스템 S/W</v>
          </cell>
        </row>
        <row r="89">
          <cell r="B89" t="str">
            <v>상용 S/W</v>
          </cell>
        </row>
        <row r="90">
          <cell r="B90" t="str">
            <v>응용 S/W</v>
          </cell>
        </row>
        <row r="91">
          <cell r="C91" t="str">
            <v>DBSW</v>
          </cell>
        </row>
        <row r="92">
          <cell r="C92" t="str">
            <v>MDSW</v>
          </cell>
        </row>
        <row r="93">
          <cell r="C93" t="str">
            <v>WESW</v>
          </cell>
        </row>
        <row r="94">
          <cell r="C94" t="str">
            <v>APSW</v>
          </cell>
        </row>
        <row r="95">
          <cell r="C95" t="str">
            <v>BKSW</v>
          </cell>
        </row>
        <row r="96">
          <cell r="C96" t="str">
            <v>SCSW</v>
          </cell>
        </row>
        <row r="97">
          <cell r="C97" t="str">
            <v>APSW01</v>
          </cell>
        </row>
        <row r="98">
          <cell r="C98" t="str">
            <v>APSW02</v>
          </cell>
        </row>
        <row r="99">
          <cell r="C99" t="str">
            <v>APSW03</v>
          </cell>
        </row>
        <row r="100">
          <cell r="C100" t="str">
            <v>APSW04</v>
          </cell>
        </row>
        <row r="101">
          <cell r="C101" t="str">
            <v>BKSW01</v>
          </cell>
        </row>
        <row r="102">
          <cell r="C102" t="str">
            <v>BKSW02</v>
          </cell>
        </row>
        <row r="103">
          <cell r="C103" t="str">
            <v>BKSW03</v>
          </cell>
        </row>
        <row r="104">
          <cell r="C104" t="str">
            <v>BKSW04</v>
          </cell>
        </row>
        <row r="105">
          <cell r="C105" t="str">
            <v>BKSW05</v>
          </cell>
        </row>
        <row r="106">
          <cell r="C106" t="str">
            <v>DBMS01</v>
          </cell>
        </row>
        <row r="107">
          <cell r="C107" t="str">
            <v>DBMS02</v>
          </cell>
        </row>
        <row r="108">
          <cell r="C108" t="str">
            <v>DBMS03</v>
          </cell>
        </row>
        <row r="109">
          <cell r="C109" t="str">
            <v>DBMS04</v>
          </cell>
        </row>
        <row r="110">
          <cell r="C110" t="str">
            <v>DBMS05</v>
          </cell>
        </row>
        <row r="111">
          <cell r="C111" t="str">
            <v>DBMS06</v>
          </cell>
        </row>
        <row r="112">
          <cell r="C112" t="str">
            <v>DBMS07</v>
          </cell>
        </row>
        <row r="113">
          <cell r="C113" t="str">
            <v>MDSW01</v>
          </cell>
        </row>
        <row r="114">
          <cell r="C114" t="str">
            <v>MDSW02</v>
          </cell>
        </row>
        <row r="115">
          <cell r="C115" t="str">
            <v>MDSW03</v>
          </cell>
        </row>
        <row r="116">
          <cell r="C116" t="str">
            <v>MDSW04</v>
          </cell>
        </row>
        <row r="117">
          <cell r="C117" t="str">
            <v>MDSW05</v>
          </cell>
        </row>
        <row r="118">
          <cell r="C118" t="str">
            <v>MDSW06</v>
          </cell>
        </row>
        <row r="119">
          <cell r="C119" t="str">
            <v>MDSW07</v>
          </cell>
        </row>
        <row r="120">
          <cell r="C120" t="str">
            <v>SCSW01</v>
          </cell>
        </row>
        <row r="121">
          <cell r="C121" t="str">
            <v>SCSW02</v>
          </cell>
        </row>
        <row r="122">
          <cell r="C122" t="str">
            <v>SCSW03</v>
          </cell>
        </row>
        <row r="123">
          <cell r="C123" t="str">
            <v>SCSW04</v>
          </cell>
        </row>
        <row r="124">
          <cell r="C124" t="str">
            <v>SCSW05</v>
          </cell>
        </row>
        <row r="125">
          <cell r="C125" t="str">
            <v>SCSW06</v>
          </cell>
        </row>
        <row r="126">
          <cell r="C126" t="str">
            <v>SCSW07</v>
          </cell>
        </row>
        <row r="127">
          <cell r="C127" t="str">
            <v>SCSW08</v>
          </cell>
        </row>
        <row r="128">
          <cell r="C128" t="str">
            <v>SCSW09</v>
          </cell>
        </row>
        <row r="129">
          <cell r="C129" t="str">
            <v>SCSW10</v>
          </cell>
        </row>
        <row r="130">
          <cell r="C130" t="str">
            <v>SCSW11</v>
          </cell>
        </row>
        <row r="131">
          <cell r="C131" t="str">
            <v>SCSW12</v>
          </cell>
        </row>
        <row r="132">
          <cell r="C132" t="str">
            <v>WESW01</v>
          </cell>
        </row>
        <row r="133">
          <cell r="C133" t="str">
            <v>WESW02</v>
          </cell>
        </row>
        <row r="134">
          <cell r="C134" t="str">
            <v>WESW03</v>
          </cell>
        </row>
        <row r="135">
          <cell r="C135" t="str">
            <v>WESW04</v>
          </cell>
        </row>
        <row r="136">
          <cell r="C136" t="str">
            <v>WESW10</v>
          </cell>
        </row>
        <row r="137">
          <cell r="C137" t="str">
            <v>사이트</v>
          </cell>
        </row>
        <row r="138">
          <cell r="C138" t="str">
            <v>개별</v>
          </cell>
        </row>
        <row r="139">
          <cell r="C139" t="str">
            <v>CPU</v>
          </cell>
        </row>
        <row r="140">
          <cell r="C140" t="str">
            <v>Named User</v>
          </cell>
        </row>
        <row r="141">
          <cell r="C141" t="str">
            <v>KVM</v>
          </cell>
        </row>
        <row r="142">
          <cell r="C142" t="str">
            <v>MONITOR</v>
          </cell>
        </row>
        <row r="143">
          <cell r="C143" t="str">
            <v>CONSOL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:r="http://schemas.openxmlformats.org/officeDocument/2006/relationships" xmlns="http://schemas.openxmlformats.org/spreadsheetml/2006/main">
  <externalBook r:id="rId1">
    <sheetNames>
      <sheetName val="점검표(재분류)"/>
      <sheetName val="설문(일반)"/>
      <sheetName val="1차일반"/>
      <sheetName val="1차일반필터링"/>
      <sheetName val="요청서-일반"/>
      <sheetName val="설문(CP)"/>
      <sheetName val="1차CP"/>
      <sheetName val="1차CP필터링"/>
      <sheetName val="요청서-CP"/>
      <sheetName val="변경내역"/>
      <sheetName val="대쉬위험"/>
      <sheetName val="취급자"/>
      <sheetName val="CP통계"/>
      <sheetName val="2차(일반)"/>
      <sheetName val="2차(CP)"/>
      <sheetName val="요청서-대상확인"/>
      <sheetName val="IDC"/>
      <sheetName val="서비스분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:r="http://schemas.openxmlformats.org/officeDocument/2006/relationships" xmlns="http://schemas.openxmlformats.org/spreadsheetml/2006/main">
  <externalBook r:id="rId1">
    <sheetNames>
      <sheetName val="0.자산분류체계"/>
      <sheetName val="1.정보시스템"/>
      <sheetName val="2.서버"/>
      <sheetName val="정보시스템도입자산"/>
      <sheetName val="3.스토리지"/>
      <sheetName val="4.네트워크"/>
      <sheetName val="5.소프트웨어"/>
      <sheetName val="SW설치정보"/>
      <sheetName val="6.부품"/>
      <sheetName val="부품설치정보"/>
      <sheetName val="11.정보화인력"/>
      <sheetName val="12.협력업체"/>
      <sheetName val="13.협력업체담당자"/>
      <sheetName val="14.유지보수계약정보"/>
      <sheetName val="파일업로드"/>
      <sheetName val="공통코드"/>
      <sheetName val="중분류"/>
      <sheetName val="소분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C2" t="str">
            <v>구매</v>
          </cell>
          <cell r="Y2" t="str">
            <v>중소형광단국</v>
          </cell>
          <cell r="AI2" t="str">
            <v>K1,K3</v>
          </cell>
        </row>
        <row r="3">
          <cell r="Y3" t="str">
            <v>FLC</v>
          </cell>
          <cell r="AI3" t="str">
            <v>K4</v>
          </cell>
        </row>
        <row r="4">
          <cell r="Y4" t="str">
            <v>WDM</v>
          </cell>
          <cell r="AI4" t="str">
            <v>K4이상</v>
          </cell>
        </row>
        <row r="5">
          <cell r="AI5" t="str">
            <v>K1E,K3E</v>
          </cell>
        </row>
        <row r="6">
          <cell r="AI6" t="str">
            <v>K4E</v>
          </cell>
        </row>
        <row r="15">
          <cell r="Y15" t="str">
            <v>static</v>
          </cell>
          <cell r="AC15" t="str">
            <v xml:space="preserve">1년 </v>
          </cell>
        </row>
        <row r="16">
          <cell r="Y16" t="str">
            <v>dynamic</v>
          </cell>
          <cell r="AC16" t="str">
            <v>2년</v>
          </cell>
        </row>
      </sheetData>
      <sheetData sheetId="16"/>
      <sheetData sheetId="17"/>
    </sheetDataSet>
  </externalBook>
</externalLink>
</file>

<file path=xl/externalLinks/externalLink5.xml><?xml version="1.0" encoding="utf-8"?>
<externalLink xmlns:r="http://schemas.openxmlformats.org/officeDocument/2006/relationships" xmlns="http://schemas.openxmlformats.org/spreadsheetml/2006/main">
  <externalBook r:id="rId1">
    <sheetNames>
      <sheetName val="Sheet3"/>
      <sheetName val="분류체계"/>
      <sheetName val="분류"/>
      <sheetName val="관리.물리평가사항(5.4)"/>
      <sheetName val="IT체계평가사항(5.4)"/>
      <sheetName val="관리.물리평가사항(5.4) (2)"/>
      <sheetName val="IT체계평가사항(5.4) (2)"/>
    </sheetNames>
    <sheetDataSet>
      <sheetData sheetId="0" refreshError="1"/>
      <sheetData sheetId="1" refreshError="1"/>
      <sheetData sheetId="2" refreshError="1">
        <row r="27">
          <cell r="B27">
            <v>0</v>
          </cell>
        </row>
        <row r="28">
          <cell r="B28">
            <v>1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:r="http://schemas.openxmlformats.org/officeDocument/2006/relationships" xmlns="http://schemas.openxmlformats.org/spreadsheetml/2006/main">
  <externalBook r:id="rId1">
    <sheetNames>
      <sheetName val="표지"/>
      <sheetName val="제개정이력"/>
      <sheetName val="위험조치계획서"/>
      <sheetName val="위험조치계획 기준"/>
    </sheetNames>
    <sheetDataSet>
      <sheetData sheetId="0"/>
      <sheetData sheetId="1"/>
      <sheetData sheetId="2"/>
      <sheetData sheetId="3">
        <row r="7">
          <cell r="B7">
            <v>5</v>
          </cell>
        </row>
        <row r="8">
          <cell r="B8">
            <v>4</v>
          </cell>
        </row>
        <row r="9">
          <cell r="B9">
            <v>3</v>
          </cell>
        </row>
        <row r="10">
          <cell r="B10">
            <v>2</v>
          </cell>
        </row>
        <row r="11">
          <cell r="B11">
            <v>1</v>
          </cell>
        </row>
        <row r="17">
          <cell r="B17" t="str">
            <v>단기</v>
          </cell>
        </row>
        <row r="18">
          <cell r="B18" t="str">
            <v>중기</v>
          </cell>
        </row>
        <row r="19">
          <cell r="B19" t="str">
            <v>장기</v>
          </cell>
        </row>
        <row r="20">
          <cell r="B20" t="str">
            <v>긴급</v>
          </cell>
        </row>
      </sheetData>
    </sheetDataSet>
  </externalBook>
</externalLink>
</file>

<file path=xl/externalLinks/externalLink7.xml><?xml version="1.0" encoding="utf-8"?>
<externalLink xmlns:r="http://schemas.openxmlformats.org/officeDocument/2006/relationships" xmlns="http://schemas.openxmlformats.org/spreadsheetml/2006/main">
  <externalBook r:id="rId1">
    <sheetNames>
      <sheetName val="프로젝트 현황"/>
      <sheetName val="프로젝트 상세"/>
      <sheetName val="코드"/>
    </sheetNames>
    <sheetDataSet>
      <sheetData sheetId="0" refreshError="1"/>
      <sheetData sheetId="1" refreshError="1"/>
      <sheetData sheetId="2">
        <row r="2">
          <cell r="B2" t="str">
            <v>공공</v>
          </cell>
        </row>
        <row r="3">
          <cell r="B3" t="str">
            <v>금융</v>
          </cell>
        </row>
        <row r="4">
          <cell r="B4" t="str">
            <v>제조</v>
          </cell>
        </row>
        <row r="5">
          <cell r="B5" t="str">
            <v>기타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8100" cap="flat" cmpd="sng" algn="ctr">
          <a:solidFill>
            <a:srgbClr val="FF0000"/>
          </a:solidFill>
          <a:prstDash val="sysDot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8100" cap="flat" cmpd="sng" algn="ctr">
          <a:solidFill>
            <a:srgbClr val="FF0000"/>
          </a:solidFill>
          <a:prstDash val="sysDot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0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Q26"/>
  <sheetViews>
    <sheetView tabSelected="1" view="pageBreakPreview" zoomScaleNormal="100" zoomScaleSheetLayoutView="100" workbookViewId="0">
      <selection activeCell="A1" sqref="A1"/>
    </sheetView>
  </sheetViews>
  <sheetFormatPr baseColWidth="8" defaultColWidth="8.77734375" defaultRowHeight="16.5"/>
  <cols>
    <col width="4.44140625" customWidth="1" style="81" min="1" max="1"/>
    <col width="7.109375" customWidth="1" style="81" min="2" max="12"/>
    <col width="6.5546875" customWidth="1" style="81" min="13" max="13"/>
    <col width="9.6640625" customWidth="1" style="81" min="14" max="16"/>
    <col width="4.44140625" customWidth="1" style="81" min="17" max="17"/>
    <col width="8.77734375" customWidth="1" style="81" min="18" max="16384"/>
  </cols>
  <sheetData>
    <row r="1" ht="14.25" customHeight="1" s="434" thickBot="1">
      <c r="A1" s="80" t="n"/>
      <c r="B1" s="80" t="n"/>
      <c r="C1" s="80" t="n"/>
      <c r="D1" s="80" t="n"/>
      <c r="E1" s="80" t="n"/>
      <c r="F1" s="80" t="n"/>
      <c r="G1" s="80" t="n"/>
      <c r="H1" s="80" t="n"/>
      <c r="I1" s="80" t="n"/>
      <c r="J1" s="80" t="n"/>
      <c r="K1" s="80" t="n"/>
      <c r="L1" s="80" t="n"/>
      <c r="M1" s="80" t="n"/>
      <c r="N1" s="80" t="n"/>
      <c r="O1" s="80" t="n"/>
      <c r="P1" s="80" t="n"/>
      <c r="Q1" s="80" t="n"/>
    </row>
    <row r="2" ht="16.9" customHeight="1" s="434" thickBot="1" thickTop="1">
      <c r="A2" s="80" t="n"/>
      <c r="B2" s="265" t="inlineStr">
        <is>
          <t>구     분</t>
        </is>
      </c>
      <c r="C2" s="435" t="n"/>
      <c r="D2" s="266" t="inlineStr">
        <is>
          <t>관리</t>
        </is>
      </c>
      <c r="E2" s="435" t="n"/>
      <c r="F2" s="436" t="inlineStr">
        <is>
          <t>본 문서는 임의로 복사
되거나 배포될 수 없음</t>
        </is>
      </c>
      <c r="G2" s="437" t="n"/>
      <c r="H2" s="438" t="n"/>
      <c r="I2" s="80" t="n"/>
      <c r="J2" s="80" t="n"/>
      <c r="K2" s="80" t="n"/>
      <c r="L2" s="80" t="n"/>
      <c r="M2" s="80" t="n"/>
      <c r="N2" s="80" t="n"/>
      <c r="P2" s="82" t="inlineStr">
        <is>
          <t>대외비</t>
        </is>
      </c>
      <c r="Q2" s="80" t="n"/>
    </row>
    <row r="3" ht="16.9" customHeight="1" s="434" thickTop="1">
      <c r="A3" s="80" t="n"/>
      <c r="B3" s="266" t="inlineStr">
        <is>
          <t>문서번호</t>
        </is>
      </c>
      <c r="C3" s="435" t="n"/>
      <c r="D3" s="266" t="n"/>
      <c r="E3" s="435" t="n"/>
      <c r="F3" s="439" t="n"/>
      <c r="G3" s="440" t="n"/>
      <c r="H3" s="441" t="n"/>
      <c r="I3" s="80" t="n"/>
      <c r="J3" s="80" t="n"/>
      <c r="K3" s="80" t="n"/>
      <c r="L3" s="80" t="n"/>
      <c r="M3" s="80" t="n"/>
      <c r="N3" s="80" t="n"/>
      <c r="O3" s="80" t="n"/>
      <c r="P3" s="80" t="n"/>
      <c r="Q3" s="80" t="n"/>
    </row>
    <row r="4" ht="14.25" customHeight="1" s="434">
      <c r="A4" s="80" t="n"/>
      <c r="B4" s="80" t="n"/>
      <c r="C4" s="80" t="n"/>
      <c r="D4" s="80" t="n"/>
      <c r="E4" s="80" t="n"/>
      <c r="F4" s="80" t="n"/>
      <c r="G4" s="80" t="n"/>
      <c r="H4" s="80" t="n"/>
      <c r="I4" s="80" t="n"/>
      <c r="J4" s="80" t="n"/>
      <c r="K4" s="80" t="n"/>
      <c r="L4" s="80" t="n"/>
      <c r="M4" s="80" t="n"/>
      <c r="N4" s="80" t="n"/>
      <c r="O4" s="80" t="n"/>
      <c r="P4" s="80" t="n"/>
      <c r="Q4" s="80" t="n"/>
    </row>
    <row r="5" ht="14.25" customHeight="1" s="434">
      <c r="A5" s="80" t="n"/>
      <c r="B5" s="80" t="n"/>
      <c r="C5" s="80" t="n"/>
      <c r="D5" s="80" t="n"/>
      <c r="E5" s="80" t="n"/>
      <c r="F5" s="80" t="n"/>
      <c r="G5" s="80" t="n"/>
      <c r="H5" s="80" t="n"/>
      <c r="I5" s="80" t="n"/>
      <c r="J5" s="80" t="n"/>
      <c r="K5" s="80" t="n"/>
      <c r="L5" s="80" t="n"/>
      <c r="M5" s="80" t="n"/>
      <c r="N5" s="80" t="n"/>
      <c r="O5" s="80" t="n"/>
      <c r="P5" s="80" t="n"/>
      <c r="Q5" s="80" t="n"/>
    </row>
    <row r="6" ht="14.25" customHeight="1" s="434">
      <c r="A6" s="80" t="n"/>
      <c r="B6" s="80" t="n"/>
      <c r="C6" s="80" t="n"/>
      <c r="D6" s="80" t="n"/>
      <c r="E6" s="80" t="n"/>
      <c r="F6" s="80" t="n"/>
      <c r="G6" s="80" t="n"/>
      <c r="H6" s="80" t="n"/>
      <c r="I6" s="80" t="n"/>
      <c r="J6" s="80" t="n"/>
      <c r="K6" s="80" t="n"/>
      <c r="L6" s="80" t="n"/>
      <c r="M6" s="80" t="n"/>
      <c r="N6" s="80" t="n"/>
      <c r="O6" s="80" t="n"/>
      <c r="P6" s="80" t="n"/>
      <c r="Q6" s="80" t="n"/>
    </row>
    <row r="7" ht="17.45" customHeight="1" s="434">
      <c r="A7" s="80" t="n"/>
      <c r="B7" s="80" t="n"/>
      <c r="C7" s="80" t="n"/>
      <c r="D7" s="80" t="n"/>
      <c r="E7" s="80" t="n"/>
      <c r="F7" s="80" t="n"/>
      <c r="G7" s="80" t="n"/>
      <c r="H7" s="80" t="n"/>
      <c r="I7" s="80" t="n"/>
      <c r="J7" s="80" t="n"/>
      <c r="K7" s="80" t="n"/>
      <c r="L7" s="80" t="n"/>
      <c r="M7" s="80" t="n"/>
      <c r="N7" s="80" t="n"/>
      <c r="O7" s="80" t="n"/>
      <c r="P7" s="80" t="n"/>
      <c r="Q7" s="80" t="n"/>
    </row>
    <row r="8" ht="14.25" customHeight="1" s="434">
      <c r="A8" s="80" t="n"/>
      <c r="B8" s="80" t="n"/>
      <c r="C8" s="80" t="n"/>
      <c r="D8" s="80" t="n"/>
      <c r="E8" s="80" t="n"/>
      <c r="F8" s="80" t="n"/>
      <c r="G8" s="80" t="n"/>
      <c r="H8" s="80" t="n"/>
      <c r="I8" s="80" t="n"/>
      <c r="J8" s="80" t="n"/>
      <c r="K8" s="80" t="n"/>
      <c r="L8" s="80" t="n"/>
      <c r="M8" s="80" t="n"/>
      <c r="N8" s="80" t="n"/>
      <c r="O8" s="80" t="n"/>
      <c r="P8" s="80" t="n"/>
      <c r="Q8" s="80" t="n"/>
    </row>
    <row r="9" ht="14.25" customHeight="1" s="434">
      <c r="A9" s="80" t="n"/>
      <c r="B9" s="80" t="n"/>
      <c r="C9" s="80" t="n"/>
      <c r="D9" s="80" t="n"/>
      <c r="E9" s="80" t="n"/>
      <c r="F9" s="80" t="n"/>
      <c r="G9" s="80" t="n"/>
      <c r="H9" s="80" t="n"/>
      <c r="I9" s="80" t="n"/>
      <c r="J9" s="80" t="n"/>
      <c r="K9" s="80" t="n"/>
      <c r="L9" s="80" t="n"/>
      <c r="M9" s="80" t="n"/>
      <c r="N9" s="80" t="n"/>
      <c r="O9" s="80" t="n"/>
      <c r="P9" s="80" t="n"/>
      <c r="Q9" s="80" t="n"/>
    </row>
    <row r="10" ht="40.9" customHeight="1" s="434">
      <c r="A10" s="80" t="n"/>
      <c r="B10" s="275" t="inlineStr">
        <is>
          <t xml:space="preserve">  [00]</t>
        </is>
      </c>
      <c r="Q10" s="80" t="n"/>
    </row>
    <row r="11" ht="14.25" customHeight="1" s="434">
      <c r="A11" s="80" t="n"/>
      <c r="B11" s="80" t="n"/>
      <c r="C11" s="80" t="n"/>
      <c r="D11" s="80" t="n"/>
      <c r="E11" s="80" t="n"/>
      <c r="F11" s="80" t="n"/>
      <c r="G11" s="80" t="n"/>
      <c r="H11" s="80" t="n"/>
      <c r="I11" s="80" t="n"/>
      <c r="J11" s="80" t="n"/>
      <c r="K11" s="80" t="n"/>
      <c r="L11" s="80" t="n"/>
      <c r="M11" s="80" t="n"/>
      <c r="N11" s="80" t="n"/>
      <c r="O11" s="80" t="n"/>
      <c r="P11" s="80" t="n"/>
      <c r="Q11" s="80" t="n"/>
    </row>
    <row r="12" ht="14.25" customHeight="1" s="434">
      <c r="A12" s="80" t="n"/>
      <c r="B12" s="263" t="inlineStr">
        <is>
          <t>정보보호시스템 위험분석 및 평가 보고서</t>
        </is>
      </c>
      <c r="Q12" s="80" t="n"/>
    </row>
    <row r="13" ht="14.25" customHeight="1" s="434">
      <c r="A13" s="80" t="n"/>
      <c r="Q13" s="80" t="n"/>
    </row>
    <row r="14" ht="14.25" customHeight="1" s="434">
      <c r="A14" s="80" t="n"/>
      <c r="Q14" s="80" t="n"/>
    </row>
    <row r="15" ht="14.25" customHeight="1" s="434">
      <c r="A15" s="80" t="n"/>
      <c r="Q15" s="80" t="n"/>
    </row>
    <row r="16" ht="41.25" customHeight="1" s="434">
      <c r="A16" s="80" t="n"/>
      <c r="Q16" s="80" t="n"/>
    </row>
    <row r="17" ht="41.25" customHeight="1" s="434">
      <c r="A17" s="80" t="n"/>
      <c r="B17" s="80" t="n"/>
      <c r="C17" s="80" t="n"/>
      <c r="D17" s="80" t="n"/>
      <c r="E17" s="80" t="n"/>
      <c r="F17" s="80" t="n"/>
      <c r="G17" s="80" t="n"/>
      <c r="H17" s="80" t="n"/>
      <c r="I17" s="80" t="n"/>
      <c r="J17" s="80" t="n"/>
      <c r="K17" s="80" t="n"/>
      <c r="L17" s="80" t="n"/>
      <c r="M17" s="80" t="n"/>
      <c r="N17" s="80" t="n"/>
      <c r="O17" s="80" t="n"/>
      <c r="P17" s="80" t="n"/>
      <c r="Q17" s="80" t="n"/>
    </row>
    <row r="18" ht="9.75" customHeight="1" s="434">
      <c r="A18" s="80" t="n"/>
      <c r="B18" s="80" t="n"/>
      <c r="C18" s="80" t="n"/>
      <c r="D18" s="80" t="n"/>
      <c r="E18" s="80" t="n"/>
      <c r="F18" s="80" t="n"/>
      <c r="G18" s="80" t="n"/>
      <c r="H18" s="80" t="n"/>
      <c r="I18" s="80" t="n"/>
      <c r="J18" s="80" t="n"/>
      <c r="K18" s="80" t="n"/>
      <c r="L18" s="80" t="n"/>
      <c r="M18" s="80" t="n"/>
      <c r="N18" s="80" t="n"/>
      <c r="O18" s="80" t="n"/>
      <c r="P18" s="80" t="n"/>
      <c r="Q18" s="80" t="n"/>
    </row>
    <row r="19" ht="14.25" customHeight="1" s="434">
      <c r="A19" s="80" t="n"/>
      <c r="B19" s="80" t="n"/>
      <c r="C19" s="80" t="n"/>
      <c r="D19" s="80" t="n"/>
      <c r="E19" s="80" t="n"/>
      <c r="F19" s="80" t="n"/>
      <c r="G19" s="80" t="n"/>
      <c r="H19" s="80" t="n"/>
      <c r="I19" s="80" t="n"/>
      <c r="J19" s="80" t="n"/>
      <c r="K19" s="80" t="n"/>
      <c r="L19" s="80" t="n"/>
      <c r="M19" s="80" t="n"/>
      <c r="N19" s="264" t="n"/>
      <c r="Q19" s="80" t="n"/>
    </row>
    <row r="20" ht="9.75" customHeight="1" s="434">
      <c r="A20" s="80" t="n"/>
      <c r="B20" s="80" t="n"/>
      <c r="C20" s="80" t="n"/>
      <c r="D20" s="80" t="n"/>
      <c r="E20" s="80" t="n"/>
      <c r="F20" s="80" t="n"/>
      <c r="G20" s="80" t="n"/>
      <c r="H20" s="80" t="n"/>
      <c r="I20" s="80" t="n"/>
      <c r="J20" s="80" t="n"/>
      <c r="K20" s="80" t="n"/>
      <c r="L20" s="80" t="n"/>
      <c r="M20" s="80" t="n"/>
      <c r="Q20" s="80" t="n"/>
    </row>
    <row r="21" ht="50.25" customHeight="1" s="434">
      <c r="A21" s="80" t="n"/>
      <c r="B21" s="80" t="n"/>
      <c r="C21" s="80" t="n"/>
      <c r="D21" s="80" t="n"/>
      <c r="E21" s="80" t="n"/>
      <c r="F21" s="80" t="n"/>
      <c r="G21" s="80" t="n"/>
      <c r="H21" s="80" t="n"/>
      <c r="I21" s="264" t="inlineStr">
        <is>
          <t>2026.00.</t>
        </is>
      </c>
      <c r="L21" s="80" t="n"/>
      <c r="M21" s="80" t="n"/>
      <c r="Q21" s="80" t="n"/>
    </row>
    <row r="22" ht="14.25" customHeight="1" s="434">
      <c r="A22" s="80" t="n"/>
      <c r="B22" s="80" t="n"/>
      <c r="C22" s="80" t="n"/>
      <c r="D22" s="80" t="n"/>
      <c r="E22" s="80" t="n"/>
      <c r="F22" s="80" t="n"/>
      <c r="G22" s="80" t="n"/>
      <c r="H22" s="80" t="n"/>
      <c r="L22" s="80" t="n"/>
      <c r="M22" s="80" t="n"/>
      <c r="Q22" s="80" t="n"/>
    </row>
    <row r="23" ht="14.25" customHeight="1" s="434">
      <c r="A23" s="80" t="n"/>
      <c r="B23" s="80" t="n"/>
      <c r="C23" s="80" t="n"/>
      <c r="D23" s="80" t="n"/>
      <c r="E23" s="80" t="n"/>
      <c r="F23" s="80" t="n"/>
      <c r="G23" s="80" t="n"/>
      <c r="H23" s="80" t="n"/>
      <c r="L23" s="80" t="n"/>
      <c r="M23" s="80" t="n"/>
      <c r="N23" s="80" t="n"/>
      <c r="O23" s="80" t="n"/>
      <c r="P23" s="80" t="n"/>
      <c r="Q23" s="80" t="n"/>
    </row>
    <row r="24" ht="14.25" customHeight="1" s="434">
      <c r="A24" s="80" t="n"/>
      <c r="B24" s="80" t="n"/>
      <c r="C24" s="80" t="n"/>
      <c r="D24" s="80" t="n"/>
      <c r="E24" s="80" t="n"/>
      <c r="F24" s="80" t="n"/>
      <c r="G24" s="80" t="n"/>
      <c r="H24" s="80" t="n"/>
      <c r="L24" s="80" t="n"/>
      <c r="M24" s="80" t="n"/>
      <c r="N24" s="80" t="n"/>
      <c r="O24" s="80" t="n"/>
      <c r="P24" s="80" t="n"/>
      <c r="Q24" s="80" t="n"/>
    </row>
    <row r="25" ht="14.25" customHeight="1" s="434">
      <c r="A25" s="80" t="n"/>
      <c r="B25" s="80" t="n"/>
      <c r="C25" s="80" t="n"/>
      <c r="D25" s="80" t="n"/>
      <c r="E25" s="80" t="n"/>
      <c r="F25" s="80" t="n"/>
      <c r="G25" s="80" t="n"/>
      <c r="H25" s="80" t="n"/>
      <c r="I25" s="80" t="n"/>
      <c r="J25" s="80" t="n"/>
      <c r="K25" s="80" t="n"/>
      <c r="L25" s="80" t="n"/>
      <c r="M25" s="80" t="n"/>
      <c r="N25" s="80" t="n"/>
      <c r="O25" s="80" t="n"/>
      <c r="P25" s="80" t="n"/>
      <c r="Q25" s="80" t="n"/>
    </row>
    <row r="26" ht="14.25" customHeight="1" s="434">
      <c r="A26" s="80" t="n"/>
      <c r="B26" s="80" t="n"/>
      <c r="C26" s="80" t="n"/>
      <c r="D26" s="80" t="n"/>
      <c r="E26" s="80" t="n"/>
      <c r="F26" s="80" t="n"/>
      <c r="G26" s="80" t="n"/>
      <c r="H26" s="80" t="n"/>
      <c r="I26" s="80" t="n"/>
      <c r="J26" s="80" t="n"/>
      <c r="K26" s="80" t="n"/>
      <c r="L26" s="80" t="n"/>
      <c r="M26" s="80" t="n"/>
      <c r="N26" s="80" t="n"/>
      <c r="O26" s="80" t="n"/>
      <c r="P26" s="80" t="n"/>
      <c r="Q26" s="80" t="n"/>
    </row>
  </sheetData>
  <mergeCells count="9">
    <mergeCell ref="N19:P22"/>
    <mergeCell ref="I21:K24"/>
    <mergeCell ref="B2:C2"/>
    <mergeCell ref="F2:H3"/>
    <mergeCell ref="B12:P16"/>
    <mergeCell ref="D2:E2"/>
    <mergeCell ref="B10:P10"/>
    <mergeCell ref="B3:C3"/>
    <mergeCell ref="D3:E3"/>
  </mergeCells>
  <printOptions horizontalCentered="1" verticalCentered="1"/>
  <pageMargins left="0" right="0" top="0.7874015748031497" bottom="0.3937007874015748" header="0.1181102362204725" footer="0.1181102362204725"/>
  <pageSetup orientation="landscape" paperSize="9" fitToWidth="0"/>
</worksheet>
</file>

<file path=xl/worksheets/sheet2.xml><?xml version="1.0" encoding="utf-8"?>
<worksheet xmlns="http://schemas.openxmlformats.org/spreadsheetml/2006/main">
  <sheetPr codeName="Sheet7">
    <outlinePr summaryBelow="1" summaryRight="1"/>
    <pageSetUpPr/>
  </sheetPr>
  <dimension ref="A1:N54"/>
  <sheetViews>
    <sheetView showGridLines="0" zoomScale="70" zoomScaleNormal="70" zoomScaleSheetLayoutView="70" zoomScalePageLayoutView="70" workbookViewId="0">
      <selection activeCell="A1" sqref="A1:D1"/>
    </sheetView>
  </sheetViews>
  <sheetFormatPr baseColWidth="8" defaultColWidth="38.109375" defaultRowHeight="13.5"/>
  <cols>
    <col width="22.33203125" customWidth="1" style="107" min="1" max="1"/>
    <col width="36.77734375" customWidth="1" style="107" min="2" max="2"/>
    <col width="19" customWidth="1" style="124" min="3" max="3"/>
    <col width="38.109375" customWidth="1" style="107" min="4" max="5"/>
    <col width="4" customWidth="1" style="107" min="6" max="6"/>
    <col width="38.109375" customWidth="1" style="107" min="7" max="16384"/>
  </cols>
  <sheetData>
    <row r="1" ht="43.9" customFormat="1" customHeight="1" s="105">
      <c r="A1" s="288" t="inlineStr">
        <is>
          <t>▣ 위험조치 계획 수립</t>
        </is>
      </c>
    </row>
    <row r="2" ht="13.5" customHeight="1" s="434">
      <c r="A2" s="106" t="n"/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  <c r="K2" s="106" t="n"/>
      <c r="L2" s="106" t="n"/>
      <c r="M2" s="106" t="n"/>
      <c r="N2" s="106" t="n"/>
    </row>
    <row r="3" ht="19.15" customFormat="1" customHeight="1" s="109">
      <c r="A3" s="289" t="inlineStr">
        <is>
          <t xml:space="preserve">위험 분석 및 평가 단계에서 도출된 개선사항을 기반으로 해당 조직의 정보보호 수준을 단계적으로 향상시키고, 위험에 대한 보호대책을 효과적으로 적용하기 위하여 적용시기, 담당부서 및 담당자, 계획 대비 실적을 명시한 위험조치 계획을 작성합니다.
</t>
        </is>
      </c>
      <c r="F3" s="108" t="n"/>
      <c r="G3" s="108" t="n"/>
      <c r="H3" s="108" t="n"/>
      <c r="I3" s="108" t="n"/>
      <c r="J3" s="108" t="n"/>
      <c r="K3" s="108" t="n"/>
      <c r="L3" s="108" t="n"/>
      <c r="M3" s="108" t="n"/>
      <c r="N3" s="108" t="n"/>
    </row>
    <row r="4" ht="17.25" customFormat="1" customHeight="1" s="109">
      <c r="F4" s="108" t="n"/>
      <c r="G4" s="108" t="n"/>
      <c r="H4" s="108" t="n"/>
      <c r="I4" s="108" t="n"/>
      <c r="J4" s="108" t="n"/>
      <c r="K4" s="108" t="n"/>
      <c r="L4" s="108" t="n"/>
      <c r="M4" s="108" t="n"/>
      <c r="N4" s="108" t="n"/>
    </row>
    <row r="5" ht="17.25" customFormat="1" customHeight="1" s="109">
      <c r="A5" s="110" t="inlineStr">
        <is>
          <t>1.1 위험 관리 기준</t>
        </is>
      </c>
      <c r="B5" s="111" t="n"/>
      <c r="C5" s="111" t="n"/>
      <c r="D5" s="111" t="n"/>
      <c r="E5" s="111" t="n"/>
      <c r="F5" s="111" t="n"/>
      <c r="G5" s="111" t="n"/>
      <c r="H5" s="111" t="n"/>
      <c r="I5" s="111" t="n"/>
      <c r="J5" s="111" t="n"/>
      <c r="K5" s="111" t="n"/>
      <c r="L5" s="111" t="n"/>
      <c r="M5" s="111" t="n"/>
      <c r="N5" s="111" t="n"/>
    </row>
    <row r="6" ht="17.25" customFormat="1" customHeight="1" s="109">
      <c r="A6" s="278" t="inlineStr">
        <is>
          <t>구분</t>
        </is>
      </c>
      <c r="B6" s="435" t="n"/>
      <c r="C6" s="278" t="inlineStr">
        <is>
          <t>내 용</t>
        </is>
      </c>
      <c r="D6" s="442" t="n"/>
      <c r="E6" s="435" t="n"/>
      <c r="F6" s="111" t="n"/>
      <c r="G6" s="111" t="n"/>
      <c r="H6" s="111" t="n"/>
      <c r="I6" s="111" t="n"/>
      <c r="J6" s="111" t="n"/>
      <c r="K6" s="111" t="n"/>
      <c r="L6" s="111" t="n"/>
      <c r="M6" s="111" t="n"/>
      <c r="N6" s="111" t="n"/>
    </row>
    <row r="7" ht="21.6" customFormat="1" customHeight="1" s="109">
      <c r="A7" s="276" t="inlineStr">
        <is>
          <t>위험회피</t>
        </is>
      </c>
      <c r="B7" s="438" t="n"/>
      <c r="C7" s="287" t="inlineStr">
        <is>
          <t>위험을 감소 혹은 제거시키기 위한 제반 비용이 해당 자산의 중요도보다 크거나 기타 다른 이유로 인해서 해당 자산을 폐기함으로써 위험을 제거하는 경우</t>
        </is>
      </c>
      <c r="D7" s="437" t="n"/>
      <c r="E7" s="438" t="n"/>
      <c r="F7" s="112" t="n"/>
      <c r="G7" s="112" t="n"/>
      <c r="H7" s="112" t="n"/>
      <c r="I7" s="112" t="n"/>
      <c r="J7" s="112" t="n"/>
      <c r="K7" s="112" t="n"/>
      <c r="L7" s="112" t="n"/>
      <c r="M7" s="112" t="n"/>
      <c r="N7" s="111" t="n"/>
    </row>
    <row r="8" ht="21.6" customFormat="1" customHeight="1" s="109">
      <c r="A8" s="439" t="n"/>
      <c r="B8" s="441" t="n"/>
      <c r="C8" s="439" t="n"/>
      <c r="D8" s="440" t="n"/>
      <c r="E8" s="441" t="n"/>
      <c r="F8" s="112" t="n"/>
      <c r="G8" s="112" t="n"/>
      <c r="H8" s="112" t="n"/>
      <c r="I8" s="112" t="n"/>
      <c r="J8" s="112" t="n"/>
      <c r="K8" s="112" t="n"/>
      <c r="L8" s="112" t="n"/>
      <c r="M8" s="112" t="n"/>
      <c r="N8" s="111" t="n"/>
    </row>
    <row r="9" ht="21.6" customFormat="1" customHeight="1" s="109">
      <c r="A9" s="276" t="inlineStr">
        <is>
          <t>위험전이</t>
        </is>
      </c>
      <c r="B9" s="438" t="n"/>
      <c r="C9" s="287" t="inlineStr">
        <is>
          <t>보험 및 제휴, 합작과 같은 방안을 활용하는 경우로 위험이 전이된 조직이 위험의 본질을 이해하고 효과적으로 관리할 수 있어야 함</t>
        </is>
      </c>
      <c r="D9" s="437" t="n"/>
      <c r="E9" s="438" t="n"/>
      <c r="F9" s="112" t="n"/>
      <c r="G9" s="112" t="n"/>
      <c r="H9" s="112" t="n"/>
      <c r="I9" s="112" t="n"/>
      <c r="J9" s="112" t="n"/>
      <c r="K9" s="112" t="n"/>
      <c r="L9" s="112" t="n"/>
      <c r="M9" s="112" t="n"/>
      <c r="N9" s="111" t="n"/>
    </row>
    <row r="10" ht="21.6" customFormat="1" customHeight="1" s="109">
      <c r="A10" s="439" t="n"/>
      <c r="B10" s="441" t="n"/>
      <c r="C10" s="439" t="n"/>
      <c r="D10" s="440" t="n"/>
      <c r="E10" s="441" t="n"/>
      <c r="F10" s="112" t="n"/>
      <c r="G10" s="112" t="n"/>
      <c r="H10" s="112" t="n"/>
      <c r="I10" s="112" t="n"/>
      <c r="J10" s="112" t="n"/>
      <c r="K10" s="112" t="n"/>
      <c r="L10" s="112" t="n"/>
      <c r="M10" s="112" t="n"/>
      <c r="N10" s="111" t="n"/>
    </row>
    <row r="11" ht="21.6" customFormat="1" customHeight="1" s="109">
      <c r="A11" s="276" t="inlineStr">
        <is>
          <t>위험감소</t>
        </is>
      </c>
      <c r="B11" s="438" t="n"/>
      <c r="C11" s="287" t="inlineStr">
        <is>
          <t>위험을 수용 가능한 수준으로 낮추기 위해 필요한 통제를 적용하는 경우로 대책을 정의하고, 각 활동을 위한 책임을 부여하여 모니터링 하는 등의 조치를 수행함</t>
        </is>
      </c>
      <c r="D11" s="437" t="n"/>
      <c r="E11" s="438" t="n"/>
      <c r="F11" s="112" t="n"/>
      <c r="G11" s="112" t="n"/>
      <c r="H11" s="112" t="n"/>
      <c r="I11" s="112" t="n"/>
      <c r="J11" s="112" t="n"/>
      <c r="K11" s="112" t="n"/>
      <c r="L11" s="112" t="n"/>
      <c r="M11" s="112" t="n"/>
      <c r="N11" s="111" t="n"/>
    </row>
    <row r="12" ht="21.6" customFormat="1" customHeight="1" s="109">
      <c r="A12" s="439" t="n"/>
      <c r="B12" s="441" t="n"/>
      <c r="C12" s="439" t="n"/>
      <c r="D12" s="440" t="n"/>
      <c r="E12" s="441" t="n"/>
      <c r="F12" s="111" t="n"/>
      <c r="G12" s="111" t="n"/>
      <c r="H12" s="111" t="n"/>
      <c r="I12" s="111" t="n"/>
      <c r="J12" s="111" t="n"/>
      <c r="K12" s="111" t="n"/>
      <c r="L12" s="111" t="n"/>
      <c r="M12" s="111" t="n"/>
      <c r="N12" s="111" t="n"/>
    </row>
    <row r="13" ht="21.6" customFormat="1" customHeight="1" s="109">
      <c r="A13" s="276" t="inlineStr">
        <is>
          <t>위험수용</t>
        </is>
      </c>
      <c r="B13" s="438" t="n"/>
      <c r="C13" s="287" t="inlineStr">
        <is>
          <t>특별한 대책을 수립하지 않고 위험을 수용하는 경우로 위험을 감소하거나 회피하기 위한 수단이 적절하지 않거나 비용효익 측면에서 실익이 없는 경우에만 적용함</t>
        </is>
      </c>
      <c r="D13" s="437" t="n"/>
      <c r="E13" s="438" t="n"/>
      <c r="F13" s="111" t="n"/>
      <c r="G13" s="111" t="n"/>
      <c r="H13" s="111" t="n"/>
      <c r="I13" s="111" t="n"/>
      <c r="J13" s="111" t="n"/>
      <c r="K13" s="111" t="n"/>
      <c r="L13" s="111" t="n"/>
      <c r="M13" s="111" t="n"/>
      <c r="N13" s="111" t="n"/>
    </row>
    <row r="14" ht="21.6" customFormat="1" customHeight="1" s="109">
      <c r="A14" s="439" t="n"/>
      <c r="B14" s="441" t="n"/>
      <c r="C14" s="439" t="n"/>
      <c r="D14" s="440" t="n"/>
      <c r="E14" s="441" t="n"/>
      <c r="F14" s="111" t="n"/>
      <c r="G14" s="111" t="n"/>
      <c r="H14" s="111" t="n"/>
      <c r="I14" s="111" t="n"/>
      <c r="J14" s="111" t="n"/>
      <c r="K14" s="111" t="n"/>
      <c r="L14" s="111" t="n"/>
      <c r="M14" s="111" t="n"/>
      <c r="N14" s="111" t="n"/>
    </row>
    <row r="15" ht="17.25" customFormat="1" customHeight="1" s="109">
      <c r="A15" s="111" t="n"/>
      <c r="B15" s="111" t="n"/>
      <c r="C15" s="111" t="n"/>
      <c r="D15" s="111" t="n"/>
      <c r="E15" s="111" t="n"/>
      <c r="F15" s="111" t="n"/>
      <c r="G15" s="111" t="n"/>
      <c r="H15" s="111" t="n"/>
      <c r="I15" s="111" t="n"/>
      <c r="J15" s="111" t="n"/>
      <c r="K15" s="111" t="n"/>
      <c r="L15" s="111" t="n"/>
      <c r="M15" s="111" t="n"/>
      <c r="N15" s="111" t="n"/>
    </row>
    <row r="16" ht="17.25" customFormat="1" customHeight="1" s="109">
      <c r="A16" s="113" t="inlineStr">
        <is>
          <t>1.2 우선순위 산정</t>
        </is>
      </c>
      <c r="B16" s="113" t="n"/>
      <c r="C16" s="113" t="n"/>
      <c r="D16" s="113" t="n"/>
      <c r="E16" s="111" t="n"/>
      <c r="F16" s="111" t="n"/>
      <c r="G16" s="111" t="n"/>
      <c r="H16" s="111" t="n"/>
      <c r="I16" s="111" t="n"/>
      <c r="J16" s="111" t="n"/>
      <c r="K16" s="111" t="n"/>
      <c r="L16" s="111" t="n"/>
      <c r="M16" s="111" t="n"/>
      <c r="N16" s="111" t="n"/>
    </row>
    <row r="17" ht="17.25" customFormat="1" customHeight="1" s="109">
      <c r="A17" s="283" t="inlineStr">
        <is>
          <t xml:space="preserve">선정된 보호대책의 적용시기를 결정하기 위해 예산의 가용 정도, 위험도, 이행의 용이성 등을 고려하여 우선순위를 산정합니다. </t>
        </is>
      </c>
    </row>
    <row r="18" ht="17.25" customFormat="1" customHeight="1" s="109">
      <c r="A18" s="114" t="inlineStr">
        <is>
          <t>평가구분</t>
        </is>
      </c>
      <c r="B18" s="115" t="inlineStr">
        <is>
          <t>점수</t>
        </is>
      </c>
      <c r="C18" s="278" t="inlineStr">
        <is>
          <t>평가 기준</t>
        </is>
      </c>
      <c r="D18" s="442" t="n"/>
      <c r="E18" s="435" t="n"/>
      <c r="M18" s="111" t="n"/>
      <c r="N18" s="111" t="n"/>
    </row>
    <row r="19" ht="17.25" customFormat="1" customHeight="1" s="109">
      <c r="A19" s="120" t="inlineStr">
        <is>
          <t>구축비용</t>
        </is>
      </c>
      <c r="B19" s="116" t="n">
        <v>5</v>
      </c>
      <c r="C19" s="279" t="inlineStr">
        <is>
          <t>없음</t>
        </is>
      </c>
      <c r="D19" s="442" t="n"/>
      <c r="E19" s="435" t="n"/>
      <c r="M19" s="111" t="n"/>
      <c r="N19" s="111" t="n"/>
    </row>
    <row r="20" ht="17.25" customFormat="1" customHeight="1" s="109">
      <c r="A20" s="443" t="n"/>
      <c r="B20" s="116" t="n">
        <v>4</v>
      </c>
      <c r="C20" s="279" t="inlineStr">
        <is>
          <t>1천만원 이하</t>
        </is>
      </c>
      <c r="D20" s="442" t="n"/>
      <c r="E20" s="435" t="n"/>
      <c r="M20" s="111" t="n"/>
      <c r="N20" s="111" t="n"/>
    </row>
    <row r="21" ht="17.25" customFormat="1" customHeight="1" s="109">
      <c r="A21" s="443" t="n"/>
      <c r="B21" s="116" t="n">
        <v>3</v>
      </c>
      <c r="C21" s="279" t="inlineStr">
        <is>
          <t>1천만원 초과~ 5천만원 이하</t>
        </is>
      </c>
      <c r="D21" s="442" t="n"/>
      <c r="E21" s="435" t="n"/>
      <c r="M21" s="111" t="n"/>
      <c r="N21" s="111" t="n"/>
    </row>
    <row r="22" ht="17.25" customFormat="1" customHeight="1" s="109">
      <c r="A22" s="443" t="n"/>
      <c r="B22" s="116" t="n">
        <v>2</v>
      </c>
      <c r="C22" s="279" t="inlineStr">
        <is>
          <t>5천만원초과 ~ 2억원 이하</t>
        </is>
      </c>
      <c r="D22" s="442" t="n"/>
      <c r="E22" s="435" t="n"/>
      <c r="M22" s="111" t="n"/>
      <c r="N22" s="111" t="n"/>
    </row>
    <row r="23" ht="17.25" customFormat="1" customHeight="1" s="109">
      <c r="A23" s="444" t="n"/>
      <c r="B23" s="116" t="n">
        <v>1</v>
      </c>
      <c r="C23" s="279" t="inlineStr">
        <is>
          <t>2억원 초과</t>
        </is>
      </c>
      <c r="D23" s="442" t="n"/>
      <c r="E23" s="435" t="n"/>
      <c r="M23" s="111" t="n"/>
      <c r="N23" s="111" t="n"/>
    </row>
    <row r="24" ht="15.6" customFormat="1" customHeight="1" s="109">
      <c r="A24" s="276" t="inlineStr">
        <is>
          <t>전체
위험도</t>
        </is>
      </c>
      <c r="B24" s="116" t="n">
        <v>5</v>
      </c>
      <c r="C24" s="279" t="inlineStr">
        <is>
          <t>매우높음(보호대책을 수행하지 않을 경우 중대한 보안 취약성을 내재하거나, 
해킹 가능성이 매우 높음)</t>
        </is>
      </c>
      <c r="D24" s="442" t="n"/>
      <c r="E24" s="435" t="n"/>
      <c r="M24" s="111" t="n"/>
      <c r="N24" s="111" t="n"/>
    </row>
    <row r="25" ht="17.25" customFormat="1" customHeight="1" s="109">
      <c r="A25" s="443" t="n"/>
      <c r="B25" s="116" t="n">
        <v>4</v>
      </c>
      <c r="C25" s="279" t="inlineStr">
        <is>
          <t>높음(보호대책을 수행하지 않을 경우 보안이 상당히 취약하거나, 해킹 가능성이 높음)</t>
        </is>
      </c>
      <c r="D25" s="442" t="n"/>
      <c r="E25" s="435" t="n"/>
      <c r="M25" s="111" t="n"/>
      <c r="N25" s="111" t="n"/>
    </row>
    <row r="26" ht="17.25" customFormat="1" customHeight="1" s="109">
      <c r="A26" s="443" t="n"/>
      <c r="B26" s="116" t="n">
        <v>3</v>
      </c>
      <c r="C26" s="279" t="inlineStr">
        <is>
          <t>보통(보호대책을 수행하지 않을 경우 보안이 어느 정도 취약하거나, 해킹 가능성 있음)</t>
        </is>
      </c>
      <c r="D26" s="442" t="n"/>
      <c r="E26" s="435" t="n"/>
      <c r="M26" s="111" t="n"/>
      <c r="N26" s="111" t="n"/>
    </row>
    <row r="27" ht="17.25" customFormat="1" customHeight="1" s="109">
      <c r="A27" s="443" t="n"/>
      <c r="B27" s="116" t="n">
        <v>2</v>
      </c>
      <c r="C27" s="279" t="inlineStr">
        <is>
          <t>낮음(보호대책을 수행하지 않을 경우 보안 취약성이 낮음)</t>
        </is>
      </c>
      <c r="D27" s="442" t="n"/>
      <c r="E27" s="435" t="n"/>
      <c r="M27" s="111" t="n"/>
      <c r="N27" s="111" t="n"/>
    </row>
    <row r="28" ht="17.25" customFormat="1" customHeight="1" s="109">
      <c r="A28" s="444" t="n"/>
      <c r="B28" s="116" t="n">
        <v>1</v>
      </c>
      <c r="C28" s="279" t="inlineStr">
        <is>
          <t>매우 낮음 (예: 보호대책을 수행하지 않을 경우 별다른 보안 취약성이 없음)</t>
        </is>
      </c>
      <c r="D28" s="442" t="n"/>
      <c r="E28" s="435" t="n"/>
      <c r="M28" s="111" t="n"/>
      <c r="N28" s="111" t="n"/>
    </row>
    <row r="29" ht="17.25" customFormat="1" customHeight="1" s="109">
      <c r="A29" s="120" t="inlineStr">
        <is>
          <t>난이도</t>
        </is>
      </c>
      <c r="B29" s="116" t="n">
        <v>5</v>
      </c>
      <c r="C29" s="279" t="inlineStr">
        <is>
          <t>매우 낮음 (개발의 부서 자체적으로 지연 또는 장애 없이 예정된 기간내에 수행 가능함)</t>
        </is>
      </c>
      <c r="D29" s="442" t="n"/>
      <c r="E29" s="435" t="n"/>
      <c r="M29" s="111" t="n"/>
      <c r="N29" s="111" t="n"/>
    </row>
    <row r="30" ht="17.25" customFormat="1" customHeight="1" s="109">
      <c r="A30" s="443" t="n"/>
      <c r="B30" s="116" t="n">
        <v>4</v>
      </c>
      <c r="C30" s="279" t="inlineStr">
        <is>
          <t>낮음 (개발의 부서 자체적 수행이 어려워 타 부서의 협조 또는 동의를 받아야 함)</t>
        </is>
      </c>
      <c r="D30" s="442" t="n"/>
      <c r="E30" s="435" t="n"/>
      <c r="M30" s="111" t="n"/>
      <c r="N30" s="111" t="n"/>
    </row>
    <row r="31" ht="17.25" customFormat="1" customHeight="1" s="109">
      <c r="A31" s="443" t="n"/>
      <c r="B31" s="116" t="n">
        <v>3</v>
      </c>
      <c r="C31" s="279" t="inlineStr">
        <is>
          <t>보통 (자체적으로 수행이 불가능하여 외부 협력업체의 협조를 받아야 함)</t>
        </is>
      </c>
      <c r="D31" s="442" t="n"/>
      <c r="E31" s="435" t="n"/>
      <c r="M31" s="111" t="n"/>
      <c r="N31" s="111" t="n"/>
    </row>
    <row r="32" ht="17.25" customFormat="1" customHeight="1" s="109">
      <c r="A32" s="443" t="n"/>
      <c r="B32" s="116" t="n">
        <v>2</v>
      </c>
      <c r="C32" s="279" t="inlineStr">
        <is>
          <t>높음 (커스터마이징 또는 인터페이스 부분이 충분히 검증되지 않음으로써 다소 문제점 예상됨)</t>
        </is>
      </c>
      <c r="D32" s="442" t="n"/>
      <c r="E32" s="435" t="n"/>
      <c r="M32" s="111" t="n"/>
      <c r="N32" s="111" t="n"/>
    </row>
    <row r="33" ht="17.25" customFormat="1" customHeight="1" s="109">
      <c r="A33" s="444" t="n"/>
      <c r="B33" s="116" t="n">
        <v>1</v>
      </c>
      <c r="C33" s="279" t="inlineStr">
        <is>
          <t>매우 높음 (커스터마이징 또는 인터페이스 부분이 충분히 검증되지 않음으로써 상당한 문제점 예상됨)</t>
        </is>
      </c>
      <c r="D33" s="442" t="n"/>
      <c r="E33" s="435" t="n"/>
      <c r="M33" s="111" t="n"/>
      <c r="N33" s="111" t="n"/>
    </row>
    <row r="34" ht="17.25" customFormat="1" customHeight="1" s="109">
      <c r="A34" s="111" t="n"/>
      <c r="B34" s="111" t="n"/>
      <c r="C34" s="117" t="n"/>
      <c r="D34" s="118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1" t="n"/>
      <c r="N34" s="111" t="n"/>
    </row>
    <row r="35" ht="17.25" customFormat="1" customHeight="1" s="109">
      <c r="A35" s="113" t="inlineStr">
        <is>
          <t>1.3  적용시기 산정</t>
        </is>
      </c>
      <c r="B35" s="111" t="n"/>
      <c r="C35" s="111" t="n"/>
      <c r="D35" s="111" t="n"/>
      <c r="E35" s="111" t="n"/>
      <c r="F35" s="111" t="n"/>
      <c r="G35" s="111" t="n"/>
      <c r="H35" s="111" t="n"/>
      <c r="I35" s="111" t="n"/>
      <c r="J35" s="111" t="n"/>
      <c r="K35" s="111" t="n"/>
      <c r="L35" s="111" t="n"/>
      <c r="M35" s="111" t="n"/>
      <c r="N35" s="111" t="n"/>
    </row>
    <row r="36" ht="17.25" customFormat="1" customHeight="1" s="109">
      <c r="A36" s="283" t="inlineStr">
        <is>
          <t>도출된 우선 순위별  보호대책을  적용하기 위해 수행시기에 따라 단기/중기/장기로 분류합니다.</t>
        </is>
      </c>
    </row>
    <row r="37" ht="15.6" customFormat="1" customHeight="1" s="109">
      <c r="A37" s="278" t="inlineStr">
        <is>
          <t>통제 적용시기</t>
        </is>
      </c>
      <c r="B37" s="442" t="n"/>
      <c r="C37" s="435" t="n"/>
      <c r="D37" s="278" t="inlineStr">
        <is>
          <t>적용기준</t>
        </is>
      </c>
      <c r="E37" s="435" t="n"/>
      <c r="M37" s="111" t="n"/>
      <c r="N37" s="111" t="n"/>
    </row>
    <row r="38" ht="17.25" customFormat="1" customHeight="1" s="109">
      <c r="A38" s="120" t="inlineStr">
        <is>
          <t>단기</t>
        </is>
      </c>
      <c r="B38" s="279" t="inlineStr">
        <is>
          <t>비용 : 5, 위험도+난이도 : 7이상</t>
        </is>
      </c>
      <c r="C38" s="279" t="inlineStr">
        <is>
          <t>13~15</t>
        </is>
      </c>
      <c r="D38" s="279" t="inlineStr">
        <is>
          <t>보통 3개월 이내에 조치가 가능한 보호대책</t>
        </is>
      </c>
      <c r="E38" s="435" t="n"/>
      <c r="M38" s="111" t="n"/>
      <c r="N38" s="111" t="n"/>
    </row>
    <row r="39" ht="17.25" customFormat="1" customHeight="1" s="109">
      <c r="A39" s="120" t="inlineStr">
        <is>
          <t>중기</t>
        </is>
      </c>
      <c r="B39" s="279" t="inlineStr">
        <is>
          <t>비용, 위험도, 난이도 : 3~4</t>
        </is>
      </c>
      <c r="C39" s="279" t="inlineStr">
        <is>
          <t>9~12</t>
        </is>
      </c>
      <c r="D39" s="279" t="inlineStr">
        <is>
          <t>보통 6개월 이내에 조치가 가능한 보호대책</t>
        </is>
      </c>
      <c r="E39" s="435" t="n"/>
      <c r="M39" s="111" t="n"/>
      <c r="N39" s="111" t="n"/>
    </row>
    <row r="40" ht="17.25" customFormat="1" customHeight="1" s="109">
      <c r="A40" s="120" t="inlineStr">
        <is>
          <t>장기</t>
        </is>
      </c>
      <c r="B40" s="279" t="inlineStr">
        <is>
          <t>비용+위험도+난이도 : 9미만</t>
        </is>
      </c>
      <c r="C40" s="279" t="inlineStr">
        <is>
          <t>9미만</t>
        </is>
      </c>
      <c r="D40" s="279" t="inlineStr">
        <is>
          <t>6개월 이상의 기간이 소요되는 보호대책</t>
        </is>
      </c>
      <c r="E40" s="435" t="n"/>
      <c r="M40" s="111" t="n"/>
      <c r="N40" s="111" t="n"/>
    </row>
    <row r="41" ht="17.25" customFormat="1" customHeight="1" s="109">
      <c r="A41" s="111" t="n"/>
      <c r="B41" s="111" t="n"/>
      <c r="C41" s="111" t="n"/>
      <c r="D41" s="111" t="n"/>
      <c r="E41" s="111" t="n"/>
      <c r="F41" s="111" t="n"/>
      <c r="G41" s="111" t="n"/>
      <c r="H41" s="111" t="n"/>
      <c r="I41" s="111" t="n"/>
      <c r="J41" s="111" t="n"/>
      <c r="K41" s="111" t="n"/>
      <c r="L41" s="111" t="n"/>
      <c r="M41" s="111" t="n"/>
      <c r="N41" s="111" t="n"/>
    </row>
    <row r="42" ht="17.25" customFormat="1" customHeight="1" s="109">
      <c r="A42" s="113" t="inlineStr">
        <is>
          <t>1.4  조치계획</t>
        </is>
      </c>
      <c r="B42" s="111" t="n"/>
      <c r="C42" s="111" t="n"/>
      <c r="D42" s="111" t="n"/>
      <c r="E42" s="111" t="n"/>
      <c r="F42" s="111" t="n"/>
      <c r="G42" s="111" t="n"/>
      <c r="H42" s="111" t="n"/>
      <c r="I42" s="111" t="n"/>
      <c r="J42" s="111" t="n"/>
      <c r="K42" s="111" t="n"/>
      <c r="L42" s="111" t="n"/>
      <c r="M42" s="111" t="n"/>
      <c r="N42" s="111" t="n"/>
    </row>
    <row r="43" ht="17.25" customFormat="1" customHeight="1" s="109">
      <c r="A43" s="111" t="inlineStr">
        <is>
          <t>정보보호 대책을 이행하기 위한 구체적인 시기 및 담당자/담당부서를 정의합니다.</t>
        </is>
      </c>
      <c r="B43" s="111" t="n"/>
      <c r="C43" s="111" t="n"/>
      <c r="D43" s="111" t="n"/>
      <c r="E43" s="111" t="n"/>
      <c r="F43" s="111" t="n"/>
      <c r="G43" s="111" t="n"/>
      <c r="H43" s="111" t="n"/>
      <c r="I43" s="111" t="n"/>
      <c r="J43" s="111" t="n"/>
      <c r="K43" s="111" t="n"/>
      <c r="L43" s="111" t="n"/>
      <c r="M43" s="111" t="n"/>
      <c r="N43" s="111" t="n"/>
    </row>
    <row r="44" ht="17.25" customFormat="1" customHeight="1" s="109">
      <c r="A44" s="278" t="inlineStr">
        <is>
          <t>구분</t>
        </is>
      </c>
      <c r="B44" s="435" t="n"/>
      <c r="C44" s="278" t="inlineStr">
        <is>
          <t>내 용</t>
        </is>
      </c>
      <c r="D44" s="442" t="n"/>
      <c r="E44" s="435" t="n"/>
      <c r="F44" s="122" t="n"/>
      <c r="G44" s="122" t="n"/>
      <c r="H44" s="122" t="n"/>
      <c r="I44" s="122" t="n"/>
      <c r="J44" s="122" t="n"/>
      <c r="K44" s="122" t="n"/>
      <c r="L44" s="122" t="n"/>
      <c r="M44" s="122" t="n"/>
      <c r="N44" s="111" t="n"/>
    </row>
    <row r="45" ht="32.45" customFormat="1" customHeight="1" s="109">
      <c r="A45" s="276" t="inlineStr">
        <is>
          <t>언제</t>
        </is>
      </c>
      <c r="B45" s="435" t="n"/>
      <c r="C45" s="277" t="inlineStr">
        <is>
          <t>보호대책을 이행하기 위한 구체적인 시기(년/월/일)</t>
        </is>
      </c>
      <c r="D45" s="442" t="n"/>
      <c r="E45" s="435" t="n"/>
      <c r="F45" s="122" t="n"/>
      <c r="G45" s="122" t="n"/>
      <c r="H45" s="122" t="n"/>
      <c r="I45" s="122" t="n"/>
      <c r="J45" s="122" t="n"/>
      <c r="K45" s="122" t="n"/>
      <c r="L45" s="122" t="n"/>
      <c r="M45" s="122" t="n"/>
      <c r="N45" s="111" t="n"/>
    </row>
    <row r="46" ht="32.45" customFormat="1" customHeight="1" s="109">
      <c r="A46" s="276" t="inlineStr">
        <is>
          <t>누가</t>
        </is>
      </c>
      <c r="B46" s="435" t="n"/>
      <c r="C46" s="277" t="inlineStr">
        <is>
          <t>보호대책 이행을 주관하는 담당부서 및 담당자</t>
        </is>
      </c>
      <c r="D46" s="442" t="n"/>
      <c r="E46" s="435" t="n"/>
      <c r="F46" s="122" t="n"/>
      <c r="G46" s="122" t="n"/>
      <c r="H46" s="122" t="n"/>
      <c r="I46" s="122" t="n"/>
      <c r="J46" s="122" t="n"/>
      <c r="K46" s="122" t="n"/>
      <c r="L46" s="122" t="n"/>
      <c r="M46" s="122" t="n"/>
      <c r="N46" s="111" t="n"/>
    </row>
    <row r="47" ht="17.25" customFormat="1" customHeight="1" s="109">
      <c r="A47" s="111" t="n"/>
      <c r="B47" s="111" t="n"/>
      <c r="C47" s="111" t="n"/>
      <c r="D47" s="111" t="n"/>
      <c r="E47" s="111" t="n"/>
      <c r="F47" s="111" t="n"/>
      <c r="G47" s="111" t="n"/>
      <c r="H47" s="111" t="n"/>
      <c r="I47" s="111" t="n"/>
      <c r="J47" s="111" t="n"/>
      <c r="K47" s="111" t="n"/>
      <c r="L47" s="111" t="n"/>
      <c r="M47" s="111" t="n"/>
      <c r="N47" s="111" t="n"/>
    </row>
    <row r="48" ht="17.25" customFormat="1" customHeight="1" s="109">
      <c r="A48" s="113" t="inlineStr">
        <is>
          <t>1.4 계획대비 실적</t>
        </is>
      </c>
      <c r="B48" s="111" t="n"/>
      <c r="C48" s="111" t="n"/>
      <c r="D48" s="111" t="n"/>
      <c r="E48" s="111" t="n"/>
      <c r="F48" s="111" t="n"/>
      <c r="G48" s="111" t="n"/>
      <c r="H48" s="111" t="n"/>
      <c r="I48" s="111" t="n"/>
      <c r="J48" s="111" t="n"/>
      <c r="K48" s="111" t="n"/>
      <c r="L48" s="111" t="n"/>
      <c r="M48" s="111" t="n"/>
      <c r="N48" s="111" t="n"/>
    </row>
    <row r="49" ht="17.25" customFormat="1" customHeight="1" s="109">
      <c r="A49" s="111" t="inlineStr">
        <is>
          <t>현 시점에서 보호대책의 추진 및 이행관리를 위하여 계획 대비 이행 실적을 평가합니다.</t>
        </is>
      </c>
      <c r="B49" s="111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1" t="n"/>
      <c r="L49" s="111" t="n"/>
      <c r="M49" s="111" t="n"/>
      <c r="N49" s="111" t="n"/>
    </row>
    <row r="50" ht="17.25" customFormat="1" customHeight="1" s="109">
      <c r="A50" s="278" t="inlineStr">
        <is>
          <t>구분</t>
        </is>
      </c>
      <c r="B50" s="435" t="n"/>
      <c r="C50" s="278" t="inlineStr">
        <is>
          <t>내 용</t>
        </is>
      </c>
      <c r="D50" s="442" t="n"/>
      <c r="E50" s="435" t="n"/>
      <c r="F50" s="122" t="n"/>
      <c r="G50" s="122" t="n"/>
      <c r="H50" s="122" t="n"/>
      <c r="I50" s="122" t="n"/>
      <c r="J50" s="122" t="n"/>
      <c r="K50" s="122" t="n"/>
      <c r="L50" s="122" t="n"/>
      <c r="M50" s="122" t="n"/>
      <c r="N50" s="111" t="n"/>
    </row>
    <row r="51" ht="31.9" customFormat="1" customHeight="1" s="109">
      <c r="A51" s="276" t="inlineStr">
        <is>
          <t>위험조치 방법</t>
        </is>
      </c>
      <c r="B51" s="435" t="n"/>
      <c r="C51" s="277" t="inlineStr">
        <is>
          <t xml:space="preserve">보호대책 이행 방법 및 조치 내역 </t>
        </is>
      </c>
      <c r="D51" s="442" t="n"/>
      <c r="E51" s="435" t="n"/>
      <c r="F51" s="122" t="n"/>
      <c r="G51" s="122" t="n"/>
      <c r="H51" s="122" t="n"/>
      <c r="I51" s="122" t="n"/>
      <c r="J51" s="122" t="n"/>
      <c r="K51" s="122" t="n"/>
      <c r="L51" s="122" t="n"/>
      <c r="M51" s="122" t="n"/>
      <c r="N51" s="111" t="n"/>
    </row>
    <row r="52" ht="31.9" customFormat="1" customHeight="1" s="109">
      <c r="A52" s="276" t="inlineStr">
        <is>
          <t>위험조치 결과</t>
        </is>
      </c>
      <c r="B52" s="435" t="n"/>
      <c r="C52" s="277" t="inlineStr">
        <is>
          <t>보호대책 이행 후 결과</t>
        </is>
      </c>
      <c r="D52" s="442" t="n"/>
      <c r="E52" s="435" t="n"/>
      <c r="F52" s="122" t="n"/>
      <c r="G52" s="122" t="n"/>
      <c r="H52" s="122" t="n"/>
      <c r="I52" s="122" t="n"/>
      <c r="J52" s="122" t="n"/>
      <c r="K52" s="122" t="n"/>
      <c r="L52" s="122" t="n"/>
      <c r="M52" s="122" t="n"/>
      <c r="N52" s="111" t="n"/>
    </row>
    <row r="53" ht="31.9" customFormat="1" customHeight="1" s="109">
      <c r="A53" s="276" t="inlineStr">
        <is>
          <t>미조치 사유</t>
        </is>
      </c>
      <c r="B53" s="435" t="n"/>
      <c r="C53" s="277" t="inlineStr">
        <is>
          <t>보호대책을 적용할 수 없는 사유</t>
        </is>
      </c>
      <c r="D53" s="442" t="n"/>
      <c r="E53" s="435" t="n"/>
      <c r="F53" s="122" t="n"/>
      <c r="G53" s="122" t="n"/>
      <c r="H53" s="122" t="n"/>
      <c r="I53" s="122" t="n"/>
      <c r="J53" s="122" t="n"/>
      <c r="K53" s="122" t="n"/>
      <c r="L53" s="122" t="n"/>
      <c r="M53" s="122" t="n"/>
      <c r="N53" s="111" t="n"/>
    </row>
    <row r="54" ht="17.25" customFormat="1" customHeight="1" s="109">
      <c r="A54" s="123" t="n"/>
      <c r="B54" s="123" t="n"/>
      <c r="C54" s="123" t="n"/>
      <c r="D54" s="123" t="n"/>
      <c r="E54" s="123" t="n"/>
      <c r="F54" s="123" t="n"/>
      <c r="G54" s="123" t="n"/>
      <c r="H54" s="123" t="n"/>
      <c r="I54" s="123" t="n"/>
      <c r="J54" s="123" t="n"/>
      <c r="K54" s="123" t="n"/>
      <c r="L54" s="123" t="n"/>
      <c r="M54" s="123" t="n"/>
      <c r="N54" s="123" t="n"/>
    </row>
  </sheetData>
  <mergeCells count="52">
    <mergeCell ref="A3:E4"/>
    <mergeCell ref="C50:E50"/>
    <mergeCell ref="C44:E44"/>
    <mergeCell ref="A37:C37"/>
    <mergeCell ref="C13:E14"/>
    <mergeCell ref="C31:E31"/>
    <mergeCell ref="A51:B51"/>
    <mergeCell ref="C22:E22"/>
    <mergeCell ref="A45:B45"/>
    <mergeCell ref="D40:E40"/>
    <mergeCell ref="C21:E21"/>
    <mergeCell ref="A36:N36"/>
    <mergeCell ref="A6:B6"/>
    <mergeCell ref="C51:E51"/>
    <mergeCell ref="C46:E46"/>
    <mergeCell ref="A13:B14"/>
    <mergeCell ref="C27:E27"/>
    <mergeCell ref="C52:E52"/>
    <mergeCell ref="A29:A33"/>
    <mergeCell ref="C23:E23"/>
    <mergeCell ref="A46:B46"/>
    <mergeCell ref="A19:A23"/>
    <mergeCell ref="A9:B10"/>
    <mergeCell ref="C32:E32"/>
    <mergeCell ref="A50:B50"/>
    <mergeCell ref="A1:D1"/>
    <mergeCell ref="C28:E28"/>
    <mergeCell ref="C19:E19"/>
    <mergeCell ref="C53:E53"/>
    <mergeCell ref="A24:A28"/>
    <mergeCell ref="A11:B12"/>
    <mergeCell ref="C18:E18"/>
    <mergeCell ref="D37:E37"/>
    <mergeCell ref="C9:E10"/>
    <mergeCell ref="C30:E30"/>
    <mergeCell ref="A53:B53"/>
    <mergeCell ref="C6:E6"/>
    <mergeCell ref="C24:E24"/>
    <mergeCell ref="A17:N17"/>
    <mergeCell ref="D39:E39"/>
    <mergeCell ref="C33:E33"/>
    <mergeCell ref="A52:B52"/>
    <mergeCell ref="C11:E12"/>
    <mergeCell ref="A7:B8"/>
    <mergeCell ref="C45:E45"/>
    <mergeCell ref="D38:E38"/>
    <mergeCell ref="C26:E26"/>
    <mergeCell ref="A44:B44"/>
    <mergeCell ref="C29:E29"/>
    <mergeCell ref="C20:E20"/>
    <mergeCell ref="C7:E8"/>
    <mergeCell ref="C25:E25"/>
  </mergeCells>
  <printOptions horizontalCentered="1"/>
  <pageMargins left="0.1574803149606299" right="0.1574803149606299" top="0.8661417322834646" bottom="0.8661417322834646" header="0.3937007874015748" footer="0.3937007874015748"/>
  <pageSetup orientation="landscape" paperSize="9" scale="43"/>
  <headerFooter>
    <oddHeader/>
    <oddFooter>&amp;C&amp;P/&amp;N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B1:U51"/>
  <sheetViews>
    <sheetView view="pageBreakPreview" zoomScale="70" zoomScaleNormal="100" zoomScaleSheetLayoutView="70" workbookViewId="0">
      <selection activeCell="A1" sqref="A1"/>
    </sheetView>
  </sheetViews>
  <sheetFormatPr baseColWidth="8" defaultColWidth="8.6640625" defaultRowHeight="0" customHeight="1" zeroHeight="1"/>
  <cols>
    <col width="2.5546875" customWidth="1" style="19" min="1" max="1"/>
    <col width="1.6640625" customWidth="1" style="19" min="2" max="4"/>
    <col width="13.88671875" customWidth="1" style="19" min="5" max="5"/>
    <col width="8.88671875" customWidth="1" style="19" min="6" max="6"/>
    <col width="10.5546875" customWidth="1" style="19" min="7" max="12"/>
    <col width="3.6640625" customWidth="1" style="19" min="13" max="13"/>
    <col width="6.109375" customWidth="1" style="19" min="14" max="15"/>
    <col width="6.44140625" customWidth="1" style="19" min="16" max="16"/>
    <col width="2.44140625" customWidth="1" style="19" min="17" max="17"/>
    <col width="8.6640625" customWidth="1" style="19" min="18" max="16384"/>
  </cols>
  <sheetData>
    <row r="1" ht="17.25" customHeight="1" s="434">
      <c r="B1" s="32" t="n"/>
      <c r="C1" s="32" t="n"/>
      <c r="D1" s="32" t="n"/>
      <c r="E1" s="31" t="n"/>
      <c r="F1" s="31" t="n"/>
      <c r="G1" s="31" t="n"/>
      <c r="H1" s="31" t="n"/>
      <c r="I1" s="31" t="n"/>
      <c r="J1" s="31" t="n"/>
      <c r="K1" s="31" t="n"/>
    </row>
    <row r="2" ht="16.5" customHeight="1" s="434">
      <c r="B2" s="30" t="inlineStr">
        <is>
          <t>1. 목적</t>
        </is>
      </c>
      <c r="C2" s="30" t="n"/>
      <c r="D2" s="30" t="n"/>
      <c r="E2" s="30" t="n"/>
      <c r="F2" s="30" t="n"/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</row>
    <row r="3" ht="69" customHeight="1" s="434">
      <c r="B3" s="31" t="n"/>
      <c r="C3" s="319" t="inlineStr">
        <is>
          <t>본 보고서는 스케쳐스코리아에서 수용 가능한 목표 위험 수준을 정하고 UNIX 서버 점검 결과에 따른 위험 수준을 초과하는 위험이 있는지 식별함에 있습니다.</t>
        </is>
      </c>
      <c r="M3" s="319" t="n"/>
      <c r="N3" s="319" t="n"/>
      <c r="O3" s="319" t="n"/>
      <c r="P3" s="319" t="n"/>
    </row>
    <row r="4" ht="16.5" customHeight="1" s="434"/>
    <row r="5" ht="20.1" customHeight="1" s="434">
      <c r="B5" s="30" t="inlineStr">
        <is>
          <t>2. 평가 정의</t>
        </is>
      </c>
      <c r="C5" s="30" t="n"/>
      <c r="D5" s="30" t="n"/>
      <c r="E5" s="30" t="n"/>
      <c r="F5" s="30" t="n"/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</row>
    <row r="6" ht="20.1" customHeight="1" s="434">
      <c r="C6" s="30" t="inlineStr">
        <is>
          <t>3.1. 취약성 평가</t>
        </is>
      </c>
      <c r="D6" s="30" t="n"/>
      <c r="E6" s="30" t="n"/>
      <c r="F6" s="30" t="n"/>
      <c r="G6" s="30" t="n"/>
      <c r="H6" s="30" t="n"/>
      <c r="I6" s="30" t="n"/>
      <c r="J6" s="30" t="n"/>
      <c r="K6" s="30" t="n"/>
      <c r="L6" s="30" t="n"/>
      <c r="M6" s="30" t="n"/>
      <c r="N6" s="30" t="n"/>
      <c r="O6" s="30" t="n"/>
    </row>
    <row r="7" ht="20.1" customHeight="1" s="434" thickBot="1">
      <c r="D7" s="30" t="inlineStr">
        <is>
          <t>3.1.1. 점검항목의 중요도 및 점수 지정</t>
        </is>
      </c>
      <c r="E7" s="30" t="n"/>
      <c r="F7" s="30" t="n"/>
      <c r="G7" s="30" t="n"/>
      <c r="H7" s="30" t="n"/>
      <c r="I7" s="30" t="n"/>
      <c r="J7" s="30" t="n"/>
      <c r="K7" s="30" t="n"/>
      <c r="L7" s="30" t="n"/>
      <c r="M7" s="30" t="n"/>
      <c r="N7" s="30" t="n"/>
      <c r="O7" s="30" t="n"/>
    </row>
    <row r="8" ht="20.1" customHeight="1" s="434">
      <c r="D8" s="307" t="inlineStr">
        <is>
          <t>점검 결과</t>
        </is>
      </c>
      <c r="E8" s="445" t="n"/>
      <c r="F8" s="446" t="n"/>
      <c r="G8" s="308" t="inlineStr">
        <is>
          <t>평가항목의 중요도</t>
        </is>
      </c>
      <c r="H8" s="447" t="n"/>
      <c r="I8" s="447" t="n"/>
      <c r="J8" s="447" t="n"/>
      <c r="K8" s="447" t="n"/>
      <c r="L8" s="448" t="n"/>
      <c r="O8" s="30" t="n"/>
    </row>
    <row r="9" ht="20.1" customHeight="1" s="434">
      <c r="D9" s="449" t="n"/>
      <c r="E9" s="440" t="n"/>
      <c r="F9" s="441" t="n"/>
      <c r="G9" s="321" t="inlineStr">
        <is>
          <t>상</t>
        </is>
      </c>
      <c r="H9" s="435" t="n"/>
      <c r="I9" s="321" t="inlineStr">
        <is>
          <t>중</t>
        </is>
      </c>
      <c r="J9" s="435" t="n"/>
      <c r="K9" s="321" t="inlineStr">
        <is>
          <t>하</t>
        </is>
      </c>
      <c r="L9" s="435" t="n"/>
      <c r="O9" s="30" t="n"/>
    </row>
    <row r="10" ht="30" customHeight="1" s="434">
      <c r="B10" s="21" t="n"/>
      <c r="C10" s="21" t="n"/>
      <c r="D10" s="302" t="inlineStr">
        <is>
          <t>취약 (취약점 발견)</t>
        </is>
      </c>
      <c r="E10" s="442" t="n"/>
      <c r="F10" s="435" t="n"/>
      <c r="G10" s="298" t="inlineStr">
        <is>
          <t>3점</t>
        </is>
      </c>
      <c r="H10" s="435" t="n"/>
      <c r="I10" s="298" t="inlineStr">
        <is>
          <t>2점</t>
        </is>
      </c>
      <c r="J10" s="435" t="n"/>
      <c r="K10" s="298" t="inlineStr">
        <is>
          <t>1점</t>
        </is>
      </c>
      <c r="L10" s="435" t="n"/>
      <c r="N10" s="21" t="n"/>
      <c r="O10" s="30" t="n"/>
      <c r="S10" s="21" t="n"/>
      <c r="T10" s="21" t="n"/>
      <c r="U10" s="21" t="n"/>
    </row>
    <row r="11" ht="30" customHeight="1" s="434" thickBot="1">
      <c r="B11" s="21" t="n"/>
      <c r="C11" s="311" t="n"/>
      <c r="D11" s="304" t="inlineStr">
        <is>
          <t>양호 (취약점 제거)</t>
        </is>
      </c>
      <c r="E11" s="450" t="n"/>
      <c r="F11" s="451" t="n"/>
      <c r="G11" s="300" t="inlineStr">
        <is>
          <t>0점</t>
        </is>
      </c>
      <c r="H11" s="451" t="n"/>
      <c r="I11" s="300" t="inlineStr">
        <is>
          <t>0점</t>
        </is>
      </c>
      <c r="J11" s="451" t="n"/>
      <c r="K11" s="300" t="inlineStr">
        <is>
          <t>0점</t>
        </is>
      </c>
      <c r="L11" s="451" t="n"/>
      <c r="O11" s="21" t="n"/>
    </row>
    <row r="12" ht="16.5" customHeight="1" s="434">
      <c r="B12" s="21" t="n"/>
      <c r="O12" s="21" t="n"/>
    </row>
    <row r="13" ht="20.1" customHeight="1" s="434" thickBot="1">
      <c r="B13" s="21" t="n"/>
      <c r="D13" s="306" t="inlineStr">
        <is>
          <t>3.1.2. 기술적 취약점 점수 계산</t>
        </is>
      </c>
    </row>
    <row r="14" ht="25.15" customHeight="1" s="434">
      <c r="B14" s="21" t="n"/>
      <c r="D14" s="24" t="n"/>
      <c r="E14" s="296" t="inlineStr">
        <is>
          <t>• 모든 취약점이 식별 되었을 경우의 점수 합 : A</t>
        </is>
      </c>
      <c r="F14" s="296" t="n"/>
      <c r="G14" s="296" t="n"/>
      <c r="H14" s="296" t="n"/>
      <c r="I14" s="296" t="n"/>
      <c r="J14" s="296" t="n"/>
      <c r="K14" s="296" t="n"/>
      <c r="L14" s="29" t="n"/>
      <c r="M14" s="311" t="n"/>
      <c r="N14" s="311" t="n"/>
      <c r="O14" s="311" t="n"/>
      <c r="T14" s="21" t="n"/>
      <c r="U14" s="21" t="n"/>
    </row>
    <row r="15" ht="31.5" customHeight="1" s="434">
      <c r="B15" s="21" t="n"/>
      <c r="D15" s="28" t="n"/>
      <c r="E15" s="311" t="inlineStr">
        <is>
          <t>• 식별된 취약점들의 점수의 점수 합 : B</t>
        </is>
      </c>
      <c r="F15" s="311" t="n"/>
      <c r="G15" s="311" t="n"/>
      <c r="H15" s="311" t="n"/>
      <c r="I15" s="311" t="n"/>
      <c r="J15" s="311" t="n"/>
      <c r="K15" s="311" t="n"/>
      <c r="L15" s="27" t="n"/>
      <c r="M15" s="311" t="n"/>
      <c r="N15" s="311" t="n"/>
      <c r="O15" s="311" t="n"/>
      <c r="T15" s="21" t="n"/>
      <c r="U15" s="21" t="n"/>
    </row>
    <row r="16" ht="31.15" customHeight="1" s="434">
      <c r="B16" s="21" t="n"/>
      <c r="D16" s="28" t="n"/>
      <c r="E16" s="311" t="inlineStr">
        <is>
          <t xml:space="preserve">• 계산식 : </t>
        </is>
      </c>
      <c r="F16" s="311" t="n"/>
      <c r="G16" s="311" t="n"/>
      <c r="H16" s="311" t="n"/>
      <c r="I16" s="311" t="n"/>
      <c r="J16" s="311" t="n"/>
      <c r="K16" s="311" t="n"/>
      <c r="L16" s="27" t="n"/>
      <c r="M16" s="311" t="n"/>
      <c r="N16" s="311" t="n"/>
      <c r="O16" s="311" t="n"/>
      <c r="T16" s="21" t="n"/>
      <c r="U16" s="21" t="n"/>
    </row>
    <row r="17" ht="26.65" customHeight="1" s="434">
      <c r="B17" s="21" t="n"/>
      <c r="D17" s="28" t="n"/>
      <c r="E17" s="311" t="inlineStr">
        <is>
          <t>• 자산의 수 : N</t>
        </is>
      </c>
      <c r="F17" s="311" t="n"/>
      <c r="G17" s="311" t="n"/>
      <c r="H17" s="311" t="n"/>
      <c r="I17" s="311" t="n"/>
      <c r="J17" s="311" t="n"/>
      <c r="K17" s="311" t="n"/>
      <c r="L17" s="27" t="n"/>
      <c r="M17" s="311" t="n"/>
      <c r="N17" s="311" t="n"/>
      <c r="O17" s="311" t="n"/>
      <c r="T17" s="21" t="n"/>
      <c r="U17" s="21" t="n"/>
    </row>
    <row r="18" ht="33.6" customHeight="1" s="434">
      <c r="B18" s="21" t="n"/>
      <c r="D18" s="28" t="n"/>
      <c r="E18" s="311" t="inlineStr">
        <is>
          <t>• 자산별 점수 : S1, S2, …, SN</t>
        </is>
      </c>
      <c r="F18" s="311" t="n"/>
      <c r="G18" s="311" t="n"/>
      <c r="H18" s="311" t="n"/>
      <c r="I18" s="311" t="n"/>
      <c r="J18" s="311" t="n"/>
      <c r="K18" s="311" t="n"/>
      <c r="L18" s="27" t="n"/>
      <c r="M18" s="311" t="n"/>
      <c r="N18" s="311" t="n"/>
      <c r="O18" s="311" t="n"/>
      <c r="T18" s="21" t="n"/>
      <c r="U18" s="21" t="n"/>
    </row>
    <row r="19" ht="31.5" customHeight="1" s="434" thickBot="1">
      <c r="B19" s="21" t="n"/>
      <c r="D19" s="26" t="n"/>
      <c r="E19" s="297" t="inlineStr">
        <is>
          <t xml:space="preserve">• 계산식 : </t>
        </is>
      </c>
      <c r="F19" s="297" t="n"/>
      <c r="G19" s="297" t="n"/>
      <c r="H19" s="297" t="n"/>
      <c r="I19" s="297" t="n"/>
      <c r="J19" s="297" t="n"/>
      <c r="K19" s="297" t="n"/>
      <c r="L19" s="25" t="n"/>
      <c r="M19" s="311" t="n"/>
      <c r="N19" s="311" t="n"/>
      <c r="O19" s="311" t="n"/>
    </row>
    <row r="20" ht="16.5" customHeight="1" s="434">
      <c r="B20" s="21" t="n"/>
      <c r="D20" s="21" t="n"/>
      <c r="E20" s="21" t="n"/>
      <c r="F20" s="21" t="n"/>
      <c r="G20" s="21" t="n"/>
      <c r="H20" s="21" t="n"/>
      <c r="I20" s="21" t="n"/>
    </row>
    <row r="21" ht="20.1" customHeight="1" s="434">
      <c r="B21" s="21" t="n"/>
      <c r="C21" s="315" t="inlineStr">
        <is>
          <t>3.2. 위험평가</t>
        </is>
      </c>
    </row>
    <row r="22" ht="20.1" customHeight="1" s="434" thickBot="1">
      <c r="B22" s="21" t="n"/>
      <c r="D22" s="306" t="inlineStr">
        <is>
          <t>3.2.1. 위협도 등급 부여</t>
        </is>
      </c>
      <c r="E22" s="306" t="n"/>
      <c r="F22" s="306" t="n"/>
      <c r="G22" s="306" t="n"/>
      <c r="H22" s="306" t="n"/>
      <c r="I22" s="306" t="n"/>
      <c r="J22" s="306" t="n"/>
      <c r="K22" s="306" t="n"/>
      <c r="L22" s="306" t="n"/>
      <c r="M22" s="21" t="n"/>
      <c r="N22" s="21" t="n"/>
      <c r="O22" s="21" t="n"/>
      <c r="P22" s="21" t="n"/>
      <c r="Q22" s="21" t="n"/>
      <c r="R22" s="21" t="n"/>
      <c r="T22" s="21" t="n"/>
      <c r="U22" s="21" t="n"/>
    </row>
    <row r="23" ht="20.1" customHeight="1" s="434">
      <c r="B23" s="21" t="n"/>
      <c r="D23" s="307" t="inlineStr">
        <is>
          <t>구분</t>
        </is>
      </c>
      <c r="E23" s="447" t="n"/>
      <c r="F23" s="448" t="n"/>
      <c r="G23" s="308" t="inlineStr">
        <is>
          <t>설명</t>
        </is>
      </c>
      <c r="H23" s="447" t="n"/>
      <c r="I23" s="448" t="n"/>
      <c r="J23" s="308" t="inlineStr">
        <is>
          <t>발생 가능성(발생빈도)</t>
        </is>
      </c>
      <c r="K23" s="447" t="n"/>
      <c r="L23" s="448" t="n"/>
      <c r="M23" s="21" t="n"/>
      <c r="N23" s="21" t="n"/>
      <c r="O23" s="21" t="n"/>
      <c r="P23" s="21" t="n"/>
      <c r="Q23" s="21" t="n"/>
      <c r="R23" s="21" t="n"/>
      <c r="T23" s="21" t="n"/>
      <c r="U23" s="21" t="n"/>
    </row>
    <row r="24" ht="41.65" customHeight="1" s="434">
      <c r="B24" s="21" t="n"/>
      <c r="D24" s="302" t="inlineStr">
        <is>
          <t>위협 등급(값)</t>
        </is>
      </c>
      <c r="E24" s="438" t="n"/>
      <c r="F24" s="303" t="inlineStr">
        <is>
          <t>상(3)</t>
        </is>
      </c>
      <c r="G24" s="303" t="inlineStr">
        <is>
          <t>취약성을 이용해 위협이 실현될 가능성이 큰 위험</t>
        </is>
      </c>
      <c r="H24" s="442" t="n"/>
      <c r="I24" s="442" t="n"/>
      <c r="J24" s="442" t="n"/>
      <c r="K24" s="435" t="n"/>
      <c r="L24" s="314" t="n">
        <v>3</v>
      </c>
      <c r="M24" s="21" t="n"/>
      <c r="N24" s="21" t="n"/>
      <c r="O24" s="21" t="n"/>
      <c r="P24" s="21" t="n"/>
      <c r="Q24" s="21" t="n"/>
      <c r="R24" s="21" t="n"/>
      <c r="T24" s="21" t="n"/>
      <c r="U24" s="21" t="n"/>
    </row>
    <row r="25" ht="48" customHeight="1" s="434">
      <c r="B25" s="21" t="n"/>
      <c r="D25" s="452" t="n"/>
      <c r="E25" s="453" t="n"/>
      <c r="F25" s="303" t="inlineStr">
        <is>
          <t>중(2)</t>
        </is>
      </c>
      <c r="G25" s="303" t="inlineStr">
        <is>
          <t>취약성을 이용해 위험이 실현될 가능성이 있는 위험</t>
        </is>
      </c>
      <c r="H25" s="442" t="n"/>
      <c r="I25" s="442" t="n"/>
      <c r="J25" s="442" t="n"/>
      <c r="K25" s="435" t="n"/>
      <c r="L25" s="314" t="n">
        <v>2</v>
      </c>
      <c r="M25" s="21" t="n"/>
      <c r="N25" s="21" t="n"/>
      <c r="O25" s="21" t="n"/>
      <c r="P25" s="21" t="n"/>
      <c r="T25" s="21" t="n"/>
      <c r="U25" s="21" t="n"/>
    </row>
    <row r="26" ht="26.65" customHeight="1" s="434" thickBot="1">
      <c r="B26" s="21" t="n"/>
      <c r="D26" s="449" t="n"/>
      <c r="E26" s="441" t="n"/>
      <c r="F26" s="305" t="inlineStr">
        <is>
          <t>하(1)</t>
        </is>
      </c>
      <c r="G26" s="305" t="inlineStr">
        <is>
          <t>취약성을 이용해 위협이 실현될 가능성이 거의 없는 위험</t>
        </is>
      </c>
      <c r="H26" s="450" t="n"/>
      <c r="I26" s="450" t="n"/>
      <c r="J26" s="450" t="n"/>
      <c r="K26" s="451" t="n"/>
      <c r="L26" s="312" t="n">
        <v>1</v>
      </c>
      <c r="M26" s="21" t="n"/>
      <c r="N26" s="21" t="n"/>
      <c r="O26" s="21" t="n"/>
      <c r="P26" s="21" t="n"/>
      <c r="T26" s="21" t="n"/>
      <c r="U26" s="21" t="n"/>
    </row>
    <row r="27" ht="16.5" customHeight="1" s="434">
      <c r="B27" s="21" t="n"/>
      <c r="D27" s="21" t="n"/>
      <c r="E27" s="21" t="n"/>
      <c r="F27" s="21" t="n"/>
      <c r="G27" s="21" t="n"/>
      <c r="H27" s="21" t="n"/>
      <c r="I27" s="21" t="n"/>
      <c r="J27" s="21" t="n"/>
      <c r="K27" s="21" t="n"/>
      <c r="L27" s="21" t="n"/>
      <c r="M27" s="21" t="n"/>
      <c r="N27" s="21" t="n"/>
      <c r="O27" s="21" t="n"/>
      <c r="P27" s="21" t="n"/>
      <c r="T27" s="21" t="n"/>
      <c r="U27" s="21" t="n"/>
    </row>
    <row r="28" ht="20.1" customHeight="1" s="434" thickBot="1">
      <c r="B28" s="21" t="n"/>
      <c r="D28" s="306" t="inlineStr">
        <is>
          <t>3.2.2. 위험도 등급 부여</t>
        </is>
      </c>
      <c r="P28" s="21" t="n"/>
      <c r="T28" s="21" t="n"/>
      <c r="U28" s="21" t="n"/>
    </row>
    <row r="29" ht="18" customHeight="1" s="434">
      <c r="B29" s="21" t="n"/>
      <c r="D29" s="307" t="inlineStr">
        <is>
          <t>구분</t>
        </is>
      </c>
      <c r="E29" s="447" t="n"/>
      <c r="F29" s="447" t="n"/>
      <c r="G29" s="447" t="n"/>
      <c r="H29" s="448" t="n"/>
      <c r="I29" s="308" t="inlineStr">
        <is>
          <t>내용</t>
        </is>
      </c>
      <c r="J29" s="447" t="n"/>
      <c r="K29" s="447" t="n"/>
      <c r="L29" s="448" t="n"/>
      <c r="T29" s="21" t="n"/>
      <c r="U29" s="21" t="n"/>
    </row>
    <row r="30" ht="26.1" customHeight="1" s="434">
      <c r="B30" s="21" t="n"/>
      <c r="D30" s="302" t="inlineStr">
        <is>
          <t>위험 등급(값)</t>
        </is>
      </c>
      <c r="E30" s="437" t="n"/>
      <c r="F30" s="438" t="n"/>
      <c r="G30" s="298" t="inlineStr">
        <is>
          <t>상 (7이상)</t>
        </is>
      </c>
      <c r="H30" s="435" t="n"/>
      <c r="I30" s="298" t="inlineStr">
        <is>
          <t>긴급 개선 권고</t>
        </is>
      </c>
      <c r="J30" s="442" t="n"/>
      <c r="K30" s="442" t="n"/>
      <c r="L30" s="435" t="n"/>
      <c r="T30" s="21" t="n"/>
      <c r="U30" s="21" t="n"/>
    </row>
    <row r="31" ht="26.1" customHeight="1" s="434">
      <c r="B31" s="21" t="n"/>
      <c r="D31" s="452" t="n"/>
      <c r="F31" s="453" t="n"/>
      <c r="G31" s="298" t="inlineStr">
        <is>
          <t>중 (4~6)</t>
        </is>
      </c>
      <c r="H31" s="435" t="n"/>
      <c r="I31" s="298" t="inlineStr">
        <is>
          <t>단기적 개선</t>
        </is>
      </c>
      <c r="J31" s="442" t="n"/>
      <c r="K31" s="442" t="n"/>
      <c r="L31" s="435" t="n"/>
      <c r="T31" s="21" t="n"/>
      <c r="U31" s="21" t="n"/>
    </row>
    <row r="32" ht="26.1" customHeight="1" s="434" thickBot="1">
      <c r="B32" s="21" t="n"/>
      <c r="D32" s="449" t="n"/>
      <c r="E32" s="440" t="n"/>
      <c r="F32" s="441" t="n"/>
      <c r="G32" s="300" t="inlineStr">
        <is>
          <t>하 (3이하)</t>
        </is>
      </c>
      <c r="H32" s="451" t="n"/>
      <c r="I32" s="300" t="inlineStr">
        <is>
          <t>수용</t>
        </is>
      </c>
      <c r="J32" s="450" t="n"/>
      <c r="K32" s="450" t="n"/>
      <c r="L32" s="451" t="n"/>
      <c r="Q32" s="21" t="n"/>
      <c r="R32" s="21" t="n"/>
      <c r="S32" s="21" t="n"/>
      <c r="T32" s="21" t="n"/>
      <c r="U32" s="21" t="n"/>
    </row>
    <row r="33" ht="22.5" customHeight="1" s="434" thickBot="1">
      <c r="B33" s="21" t="n"/>
      <c r="D33" s="21" t="n"/>
      <c r="E33" s="21" t="n"/>
      <c r="F33" s="21" t="n"/>
      <c r="G33" s="21" t="n"/>
      <c r="R33" s="21" t="n"/>
      <c r="S33" s="21" t="n"/>
      <c r="T33" s="21" t="n"/>
      <c r="U33" s="21" t="n"/>
    </row>
    <row r="34" ht="38.1" customHeight="1" s="434">
      <c r="B34" s="21" t="n"/>
      <c r="D34" s="24" t="n"/>
      <c r="E34" s="296" t="inlineStr">
        <is>
          <t>• 점검 항목별 위험도 평가 계산</t>
        </is>
      </c>
      <c r="F34" s="445" t="n"/>
      <c r="G34" s="445" t="n"/>
      <c r="H34" s="445" t="n"/>
      <c r="I34" s="71" t="n"/>
      <c r="J34" s="71" t="n"/>
      <c r="K34" s="71" t="n"/>
      <c r="L34" s="72" t="n"/>
      <c r="M34" s="21" t="n"/>
      <c r="R34" s="21" t="n"/>
      <c r="S34" s="21" t="n"/>
      <c r="T34" s="21" t="n"/>
      <c r="U34" s="21" t="n"/>
    </row>
    <row r="35" ht="38.1" customHeight="1" s="434">
      <c r="B35" s="21" t="n"/>
      <c r="D35" s="28" t="n"/>
      <c r="E35" s="21" t="inlineStr">
        <is>
          <t xml:space="preserve">  - 노출 위험도 : 노출위험도 = 잠재위험에 따른 위협도 X 2</t>
        </is>
      </c>
      <c r="F35" s="311" t="n"/>
      <c r="G35" s="311" t="n"/>
      <c r="H35" s="311" t="n"/>
      <c r="I35" s="21" t="n"/>
      <c r="J35" s="21" t="n"/>
      <c r="K35" s="21" t="n"/>
      <c r="L35" s="74" t="n"/>
      <c r="M35" s="21" t="n"/>
      <c r="R35" s="21" t="n"/>
      <c r="S35" s="21" t="n"/>
      <c r="T35" s="21" t="n"/>
      <c r="U35" s="21" t="n"/>
    </row>
    <row r="36" ht="44.1" customHeight="1" s="434">
      <c r="B36" s="21" t="n"/>
      <c r="D36" s="73" t="n"/>
      <c r="E36" s="21" t="inlineStr">
        <is>
          <t xml:space="preserve">  - 위험도 평가값 : 위험도 = 정보자산의 중요도 + 노출위험도</t>
        </is>
      </c>
      <c r="F36" s="21" t="n"/>
      <c r="G36" s="21" t="n"/>
      <c r="H36" s="21" t="n"/>
      <c r="I36" s="21" t="n"/>
      <c r="J36" s="21" t="n"/>
      <c r="K36" s="21" t="n"/>
      <c r="L36" s="74" t="n"/>
      <c r="M36" s="21" t="n"/>
      <c r="R36" s="21" t="n"/>
      <c r="S36" s="21" t="n"/>
      <c r="T36" s="21" t="n"/>
      <c r="U36" s="21" t="n"/>
    </row>
    <row r="37" ht="38.1" customHeight="1" s="434" thickBot="1">
      <c r="C37" s="21" t="n"/>
      <c r="D37" s="75" t="n"/>
      <c r="E37" s="297" t="inlineStr">
        <is>
          <t>• 적정위험수준(DoA : Degree of Assurance) 설정</t>
        </is>
      </c>
      <c r="F37" s="454" t="n"/>
      <c r="G37" s="454" t="n"/>
      <c r="H37" s="454" t="n"/>
      <c r="I37" s="76" t="n"/>
      <c r="J37" s="76" t="n"/>
      <c r="K37" s="76" t="n"/>
      <c r="L37" s="77" t="n"/>
      <c r="M37" s="21" t="n"/>
      <c r="N37" s="21" t="n"/>
      <c r="O37" s="21" t="n"/>
      <c r="P37" s="21" t="n"/>
      <c r="R37" s="21" t="n"/>
      <c r="S37" s="21" t="n"/>
    </row>
    <row r="38" ht="16.5" customHeight="1" s="434">
      <c r="C38" s="21" t="n"/>
      <c r="D38" s="21" t="n"/>
      <c r="E38" s="21" t="n"/>
      <c r="F38" s="21" t="n"/>
      <c r="G38" s="21" t="n"/>
      <c r="H38" s="21" t="n"/>
      <c r="I38" s="21" t="n"/>
      <c r="J38" s="21" t="n"/>
      <c r="K38" s="21" t="n"/>
      <c r="L38" s="21" t="n"/>
      <c r="M38" s="21" t="n"/>
      <c r="N38" s="21" t="n"/>
      <c r="O38" s="21" t="n"/>
      <c r="P38" s="21" t="n"/>
      <c r="R38" s="21" t="n"/>
      <c r="S38" s="21" t="n"/>
    </row>
    <row r="39" ht="25.15" customHeight="1" s="434" thickBot="1">
      <c r="C39" s="21" t="n"/>
      <c r="D39" s="306" t="inlineStr">
        <is>
          <t>3.2.3. 위험 처리</t>
        </is>
      </c>
      <c r="P39" s="21" t="n"/>
      <c r="R39" s="21" t="n"/>
      <c r="S39" s="21" t="n"/>
    </row>
    <row r="40" ht="20.1" customHeight="1" s="434">
      <c r="D40" s="307" t="inlineStr">
        <is>
          <t>기준</t>
        </is>
      </c>
      <c r="E40" s="447" t="n"/>
      <c r="F40" s="447" t="n"/>
      <c r="G40" s="448" t="n"/>
      <c r="H40" s="308" t="inlineStr">
        <is>
          <t>결과</t>
        </is>
      </c>
      <c r="I40" s="308" t="inlineStr">
        <is>
          <t>내용</t>
        </is>
      </c>
      <c r="J40" s="447" t="n"/>
      <c r="K40" s="447" t="n"/>
      <c r="L40" s="448" t="n"/>
      <c r="S40" s="21" t="n"/>
    </row>
    <row r="41" ht="44.25" customHeight="1" s="434">
      <c r="D41" s="302" t="inlineStr">
        <is>
          <t>전체 위험도가 적정위험수준(DoA) 
이상인 위험</t>
        </is>
      </c>
      <c r="E41" s="442" t="n"/>
      <c r="F41" s="442" t="n"/>
      <c r="G41" s="435" t="n"/>
      <c r="H41" s="298" t="inlineStr">
        <is>
          <t>통제적용</t>
        </is>
      </c>
      <c r="I41" s="303" t="inlineStr">
        <is>
          <t>위험 감소를 위해 필요한 보호대책을 
선택하여 적용</t>
        </is>
      </c>
      <c r="J41" s="442" t="n"/>
      <c r="K41" s="442" t="n"/>
      <c r="L41" s="435" t="n"/>
      <c r="S41" s="21" t="n"/>
    </row>
    <row r="42" ht="44.25" customHeight="1" s="434" thickBot="1">
      <c r="D42" s="304" t="inlineStr">
        <is>
          <t>전체 위험도가 적정위험수준(DoA) 
이상인 위험</t>
        </is>
      </c>
      <c r="E42" s="450" t="n"/>
      <c r="F42" s="450" t="n"/>
      <c r="G42" s="451" t="n"/>
      <c r="H42" s="300" t="inlineStr">
        <is>
          <t>위험수용</t>
        </is>
      </c>
      <c r="I42" s="305" t="inlineStr">
        <is>
          <t>보호대책을 수립하지 않고 위험을 수용</t>
        </is>
      </c>
      <c r="J42" s="450" t="n"/>
      <c r="K42" s="450" t="n"/>
      <c r="L42" s="451" t="n"/>
      <c r="S42" s="21" t="n"/>
    </row>
    <row r="43" ht="50.1" customHeight="1" s="434">
      <c r="R43" s="21" t="n"/>
      <c r="S43" s="21" t="n"/>
    </row>
    <row r="44" ht="25.15" customHeight="1" s="434">
      <c r="B44" s="313" t="inlineStr">
        <is>
          <t>3. 취약점 제거 방안</t>
        </is>
      </c>
    </row>
    <row r="45" ht="25.15" customHeight="1" s="434">
      <c r="C45" s="306" t="inlineStr">
        <is>
          <t>3.1 긴급 조치 항목 우선 제거</t>
        </is>
      </c>
    </row>
    <row r="46" ht="25.15" customHeight="1" s="434">
      <c r="D46" s="306" t="inlineStr">
        <is>
          <t>• 긴급히 조치해야할 항목으로써 우선적으로 취약점을 제거하여 주십시오.</t>
        </is>
      </c>
    </row>
    <row r="47" ht="27" customHeight="1" s="434">
      <c r="C47" s="315" t="n"/>
      <c r="D47" s="315" t="n"/>
      <c r="E47" s="315" t="n"/>
      <c r="F47" s="315" t="n"/>
      <c r="G47" s="315" t="n"/>
      <c r="H47" s="315" t="n"/>
      <c r="I47" s="315" t="n"/>
      <c r="J47" s="315" t="n"/>
      <c r="L47" s="315" t="n"/>
      <c r="M47" s="315" t="n"/>
      <c r="N47" s="315" t="n"/>
      <c r="O47" s="315" t="n"/>
    </row>
    <row r="48" ht="27" customHeight="1" s="434">
      <c r="C48" s="306" t="inlineStr">
        <is>
          <t>3.2 "보안 가이드"를 참고하여 취약점 제거</t>
        </is>
      </c>
    </row>
    <row r="49" ht="27" customHeight="1" s="434">
      <c r="D49" s="311" t="inlineStr">
        <is>
          <t>• 취약한 항목의 코드와 동일한 항목을 "보안 가이드"에서 해당 항목에서 찾습니다.</t>
        </is>
      </c>
    </row>
    <row r="50" ht="50.1" customHeight="1" s="434">
      <c r="D50" s="310" t="inlineStr">
        <is>
          <t>• "보안가이드"에서 해당 항목의 &lt;조치방안&gt;을 참고하여 시스템 환경과 서비스에 맞도록 삭제 또는 수정
  등으로 취약점을 제거하여 주십시오.</t>
        </is>
      </c>
      <c r="M50" s="311" t="n"/>
      <c r="N50" s="311" t="n"/>
      <c r="O50" s="311" t="n"/>
    </row>
    <row r="51" ht="27" customHeight="1" s="434">
      <c r="D51" s="311" t="inlineStr">
        <is>
          <t>• &lt;조치방안&gt;은 해당 자산 정보에 맞춰서 참고하시기 바랍니다.</t>
        </is>
      </c>
    </row>
    <row r="52" ht="27" customHeight="1" s="434"/>
    <row r="53" ht="16.5" customHeight="1" s="434"/>
    <row r="54" ht="13.5" customHeight="1" s="434"/>
    <row r="55" ht="13.5" customHeight="1" s="434"/>
  </sheetData>
  <mergeCells count="49">
    <mergeCell ref="D11:F11"/>
    <mergeCell ref="D13:I13"/>
    <mergeCell ref="D49:O49"/>
    <mergeCell ref="G11:H11"/>
    <mergeCell ref="K9:L9"/>
    <mergeCell ref="I11:J11"/>
    <mergeCell ref="C48:O48"/>
    <mergeCell ref="I29:L29"/>
    <mergeCell ref="D42:G42"/>
    <mergeCell ref="E37:H37"/>
    <mergeCell ref="K11:L11"/>
    <mergeCell ref="I40:L40"/>
    <mergeCell ref="I31:L31"/>
    <mergeCell ref="D28:O28"/>
    <mergeCell ref="G10:H10"/>
    <mergeCell ref="C3:L3"/>
    <mergeCell ref="I30:L30"/>
    <mergeCell ref="D39:O39"/>
    <mergeCell ref="D40:G40"/>
    <mergeCell ref="B44:O44"/>
    <mergeCell ref="D23:F23"/>
    <mergeCell ref="C45:O45"/>
    <mergeCell ref="G30:H30"/>
    <mergeCell ref="D51:O51"/>
    <mergeCell ref="G24:K24"/>
    <mergeCell ref="D30:F32"/>
    <mergeCell ref="J23:L23"/>
    <mergeCell ref="D50:L50"/>
    <mergeCell ref="I32:L32"/>
    <mergeCell ref="I41:L41"/>
    <mergeCell ref="D10:F10"/>
    <mergeCell ref="G26:K26"/>
    <mergeCell ref="D41:G41"/>
    <mergeCell ref="I10:J10"/>
    <mergeCell ref="E34:H34"/>
    <mergeCell ref="G32:H32"/>
    <mergeCell ref="K10:L10"/>
    <mergeCell ref="G23:I23"/>
    <mergeCell ref="D29:H29"/>
    <mergeCell ref="D46:O46"/>
    <mergeCell ref="G25:K25"/>
    <mergeCell ref="D24:E26"/>
    <mergeCell ref="G31:H31"/>
    <mergeCell ref="G8:L8"/>
    <mergeCell ref="C21:O21"/>
    <mergeCell ref="D8:F9"/>
    <mergeCell ref="G9:H9"/>
    <mergeCell ref="I9:J9"/>
    <mergeCell ref="I42:L42"/>
  </mergeCells>
  <printOptions horizontalCentered="1"/>
  <pageMargins left="0.25" right="0.25" top="0.75" bottom="0.75" header="0.3" footer="0.3"/>
  <pageSetup orientation="landscape" paperSize="9" scale="97" fitToHeight="0" horizontalDpi="300" verticalDpi="300"/>
  <rowBreaks count="2" manualBreakCount="2">
    <brk id="20" min="0" max="12" man="1"/>
    <brk id="38" min="0" max="12" man="1"/>
  </rowBreaks>
</worksheet>
</file>

<file path=xl/worksheets/sheet4.xml><?xml version="1.0" encoding="utf-8"?>
<worksheet xmlns="http://schemas.openxmlformats.org/spreadsheetml/2006/main">
  <sheetPr codeName="Sheet3">
    <outlinePr summaryBelow="1" summaryRight="1"/>
    <pageSetUpPr fitToPage="1"/>
  </sheetPr>
  <dimension ref="B2:H10"/>
  <sheetViews>
    <sheetView view="pageBreakPreview" zoomScale="70" zoomScaleNormal="85" zoomScaleSheetLayoutView="70" workbookViewId="0">
      <selection activeCell="A3" sqref="A3"/>
    </sheetView>
  </sheetViews>
  <sheetFormatPr baseColWidth="8" defaultColWidth="8.6640625" defaultRowHeight="16.5"/>
  <cols>
    <col width="2.44140625" customWidth="1" style="1" min="1" max="1"/>
    <col width="11.109375" customWidth="1" style="1" min="2" max="3"/>
    <col width="55.5546875" customWidth="1" style="1" min="4" max="4"/>
    <col width="16.6640625" customWidth="1" style="1" min="5" max="5"/>
    <col width="8.6640625" customWidth="1" style="1" min="6" max="6"/>
    <col width="2.44140625" customWidth="1" style="1" min="7" max="7"/>
    <col width="8.6640625" customWidth="1" style="1" min="8" max="16384"/>
  </cols>
  <sheetData>
    <row r="2" ht="18" customFormat="1" customHeight="1" s="3">
      <c r="B2" s="340" t="inlineStr">
        <is>
          <t>◎ 개정이력</t>
        </is>
      </c>
      <c r="C2" s="7" t="n"/>
      <c r="D2" s="7" t="n"/>
      <c r="E2" s="7" t="n"/>
      <c r="F2" s="7" t="n"/>
    </row>
    <row r="3" ht="5.1" customFormat="1" customHeight="1" s="3" thickBot="1">
      <c r="C3" s="2" t="n"/>
      <c r="D3" s="2" t="n"/>
      <c r="E3" s="2" t="n"/>
      <c r="F3" s="2" t="n"/>
    </row>
    <row r="4" ht="18" customHeight="1" s="434">
      <c r="B4" s="51" t="inlineStr">
        <is>
          <t>개정번호</t>
        </is>
      </c>
      <c r="C4" s="52" t="inlineStr">
        <is>
          <t>개정일자</t>
        </is>
      </c>
      <c r="D4" s="52" t="inlineStr">
        <is>
          <t>개정내용</t>
        </is>
      </c>
      <c r="E4" s="52" t="inlineStr">
        <is>
          <t>작성자</t>
        </is>
      </c>
      <c r="F4" s="53" t="inlineStr">
        <is>
          <t>비고</t>
        </is>
      </c>
      <c r="G4" s="6" t="n"/>
      <c r="H4" s="6" t="n"/>
    </row>
    <row r="5">
      <c r="B5" s="15" t="inlineStr">
        <is>
          <t>v0.1</t>
        </is>
      </c>
      <c r="C5" s="33" t="inlineStr">
        <is>
          <t>2026. 00. 00</t>
        </is>
      </c>
      <c r="D5" s="362" t="inlineStr">
        <is>
          <t>최초 작성</t>
        </is>
      </c>
      <c r="E5" s="35" t="inlineStr">
        <is>
          <t>시큐와우</t>
        </is>
      </c>
      <c r="F5" s="11" t="n"/>
      <c r="G5" s="6" t="n"/>
      <c r="H5" s="6" t="n"/>
    </row>
    <row r="6">
      <c r="B6" s="15" t="n"/>
      <c r="C6" s="16" t="n"/>
      <c r="D6" s="14" t="n"/>
      <c r="E6" s="17" t="n"/>
      <c r="F6" s="11" t="n"/>
    </row>
    <row r="7">
      <c r="B7" s="15" t="n"/>
      <c r="C7" s="16" t="n"/>
      <c r="D7" s="14" t="n"/>
      <c r="E7" s="17" t="n"/>
      <c r="F7" s="11" t="n"/>
    </row>
    <row r="8">
      <c r="B8" s="15" t="n"/>
      <c r="C8" s="16" t="n"/>
      <c r="D8" s="14" t="n"/>
      <c r="E8" s="17" t="n"/>
      <c r="F8" s="11" t="n"/>
    </row>
    <row r="9">
      <c r="B9" s="15" t="n"/>
      <c r="C9" s="16" t="n"/>
      <c r="D9" s="14" t="n"/>
      <c r="E9" s="17" t="n"/>
      <c r="F9" s="11" t="n"/>
    </row>
    <row r="10">
      <c r="B10" s="15" t="n"/>
      <c r="C10" s="16" t="n"/>
      <c r="D10" s="14" t="n"/>
      <c r="E10" s="17" t="n"/>
      <c r="F10" s="11" t="n"/>
    </row>
  </sheetData>
  <printOptions horizontalCentered="1"/>
  <pageMargins left="0.3937007874015748" right="0.3937007874015748" top="0.5905511811023622" bottom="0.5905511811023622" header="0.1968503937007874" footer="0.1968503937007874"/>
  <pageSetup orientation="landscape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B2:L87"/>
  <sheetViews>
    <sheetView view="pageBreakPreview" zoomScale="70" zoomScaleNormal="85" zoomScaleSheetLayoutView="70" workbookViewId="0">
      <pane ySplit="5" topLeftCell="A6" activePane="bottomLeft" state="frozen"/>
      <selection pane="bottomLeft" activeCell="L4" sqref="L4:L5"/>
    </sheetView>
  </sheetViews>
  <sheetFormatPr baseColWidth="8" defaultColWidth="8.88671875" defaultRowHeight="16.5"/>
  <cols>
    <col width="2.44140625" customWidth="1" style="1" min="1" max="1"/>
    <col width="8.33203125" bestFit="1" customWidth="1" style="1" min="2" max="2"/>
    <col width="8.88671875" customWidth="1" style="1" min="3" max="3"/>
    <col width="39.109375" customWidth="1" style="1" min="4" max="4"/>
    <col width="5.5546875" customWidth="1" style="1" min="5" max="6"/>
    <col width="6.109375" customWidth="1" style="1" min="7" max="8"/>
    <col width="5.88671875" customWidth="1" style="1" min="9" max="9"/>
    <col width="6" customWidth="1" style="1" min="10" max="10"/>
    <col width="6.109375" customWidth="1" style="1" min="11" max="11"/>
    <col width="9.33203125" customWidth="1" style="13" min="12" max="12"/>
    <col width="8.88671875" customWidth="1" style="1" min="13" max="16384"/>
  </cols>
  <sheetData>
    <row r="2" ht="18" customFormat="1" customHeight="1" s="3">
      <c r="B2" s="340" t="inlineStr">
        <is>
          <t>◎ 요약 통계</t>
        </is>
      </c>
      <c r="C2" s="7" t="n"/>
      <c r="D2" s="7" t="n"/>
      <c r="E2" s="7" t="n"/>
      <c r="F2" s="7" t="n"/>
      <c r="G2" s="7" t="n"/>
      <c r="H2" s="7" t="n"/>
      <c r="I2" s="7" t="n"/>
      <c r="J2" s="7" t="n"/>
      <c r="K2" s="7" t="n"/>
      <c r="L2" s="79" t="n"/>
    </row>
    <row r="3" ht="5.1" customFormat="1" customHeight="1" s="3">
      <c r="B3" s="179" t="n"/>
      <c r="C3" s="180" t="n"/>
      <c r="D3" s="180" t="n"/>
      <c r="E3" s="180" t="n"/>
      <c r="F3" s="180" t="n"/>
      <c r="G3" s="180" t="n"/>
      <c r="H3" s="180" t="n"/>
      <c r="I3" s="180" t="n"/>
      <c r="J3" s="180" t="n"/>
      <c r="K3" s="180" t="n"/>
      <c r="L3" s="181" t="n"/>
    </row>
    <row r="4" ht="18" customHeight="1" s="434">
      <c r="B4" s="325" t="inlineStr">
        <is>
          <t>구분</t>
        </is>
      </c>
      <c r="C4" s="442" t="n"/>
      <c r="D4" s="435" t="n"/>
      <c r="E4" s="325" t="inlineStr">
        <is>
          <t>중요도</t>
        </is>
      </c>
      <c r="F4" s="325" t="inlineStr">
        <is>
          <t>점수</t>
        </is>
      </c>
      <c r="G4" s="327" t="inlineStr">
        <is>
          <t>Y</t>
        </is>
      </c>
      <c r="H4" s="327" t="inlineStr">
        <is>
          <t>N</t>
        </is>
      </c>
      <c r="I4" s="327" t="inlineStr">
        <is>
          <t>Y점수</t>
        </is>
      </c>
      <c r="J4" s="327" t="inlineStr">
        <is>
          <t>N점수</t>
        </is>
      </c>
      <c r="K4" s="327" t="inlineStr">
        <is>
          <t>N/A</t>
        </is>
      </c>
      <c r="L4" s="338">
        <f>INDIRECT("'"&amp;INDIRECT("점검대상!C"&amp;COLUMN()-5)&amp;"'!D4")</f>
        <v/>
      </c>
    </row>
    <row r="5">
      <c r="B5" s="326" t="inlineStr">
        <is>
          <t>분류</t>
        </is>
      </c>
      <c r="C5" s="326" t="inlineStr">
        <is>
          <t>항목코드</t>
        </is>
      </c>
      <c r="D5" s="326" t="inlineStr">
        <is>
          <t>점검 항목</t>
        </is>
      </c>
      <c r="E5" s="444" t="n"/>
      <c r="F5" s="444" t="n"/>
      <c r="G5" s="444" t="n"/>
      <c r="H5" s="444" t="n"/>
      <c r="I5" s="444" t="n"/>
      <c r="J5" s="444" t="n"/>
      <c r="K5" s="444" t="n"/>
      <c r="L5" s="444" t="n"/>
    </row>
    <row r="6" ht="28.15" customFormat="1" customHeight="1" s="8">
      <c r="B6" s="329" t="inlineStr">
        <is>
          <t>계정 관리</t>
        </is>
      </c>
      <c r="C6" s="331" t="inlineStr">
        <is>
          <t>S-01</t>
        </is>
      </c>
      <c r="D6" s="184" t="inlineStr">
        <is>
          <t>보안장비 Default 계정 변경</t>
        </is>
      </c>
      <c r="E6" s="182" t="inlineStr">
        <is>
          <t>상</t>
        </is>
      </c>
      <c r="F6" s="182">
        <f>IF(E6="상", 3, IF(E6="중", 2, IF(E6="하", 1, "-")))</f>
        <v/>
      </c>
      <c r="G6" s="182">
        <f>COUNTIF($L6:$XFD6, "Y")</f>
        <v/>
      </c>
      <c r="H6" s="182">
        <f>COUNTIF($L6:$XFD6,"N")</f>
        <v/>
      </c>
      <c r="I6" s="182">
        <f>F6*G6</f>
        <v/>
      </c>
      <c r="J6" s="182">
        <f>F6*H6</f>
        <v/>
      </c>
      <c r="K6" s="182">
        <f>COUNTIF($L6:$XFD6,"N/A")</f>
        <v/>
      </c>
      <c r="L6" s="182">
        <f>INDIRECT("'"&amp;INDIRECT("점검대상!C"&amp;COLUMN()-5)&amp;"'!M"&amp;ROW()+15)</f>
        <v/>
      </c>
    </row>
    <row r="7" ht="28.15" customFormat="1" customHeight="1" s="8">
      <c r="B7" s="443" t="n"/>
      <c r="C7" s="331" t="inlineStr">
        <is>
          <t>S-02</t>
        </is>
      </c>
      <c r="D7" s="184" t="inlineStr">
        <is>
          <t>보안장비 Default 패스워드 변경</t>
        </is>
      </c>
      <c r="E7" s="182" t="inlineStr">
        <is>
          <t>상</t>
        </is>
      </c>
      <c r="F7" s="182">
        <f>IF(E7="상", 3, IF(E7="중", 2, IF(E7="하", 1, "-")))</f>
        <v/>
      </c>
      <c r="G7" s="182">
        <f>COUNTIF($L7:$XFD7, "Y")</f>
        <v/>
      </c>
      <c r="H7" s="182">
        <f>COUNTIF($L7:$XFD7,"N")</f>
        <v/>
      </c>
      <c r="I7" s="182">
        <f>F7*G7</f>
        <v/>
      </c>
      <c r="J7" s="182">
        <f>F7*H7</f>
        <v/>
      </c>
      <c r="K7" s="182">
        <f>COUNTIF($L7:$XFD7,"N/A")</f>
        <v/>
      </c>
      <c r="L7" s="182">
        <f>INDIRECT("'"&amp;INDIRECT("점검대상!C"&amp;COLUMN()-5)&amp;"'!M"&amp;ROW()+15)</f>
        <v/>
      </c>
    </row>
    <row r="8" ht="28.15" customFormat="1" customHeight="1" s="8">
      <c r="B8" s="443" t="n"/>
      <c r="C8" s="331" t="inlineStr">
        <is>
          <t>S-03</t>
        </is>
      </c>
      <c r="D8" s="184" t="inlineStr">
        <is>
          <t>보안장비 계정별 권한 설정</t>
        </is>
      </c>
      <c r="E8" s="182" t="inlineStr">
        <is>
          <t>상</t>
        </is>
      </c>
      <c r="F8" s="182">
        <f>IF(E8="상", 3, IF(E8="중", 2, IF(E8="하", 1, "-")))</f>
        <v/>
      </c>
      <c r="G8" s="182">
        <f>COUNTIF($L8:$XFD8, "Y")</f>
        <v/>
      </c>
      <c r="H8" s="182">
        <f>COUNTIF($L8:$XFD8,"N")</f>
        <v/>
      </c>
      <c r="I8" s="182">
        <f>F8*G8</f>
        <v/>
      </c>
      <c r="J8" s="182">
        <f>F8*H8</f>
        <v/>
      </c>
      <c r="K8" s="182">
        <f>COUNTIF($L8:$XFD8,"N/A")</f>
        <v/>
      </c>
      <c r="L8" s="182">
        <f>INDIRECT("'"&amp;INDIRECT("점검대상!C"&amp;COLUMN()-5)&amp;"'!M"&amp;ROW()+15)</f>
        <v/>
      </c>
    </row>
    <row r="9" ht="28.15" customFormat="1" customHeight="1" s="8">
      <c r="B9" s="443" t="n"/>
      <c r="C9" s="331" t="inlineStr">
        <is>
          <t>S-04</t>
        </is>
      </c>
      <c r="D9" s="184" t="inlineStr">
        <is>
          <t>보안장비 계정 관리</t>
        </is>
      </c>
      <c r="E9" s="182" t="inlineStr">
        <is>
          <t>상</t>
        </is>
      </c>
      <c r="F9" s="182">
        <f>IF(E9="상", 3, IF(E9="중", 2, IF(E9="하", 1, "-")))</f>
        <v/>
      </c>
      <c r="G9" s="182">
        <f>COUNTIF($L9:$XFD9, "Y")</f>
        <v/>
      </c>
      <c r="H9" s="182">
        <f>COUNTIF($L9:$XFD9,"N")</f>
        <v/>
      </c>
      <c r="I9" s="182">
        <f>F9*G9</f>
        <v/>
      </c>
      <c r="J9" s="182">
        <f>F9*H9</f>
        <v/>
      </c>
      <c r="K9" s="182">
        <f>COUNTIF($L9:$XFD9,"N/A")</f>
        <v/>
      </c>
      <c r="L9" s="182">
        <f>INDIRECT("'"&amp;INDIRECT("점검대상!C"&amp;COLUMN()-5)&amp;"'!M"&amp;ROW()+15)</f>
        <v/>
      </c>
    </row>
    <row r="10" ht="28.15" customFormat="1" customHeight="1" s="8">
      <c r="B10" s="444" t="n"/>
      <c r="C10" s="331" t="inlineStr">
        <is>
          <t>S-05</t>
        </is>
      </c>
      <c r="D10" s="184" t="inlineStr">
        <is>
          <t>로그인 실패횟수 제한</t>
        </is>
      </c>
      <c r="E10" s="182" t="inlineStr">
        <is>
          <t>상</t>
        </is>
      </c>
      <c r="F10" s="182">
        <f>IF(E10="상", 3, IF(E10="중", 2, IF(E10="하", 1, "-")))</f>
        <v/>
      </c>
      <c r="G10" s="182">
        <f>COUNTIF($L10:$XFD10, "Y")</f>
        <v/>
      </c>
      <c r="H10" s="182">
        <f>COUNTIF($L10:$XFD10,"N")</f>
        <v/>
      </c>
      <c r="I10" s="182">
        <f>F10*G10</f>
        <v/>
      </c>
      <c r="J10" s="182">
        <f>F10*H10</f>
        <v/>
      </c>
      <c r="K10" s="182">
        <f>COUNTIF($L10:$XFD10,"N/A")</f>
        <v/>
      </c>
      <c r="L10" s="182">
        <f>INDIRECT("'"&amp;INDIRECT("점검대상!C"&amp;COLUMN()-5)&amp;"'!M"&amp;ROW()+15)</f>
        <v/>
      </c>
    </row>
    <row r="11" ht="28.15" customFormat="1" customHeight="1" s="8">
      <c r="B11" t="inlineStr">
        <is>
          <t>접근 관리</t>
        </is>
      </c>
      <c r="C11" s="331" t="inlineStr">
        <is>
          <t>S-06</t>
        </is>
      </c>
      <c r="D11" s="184" t="inlineStr">
        <is>
          <t>보안장비 원격 관리 접근 통제</t>
        </is>
      </c>
      <c r="E11" s="182" t="inlineStr">
        <is>
          <t>상</t>
        </is>
      </c>
      <c r="F11" s="182">
        <f>IF(E11="상", 3, IF(E11="중", 2, IF(E11="하", 1, "-")))</f>
        <v/>
      </c>
      <c r="G11" s="182">
        <f>COUNTIF($L11:$XFD11, "Y")</f>
        <v/>
      </c>
      <c r="H11" s="182">
        <f>COUNTIF($L11:$XFD11,"N")</f>
        <v/>
      </c>
      <c r="I11" s="182">
        <f>F11*G11</f>
        <v/>
      </c>
      <c r="J11" s="182">
        <f>F11*H11</f>
        <v/>
      </c>
      <c r="K11" s="182">
        <f>COUNTIF($L11:$XFD11,"N/A")</f>
        <v/>
      </c>
      <c r="L11" s="182">
        <f>INDIRECT("'"&amp;INDIRECT("점검대상!C"&amp;COLUMN()-5)&amp;"'!M"&amp;ROW()+15)</f>
        <v/>
      </c>
    </row>
    <row r="12" ht="28.15" customFormat="1" customHeight="1" s="8">
      <c r="C12" s="331" t="inlineStr">
        <is>
          <t>S-07</t>
        </is>
      </c>
      <c r="D12" s="184" t="inlineStr">
        <is>
          <t>보안장비 보안 접속</t>
        </is>
      </c>
      <c r="E12" s="182" t="inlineStr">
        <is>
          <t>상</t>
        </is>
      </c>
      <c r="F12" s="182">
        <f>IF(E12="상", 3, IF(E12="중", 2, IF(E12="하", 1, "-")))</f>
        <v/>
      </c>
      <c r="G12" s="182">
        <f>COUNTIF($L12:$XFD12, "Y")</f>
        <v/>
      </c>
      <c r="H12" s="182">
        <f>COUNTIF($L12:$XFD12,"N")</f>
        <v/>
      </c>
      <c r="I12" s="182">
        <f>F12*G12</f>
        <v/>
      </c>
      <c r="J12" s="182">
        <f>F12*H12</f>
        <v/>
      </c>
      <c r="K12" s="182">
        <f>COUNTIF($L12:$XFD12,"N/A")</f>
        <v/>
      </c>
      <c r="L12" s="182">
        <f>INDIRECT("'"&amp;INDIRECT("점검대상!C"&amp;COLUMN()-5)&amp;"'!M"&amp;ROW()+15)</f>
        <v/>
      </c>
    </row>
    <row r="13" ht="28.15" customFormat="1" customHeight="1" s="8">
      <c r="C13" s="331" t="inlineStr">
        <is>
          <t>S-08</t>
        </is>
      </c>
      <c r="D13" s="184" t="inlineStr">
        <is>
          <t>Session timeout 설정</t>
        </is>
      </c>
      <c r="E13" s="182" t="inlineStr">
        <is>
          <t>상</t>
        </is>
      </c>
      <c r="F13" s="182">
        <f>IF(E13="상", 3, IF(E13="중", 2, IF(E13="하", 1, "-")))</f>
        <v/>
      </c>
      <c r="G13" s="182">
        <f>COUNTIF($L13:$XFD13, "Y")</f>
        <v/>
      </c>
      <c r="H13" s="182">
        <f>COUNTIF($L13:$XFD13,"N")</f>
        <v/>
      </c>
      <c r="I13" s="182">
        <f>F13*G13</f>
        <v/>
      </c>
      <c r="J13" s="182">
        <f>F13*H13</f>
        <v/>
      </c>
      <c r="K13" s="182">
        <f>COUNTIF($L13:$XFD13,"N/A")</f>
        <v/>
      </c>
      <c r="L13" s="182">
        <f>INDIRECT("'"&amp;INDIRECT("점검대상!C"&amp;COLUMN()-5)&amp;"'!M"&amp;ROW()+15)</f>
        <v/>
      </c>
    </row>
    <row r="14" ht="28.15" customFormat="1" customHeight="1" s="8">
      <c r="B14" t="inlineStr">
        <is>
          <t>패치 관리</t>
        </is>
      </c>
      <c r="C14" s="331" t="inlineStr">
        <is>
          <t>S-09</t>
        </is>
      </c>
      <c r="D14" s="184" t="inlineStr">
        <is>
          <t>벤더에서 제공하는 최신 업데이트 적용</t>
        </is>
      </c>
      <c r="E14" s="182" t="inlineStr">
        <is>
          <t>상</t>
        </is>
      </c>
      <c r="F14" s="182">
        <f>IF(E14="상", 3, IF(E14="중", 2, IF(E14="하", 1, "-")))</f>
        <v/>
      </c>
      <c r="G14" s="182">
        <f>COUNTIF($L14:$XFD14, "Y")</f>
        <v/>
      </c>
      <c r="H14" s="182">
        <f>COUNTIF($L14:$XFD14,"N")</f>
        <v/>
      </c>
      <c r="I14" s="182">
        <f>F14*G14</f>
        <v/>
      </c>
      <c r="J14" s="182">
        <f>F14*H14</f>
        <v/>
      </c>
      <c r="K14" s="182">
        <f>COUNTIF($L14:$XFD14,"N/A")</f>
        <v/>
      </c>
      <c r="L14" s="182">
        <f>INDIRECT("'"&amp;INDIRECT("점검대상!C"&amp;COLUMN()-5)&amp;"'!M"&amp;ROW()+15)</f>
        <v/>
      </c>
    </row>
    <row r="15" ht="28.15" customFormat="1" customHeight="1" s="8">
      <c r="B15" s="441" t="inlineStr">
        <is>
          <t>로그 관리</t>
        </is>
      </c>
      <c r="C15" s="331" t="inlineStr">
        <is>
          <t>S-10</t>
        </is>
      </c>
      <c r="D15" s="184" t="inlineStr">
        <is>
          <t>보안장비 로그 설정</t>
        </is>
      </c>
      <c r="E15" s="182" t="inlineStr">
        <is>
          <t>중</t>
        </is>
      </c>
      <c r="F15" s="182">
        <f>IF(E15="상", 3, IF(E15="중", 2, IF(E15="하", 1, "-")))</f>
        <v/>
      </c>
      <c r="G15" s="182">
        <f>COUNTIF($L15:$XFD15, "Y")</f>
        <v/>
      </c>
      <c r="H15" s="182">
        <f>COUNTIF($L15:$XFD15,"N")</f>
        <v/>
      </c>
      <c r="I15" s="182">
        <f>F15*G15</f>
        <v/>
      </c>
      <c r="J15" s="182">
        <f>F15*H15</f>
        <v/>
      </c>
      <c r="K15" s="182">
        <f>COUNTIF($L15:$XFD15,"N/A")</f>
        <v/>
      </c>
      <c r="L15" s="182">
        <f>INDIRECT("'"&amp;INDIRECT("점검대상!C"&amp;COLUMN()-5)&amp;"'!M"&amp;ROW()+15)</f>
        <v/>
      </c>
    </row>
    <row r="16" ht="28.15" customFormat="1" customHeight="1" s="8">
      <c r="B16" s="453" t="n"/>
      <c r="C16" s="331" t="inlineStr">
        <is>
          <t>S-11</t>
        </is>
      </c>
      <c r="D16" s="184" t="inlineStr">
        <is>
          <t>보안장비 로그 보관</t>
        </is>
      </c>
      <c r="E16" s="182" t="inlineStr">
        <is>
          <t>중</t>
        </is>
      </c>
      <c r="F16" s="182">
        <f>IF(E16="상", 3, IF(E16="중", 2, IF(E16="하", 1, "-")))</f>
        <v/>
      </c>
      <c r="G16" s="182">
        <f>COUNTIF($L16:$XFD16, "Y")</f>
        <v/>
      </c>
      <c r="H16" s="182">
        <f>COUNTIF($L16:$XFD16,"N")</f>
        <v/>
      </c>
      <c r="I16" s="182">
        <f>F16*G16</f>
        <v/>
      </c>
      <c r="J16" s="182">
        <f>F16*H16</f>
        <v/>
      </c>
      <c r="K16" s="182">
        <f>COUNTIF($L16:$XFD16,"N/A")</f>
        <v/>
      </c>
      <c r="L16" s="182">
        <f>INDIRECT("'"&amp;INDIRECT("점검대상!C"&amp;COLUMN()-5)&amp;"'!M"&amp;ROW()+15)</f>
        <v/>
      </c>
    </row>
    <row r="17" ht="28.15" customFormat="1" customHeight="1" s="8">
      <c r="B17" s="453" t="n"/>
      <c r="C17" s="331" t="inlineStr">
        <is>
          <t>S-12</t>
        </is>
      </c>
      <c r="D17" s="184" t="inlineStr">
        <is>
          <t>보안장비 정책 백업 설정</t>
        </is>
      </c>
      <c r="E17" s="182" t="inlineStr">
        <is>
          <t>중</t>
        </is>
      </c>
      <c r="F17" s="182">
        <f>IF(E17="상", 3, IF(E17="중", 2, IF(E17="하", 1, "-")))</f>
        <v/>
      </c>
      <c r="G17" s="182">
        <f>COUNTIF($L17:$XFD17, "Y")</f>
        <v/>
      </c>
      <c r="H17" s="182">
        <f>COUNTIF($L17:$XFD17,"N")</f>
        <v/>
      </c>
      <c r="I17" s="182">
        <f>F17*G17</f>
        <v/>
      </c>
      <c r="J17" s="182">
        <f>F17*H17</f>
        <v/>
      </c>
      <c r="K17" s="182">
        <f>COUNTIF($L17:$XFD17,"N/A")</f>
        <v/>
      </c>
      <c r="L17" s="182">
        <f>INDIRECT("'"&amp;INDIRECT("점검대상!C"&amp;COLUMN()-5)&amp;"'!M"&amp;ROW()+15)</f>
        <v/>
      </c>
    </row>
    <row r="18" ht="28.15" customFormat="1" customHeight="1" s="8">
      <c r="B18" s="453" t="n"/>
      <c r="C18" s="331" t="inlineStr">
        <is>
          <t>S-13</t>
        </is>
      </c>
      <c r="D18" s="184" t="inlineStr">
        <is>
          <t>원격 로그 서버 사용</t>
        </is>
      </c>
      <c r="E18" s="182" t="inlineStr">
        <is>
          <t>중</t>
        </is>
      </c>
      <c r="F18" s="182">
        <f>IF(E18="상", 3, IF(E18="중", 2, IF(E18="하", 1, "-")))</f>
        <v/>
      </c>
      <c r="G18" s="182">
        <f>COUNTIF($L18:$XFD18, "Y")</f>
        <v/>
      </c>
      <c r="H18" s="182">
        <f>COUNTIF($L18:$XFD18,"N")</f>
        <v/>
      </c>
      <c r="I18" s="182">
        <f>F18*G18</f>
        <v/>
      </c>
      <c r="J18" s="182">
        <f>F18*H18</f>
        <v/>
      </c>
      <c r="K18" s="182">
        <f>COUNTIF($L18:$XFD18,"N/A")</f>
        <v/>
      </c>
      <c r="L18" s="182">
        <f>INDIRECT("'"&amp;INDIRECT("점검대상!C"&amp;COLUMN()-5)&amp;"'!M"&amp;ROW()+15)</f>
        <v/>
      </c>
    </row>
    <row r="19" ht="28.15" customFormat="1" customHeight="1" s="8">
      <c r="B19" s="441" t="n"/>
      <c r="C19" s="136" t="inlineStr">
        <is>
          <t>S-14</t>
        </is>
      </c>
      <c r="D19" s="185" t="inlineStr">
        <is>
          <t>NTP 서버 연동</t>
        </is>
      </c>
      <c r="E19" s="183" t="inlineStr">
        <is>
          <t>중</t>
        </is>
      </c>
      <c r="F19" s="249">
        <f>IF(E19="상", 3, IF(E19="중", 2, IF(E19="하", 1, "-")))</f>
        <v/>
      </c>
      <c r="G19" s="183">
        <f>COUNTIF($L19:$XFD19, "Y")</f>
        <v/>
      </c>
      <c r="H19" s="183">
        <f>COUNTIF($L19:$XFD19,"N")</f>
        <v/>
      </c>
      <c r="I19" s="249">
        <f>F19*G19</f>
        <v/>
      </c>
      <c r="J19" s="249">
        <f>F19*H19</f>
        <v/>
      </c>
      <c r="K19" s="183">
        <f>COUNTIF($L19:$XFD19,"N/A")</f>
        <v/>
      </c>
      <c r="L19" s="182">
        <f>INDIRECT("'"&amp;INDIRECT("점검대상!C"&amp;COLUMN()-5)&amp;"'!M"&amp;ROW()+15)</f>
        <v/>
      </c>
    </row>
    <row r="20" ht="28.15" customFormat="1" customHeight="1" s="8">
      <c r="B20" t="inlineStr">
        <is>
          <t>기능 관리</t>
        </is>
      </c>
      <c r="C20" s="136" t="inlineStr">
        <is>
          <t>S-15</t>
        </is>
      </c>
      <c r="D20" s="185" t="inlineStr">
        <is>
          <t>정책 관리</t>
        </is>
      </c>
      <c r="E20" s="183" t="inlineStr">
        <is>
          <t>상</t>
        </is>
      </c>
      <c r="F20" s="249">
        <f>IF(E20="상", 3, IF(E20="중", 2, IF(E20="하", 1, "-")))</f>
        <v/>
      </c>
      <c r="G20" s="183">
        <f>COUNTIF($L20:$XFD20, "Y")</f>
        <v/>
      </c>
      <c r="H20" s="183">
        <f>COUNTIF($L20:$XFD20,"N")</f>
        <v/>
      </c>
      <c r="I20" s="249">
        <f>F20*G20</f>
        <v/>
      </c>
      <c r="J20" s="249">
        <f>F20*H20</f>
        <v/>
      </c>
      <c r="K20" s="183">
        <f>COUNTIF($L20:$XFD20,"N/A")</f>
        <v/>
      </c>
      <c r="L20" s="182">
        <f>INDIRECT("'"&amp;INDIRECT("점검대상!C"&amp;COLUMN()-5)&amp;"'!M"&amp;ROW()+15)</f>
        <v/>
      </c>
    </row>
    <row r="21" ht="28.15" customFormat="1" customHeight="1" s="8">
      <c r="C21" s="136" t="inlineStr">
        <is>
          <t>S-16</t>
        </is>
      </c>
      <c r="D21" s="185" t="inlineStr">
        <is>
          <t>NAT 설정</t>
        </is>
      </c>
      <c r="E21" s="183" t="inlineStr">
        <is>
          <t>상</t>
        </is>
      </c>
      <c r="F21" s="249">
        <f>IF(E21="상", 3, IF(E21="중", 2, IF(E21="하", 1, "-")))</f>
        <v/>
      </c>
      <c r="G21" s="183">
        <f>COUNTIF($L21:$XFD21, "Y")</f>
        <v/>
      </c>
      <c r="H21" s="183">
        <f>COUNTIF($L21:$XFD21,"N")</f>
        <v/>
      </c>
      <c r="I21" s="249">
        <f>F21*G21</f>
        <v/>
      </c>
      <c r="J21" s="249">
        <f>F21*H21</f>
        <v/>
      </c>
      <c r="K21" s="183">
        <f>COUNTIF($L21:$XFD21,"N/A")</f>
        <v/>
      </c>
      <c r="L21" s="182">
        <f>INDIRECT("'"&amp;INDIRECT("점검대상!C"&amp;COLUMN()-5)&amp;"'!M"&amp;ROW()+15)</f>
        <v/>
      </c>
    </row>
    <row r="22" ht="28.15" customFormat="1" customHeight="1" s="8">
      <c r="C22" s="136" t="inlineStr">
        <is>
          <t>S-17</t>
        </is>
      </c>
      <c r="D22" s="185" t="inlineStr">
        <is>
          <t>DMZ 설정</t>
        </is>
      </c>
      <c r="E22" s="183" t="inlineStr">
        <is>
          <t>상</t>
        </is>
      </c>
      <c r="F22" s="249">
        <f>IF(E22="상", 3, IF(E22="중", 2, IF(E22="하", 1, "-")))</f>
        <v/>
      </c>
      <c r="G22" s="183">
        <f>COUNTIF($L22:$XFD22, "Y")</f>
        <v/>
      </c>
      <c r="H22" s="183">
        <f>COUNTIF($L22:$XFD22,"N")</f>
        <v/>
      </c>
      <c r="I22" s="249">
        <f>F22*G22</f>
        <v/>
      </c>
      <c r="J22" s="249">
        <f>F22*H22</f>
        <v/>
      </c>
      <c r="K22" s="183">
        <f>COUNTIF($L22:$XFD22,"N/A")</f>
        <v/>
      </c>
      <c r="L22" s="182">
        <f>INDIRECT("'"&amp;INDIRECT("점검대상!C"&amp;COLUMN()-5)&amp;"'!M"&amp;ROW()+15)</f>
        <v/>
      </c>
    </row>
    <row r="23" ht="28.15" customFormat="1" customHeight="1" s="8">
      <c r="C23" s="136" t="inlineStr">
        <is>
          <t>S-18</t>
        </is>
      </c>
      <c r="D23" s="185" t="inlineStr">
        <is>
          <t>최소한의 서비스만 제공</t>
        </is>
      </c>
      <c r="E23" s="183" t="inlineStr">
        <is>
          <t>상</t>
        </is>
      </c>
      <c r="F23" s="249">
        <f>IF(E23="상", 3, IF(E23="중", 2, IF(E23="하", 1, "-")))</f>
        <v/>
      </c>
      <c r="G23" s="183">
        <f>COUNTIF($L23:$XFD23, "Y")</f>
        <v/>
      </c>
      <c r="H23" s="183">
        <f>COUNTIF($L23:$XFD23,"N")</f>
        <v/>
      </c>
      <c r="I23" s="249">
        <f>F23*G23</f>
        <v/>
      </c>
      <c r="J23" s="249">
        <f>F23*H23</f>
        <v/>
      </c>
      <c r="K23" s="183">
        <f>COUNTIF($L23:$XFD23,"N/A")</f>
        <v/>
      </c>
      <c r="L23" s="182">
        <f>INDIRECT("'"&amp;INDIRECT("점검대상!C"&amp;COLUMN()-5)&amp;"'!M"&amp;ROW()+15)</f>
        <v/>
      </c>
    </row>
    <row r="24" ht="28.15" customFormat="1" customHeight="1" s="8">
      <c r="C24" s="136" t="inlineStr">
        <is>
          <t>S-19</t>
        </is>
      </c>
      <c r="D24" s="185" t="inlineStr">
        <is>
          <t>이상징후 탐지 경고 기능 설정</t>
        </is>
      </c>
      <c r="E24" s="183" t="inlineStr">
        <is>
          <t>상</t>
        </is>
      </c>
      <c r="F24" s="249">
        <f>IF(E24="상", 3, IF(E24="중", 2, IF(E24="하", 1, "-")))</f>
        <v/>
      </c>
      <c r="G24" s="183">
        <f>COUNTIF($L24:$XFD24, "Y")</f>
        <v/>
      </c>
      <c r="H24" s="183">
        <f>COUNTIF($L24:$XFD24,"N")</f>
        <v/>
      </c>
      <c r="I24" s="249">
        <f>F24*G24</f>
        <v/>
      </c>
      <c r="J24" s="249">
        <f>F24*H24</f>
        <v/>
      </c>
      <c r="K24" s="183">
        <f>COUNTIF($L24:$XFD24,"N/A")</f>
        <v/>
      </c>
      <c r="L24" s="182">
        <f>INDIRECT("'"&amp;INDIRECT("점검대상!C"&amp;COLUMN()-5)&amp;"'!M"&amp;ROW()+15)</f>
        <v/>
      </c>
    </row>
    <row r="25" ht="28.15" customFormat="1" customHeight="1" s="8">
      <c r="C25" s="136" t="inlineStr">
        <is>
          <t>S-20</t>
        </is>
      </c>
      <c r="D25" s="185" t="inlineStr">
        <is>
          <t>장비 사용량 검토</t>
        </is>
      </c>
      <c r="E25" s="183" t="inlineStr">
        <is>
          <t>상</t>
        </is>
      </c>
      <c r="F25" s="249">
        <f>IF(E25="상", 3, IF(E25="중", 2, IF(E25="하", 1, "-")))</f>
        <v/>
      </c>
      <c r="G25" s="183">
        <f>COUNTIF($L25:$XFD25, "Y")</f>
        <v/>
      </c>
      <c r="H25" s="183">
        <f>COUNTIF($L25:$XFD25,"N")</f>
        <v/>
      </c>
      <c r="I25" s="249">
        <f>F25*G25</f>
        <v/>
      </c>
      <c r="J25" s="249">
        <f>F25*H25</f>
        <v/>
      </c>
      <c r="K25" s="183">
        <f>COUNTIF($L25:$XFD25,"N/A")</f>
        <v/>
      </c>
      <c r="L25" s="182">
        <f>INDIRECT("'"&amp;INDIRECT("점검대상!C"&amp;COLUMN()-5)&amp;"'!M"&amp;ROW()+15)</f>
        <v/>
      </c>
    </row>
    <row r="26" ht="28.15" customFormat="1" customHeight="1" s="8">
      <c r="C26" s="136" t="inlineStr">
        <is>
          <t>S-21</t>
        </is>
      </c>
      <c r="D26" s="185" t="inlineStr">
        <is>
          <t>SNMP 서비스 확인</t>
        </is>
      </c>
      <c r="E26" s="183" t="inlineStr">
        <is>
          <t>상</t>
        </is>
      </c>
      <c r="F26" s="249">
        <f>IF(E26="상", 3, IF(E26="중", 2, IF(E26="하", 1, "-")))</f>
        <v/>
      </c>
      <c r="G26" s="183">
        <f>COUNTIF($L26:$XFD26, "Y")</f>
        <v/>
      </c>
      <c r="H26" s="183">
        <f>COUNTIF($L26:$XFD26,"N")</f>
        <v/>
      </c>
      <c r="I26" s="249">
        <f>F26*G26</f>
        <v/>
      </c>
      <c r="J26" s="249">
        <f>F26*H26</f>
        <v/>
      </c>
      <c r="K26" s="183">
        <f>COUNTIF($L26:$XFD26,"N/A")</f>
        <v/>
      </c>
      <c r="L26" s="182">
        <f>INDIRECT("'"&amp;INDIRECT("점검대상!C"&amp;COLUMN()-5)&amp;"'!M"&amp;ROW()+15)</f>
        <v/>
      </c>
    </row>
    <row r="27" ht="28.15" customFormat="1" customHeight="1" s="8">
      <c r="C27" s="136" t="inlineStr">
        <is>
          <t>S-22</t>
        </is>
      </c>
      <c r="D27" s="185" t="inlineStr">
        <is>
          <t>SNMP Community String 복잡성 설정</t>
        </is>
      </c>
      <c r="E27" s="183" t="inlineStr">
        <is>
          <t>상</t>
        </is>
      </c>
      <c r="F27" s="249">
        <f>IF(E27="상", 3, IF(E27="중", 2, IF(E27="하", 1, "-")))</f>
        <v/>
      </c>
      <c r="G27" s="183">
        <f>COUNTIF($L27:$XFD27, "Y")</f>
        <v/>
      </c>
      <c r="H27" s="183">
        <f>COUNTIF($L27:$XFD27,"N")</f>
        <v/>
      </c>
      <c r="I27" s="249">
        <f>F27*G27</f>
        <v/>
      </c>
      <c r="J27" s="249">
        <f>F27*H27</f>
        <v/>
      </c>
      <c r="K27" s="183">
        <f>COUNTIF($L27:$XFD27,"N/A")</f>
        <v/>
      </c>
      <c r="L27" s="182">
        <f>INDIRECT("'"&amp;INDIRECT("점검대상!C"&amp;COLUMN()-5)&amp;"'!M"&amp;ROW()+15)</f>
        <v/>
      </c>
    </row>
    <row r="28" ht="28.15" customFormat="1" customHeight="1" s="8">
      <c r="C28" s="136" t="inlineStr">
        <is>
          <t>S-23</t>
        </is>
      </c>
      <c r="D28" s="185" t="inlineStr">
        <is>
          <t>유해 트래픽 차단 정책 설정</t>
        </is>
      </c>
      <c r="E28" s="183" t="inlineStr">
        <is>
          <t>중</t>
        </is>
      </c>
      <c r="F28" s="249">
        <f>IF(E28="상", 3, IF(E28="중", 2, IF(E28="하", 1, "-")))</f>
        <v/>
      </c>
      <c r="G28" s="183">
        <f>COUNTIF($L28:$XFD28, "Y")</f>
        <v/>
      </c>
      <c r="H28" s="183">
        <f>COUNTIF($L28:$XFD28,"N")</f>
        <v/>
      </c>
      <c r="I28" s="249">
        <f>F28*G28</f>
        <v/>
      </c>
      <c r="J28" s="249">
        <f>F28*H28</f>
        <v/>
      </c>
      <c r="K28" s="183">
        <f>COUNTIF($L28:$XFD28,"N/A")</f>
        <v/>
      </c>
      <c r="L28" s="182">
        <f>INDIRECT("'"&amp;INDIRECT("점검대상!C"&amp;COLUMN()-5)&amp;"'!M"&amp;ROW()+15)</f>
        <v/>
      </c>
    </row>
    <row r="29" ht="28.15" customFormat="1" customHeight="1" s="8">
      <c r="C29" s="136" t="n"/>
      <c r="D29" s="185" t="n"/>
      <c r="E29" s="183" t="n"/>
      <c r="F29" s="249" t="n"/>
      <c r="G29" s="183" t="n"/>
      <c r="H29" s="183" t="n"/>
      <c r="I29" s="249" t="n"/>
      <c r="J29" s="249" t="n"/>
      <c r="K29" s="183" t="n"/>
      <c r="L29" s="182" t="n"/>
    </row>
    <row r="30" ht="28.15" customFormat="1" customHeight="1" s="8">
      <c r="C30" s="136" t="n"/>
      <c r="D30" s="185" t="n"/>
      <c r="E30" s="183" t="n"/>
      <c r="F30" s="249" t="n"/>
      <c r="G30" s="183" t="n"/>
      <c r="H30" s="183" t="n"/>
      <c r="I30" s="249" t="n"/>
      <c r="J30" s="249" t="n"/>
      <c r="K30" s="183" t="n"/>
      <c r="L30" s="182" t="n"/>
    </row>
    <row r="31" ht="28.15" customFormat="1" customHeight="1" s="8">
      <c r="C31" s="136" t="n"/>
      <c r="D31" s="185" t="n"/>
      <c r="E31" s="183" t="n"/>
      <c r="F31" s="249" t="n"/>
      <c r="G31" s="183" t="n"/>
      <c r="H31" s="183" t="n"/>
      <c r="I31" s="249" t="n"/>
      <c r="J31" s="249" t="n"/>
      <c r="K31" s="183" t="n"/>
      <c r="L31" s="182" t="n"/>
    </row>
    <row r="32" ht="28.15" customFormat="1" customHeight="1" s="8">
      <c r="C32" s="136" t="n"/>
      <c r="D32" s="185" t="n"/>
      <c r="E32" s="183" t="n"/>
      <c r="F32" s="249" t="n"/>
      <c r="G32" s="183" t="n"/>
      <c r="H32" s="183" t="n"/>
      <c r="I32" s="249" t="n"/>
      <c r="J32" s="249" t="n"/>
      <c r="K32" s="183" t="n"/>
      <c r="L32" s="182" t="n"/>
    </row>
    <row r="33" ht="28.15" customFormat="1" customHeight="1" s="8">
      <c r="C33" s="136" t="n"/>
      <c r="D33" s="185" t="n"/>
      <c r="E33" s="183" t="n"/>
      <c r="F33" s="249" t="n"/>
      <c r="G33" s="183" t="n"/>
      <c r="H33" s="183" t="n"/>
      <c r="I33" s="249" t="n"/>
      <c r="J33" s="249" t="n"/>
      <c r="K33" s="183" t="n"/>
      <c r="L33" s="182" t="n"/>
    </row>
    <row r="34" ht="28.15" customFormat="1" customHeight="1" s="8">
      <c r="C34" s="136" t="n"/>
      <c r="D34" s="185" t="n"/>
      <c r="E34" s="183" t="n"/>
      <c r="F34" s="249" t="n"/>
      <c r="G34" s="183" t="n"/>
      <c r="H34" s="183" t="n"/>
      <c r="I34" s="249" t="n"/>
      <c r="J34" s="249" t="n"/>
      <c r="K34" s="183" t="n"/>
      <c r="L34" s="182" t="n"/>
    </row>
    <row r="35" ht="28.15" customFormat="1" customHeight="1" s="8">
      <c r="C35" s="136" t="n"/>
      <c r="D35" s="185" t="n"/>
      <c r="E35" s="183" t="n"/>
      <c r="F35" s="249" t="n"/>
      <c r="G35" s="183" t="n"/>
      <c r="H35" s="183" t="n"/>
      <c r="I35" s="249" t="n"/>
      <c r="J35" s="249" t="n"/>
      <c r="K35" s="183" t="n"/>
      <c r="L35" s="182" t="n"/>
    </row>
    <row r="36" ht="28.15" customFormat="1" customHeight="1" s="8">
      <c r="C36" s="136" t="n"/>
      <c r="D36" s="185" t="n"/>
      <c r="E36" s="183" t="n"/>
      <c r="F36" s="249" t="n"/>
      <c r="G36" s="183" t="n"/>
      <c r="H36" s="183" t="n"/>
      <c r="I36" s="249" t="n"/>
      <c r="J36" s="249" t="n"/>
      <c r="K36" s="183" t="n"/>
      <c r="L36" s="182" t="n"/>
    </row>
    <row r="37" ht="28.15" customFormat="1" customHeight="1" s="8">
      <c r="C37" s="136" t="n"/>
      <c r="D37" s="185" t="n"/>
      <c r="E37" s="183" t="n"/>
      <c r="F37" s="249" t="n"/>
      <c r="G37" s="183" t="n"/>
      <c r="H37" s="183" t="n"/>
      <c r="I37" s="249" t="n"/>
      <c r="J37" s="249" t="n"/>
      <c r="K37" s="183" t="n"/>
      <c r="L37" s="182" t="n"/>
    </row>
    <row r="38" ht="28.15" customFormat="1" customHeight="1" s="8">
      <c r="C38" s="136" t="n"/>
      <c r="D38" s="185" t="n"/>
      <c r="E38" s="183" t="n"/>
      <c r="F38" s="249" t="n"/>
      <c r="G38" s="183" t="n"/>
      <c r="H38" s="183" t="n"/>
      <c r="I38" s="249" t="n"/>
      <c r="J38" s="249" t="n"/>
      <c r="K38" s="183" t="n"/>
      <c r="L38" s="182" t="n"/>
    </row>
    <row r="39" ht="28.15" customFormat="1" customHeight="1" s="8">
      <c r="B39" s="329" t="n"/>
      <c r="C39" s="331" t="n"/>
      <c r="D39" s="184" t="n"/>
      <c r="E39" s="182" t="n"/>
      <c r="F39" s="182" t="n"/>
      <c r="G39" s="182" t="n"/>
      <c r="H39" s="182" t="n"/>
      <c r="I39" s="182" t="n"/>
      <c r="J39" s="182" t="n"/>
      <c r="K39" s="182" t="n"/>
      <c r="L39" s="182" t="n"/>
    </row>
    <row r="40" ht="28.15" customFormat="1" customHeight="1" s="8">
      <c r="C40" s="331" t="n"/>
      <c r="D40" s="184" t="n"/>
      <c r="E40" s="182" t="n"/>
      <c r="F40" s="182" t="n"/>
      <c r="G40" s="182" t="n"/>
      <c r="H40" s="182" t="n"/>
      <c r="I40" s="182" t="n"/>
      <c r="J40" s="182" t="n"/>
      <c r="K40" s="182" t="n"/>
      <c r="L40" s="182" t="n"/>
    </row>
    <row r="41" ht="28.15" customFormat="1" customHeight="1" s="8">
      <c r="C41" s="331" t="n"/>
      <c r="D41" s="184" t="n"/>
      <c r="E41" s="182" t="n"/>
      <c r="F41" s="182" t="n"/>
      <c r="G41" s="182" t="n"/>
      <c r="H41" s="182" t="n"/>
      <c r="I41" s="182" t="n"/>
      <c r="J41" s="182" t="n"/>
      <c r="K41" s="182" t="n"/>
      <c r="L41" s="182" t="n"/>
    </row>
    <row r="42" ht="28.15" customFormat="1" customHeight="1" s="8">
      <c r="C42" s="331" t="n"/>
      <c r="D42" s="184" t="n"/>
      <c r="E42" s="182" t="n"/>
      <c r="F42" s="182" t="n"/>
      <c r="G42" s="182" t="n"/>
      <c r="H42" s="182" t="n"/>
      <c r="I42" s="182" t="n"/>
      <c r="J42" s="182" t="n"/>
      <c r="K42" s="182" t="n"/>
      <c r="L42" s="182" t="n"/>
    </row>
    <row r="43" ht="28.15" customFormat="1" customHeight="1" s="8">
      <c r="C43" s="331" t="n"/>
      <c r="D43" s="184" t="n"/>
      <c r="E43" s="182" t="n"/>
      <c r="F43" s="182" t="n"/>
      <c r="G43" s="182" t="n"/>
      <c r="H43" s="182" t="n"/>
      <c r="I43" s="182" t="n"/>
      <c r="J43" s="182" t="n"/>
      <c r="K43" s="182" t="n"/>
      <c r="L43" s="182" t="n"/>
    </row>
    <row r="44" ht="28.15" customFormat="1" customHeight="1" s="8">
      <c r="C44" s="331" t="n"/>
      <c r="D44" s="184" t="n"/>
      <c r="E44" s="182" t="n"/>
      <c r="F44" s="182" t="n"/>
      <c r="G44" s="182" t="n"/>
      <c r="H44" s="182" t="n"/>
      <c r="I44" s="182" t="n"/>
      <c r="J44" s="182" t="n"/>
      <c r="K44" s="182" t="n"/>
      <c r="L44" s="182" t="n"/>
    </row>
    <row r="45" ht="28.15" customFormat="1" customHeight="1" s="8">
      <c r="C45" s="331" t="n"/>
      <c r="D45" s="184" t="n"/>
      <c r="E45" s="182" t="n"/>
      <c r="F45" s="182" t="n"/>
      <c r="G45" s="182" t="n"/>
      <c r="H45" s="182" t="n"/>
      <c r="I45" s="182" t="n"/>
      <c r="J45" s="182" t="n"/>
      <c r="K45" s="182" t="n"/>
      <c r="L45" s="182" t="n"/>
    </row>
    <row r="46" ht="28.15" customFormat="1" customHeight="1" s="8">
      <c r="C46" s="331" t="n"/>
      <c r="D46" s="184" t="n"/>
      <c r="E46" s="182" t="n"/>
      <c r="F46" s="182" t="n"/>
      <c r="G46" s="182" t="n"/>
      <c r="H46" s="182" t="n"/>
      <c r="I46" s="182" t="n"/>
      <c r="J46" s="182" t="n"/>
      <c r="K46" s="182" t="n"/>
      <c r="L46" s="182" t="n"/>
    </row>
    <row r="47" ht="28.15" customFormat="1" customHeight="1" s="8">
      <c r="C47" s="331" t="n"/>
      <c r="D47" s="184" t="n"/>
      <c r="E47" s="182" t="n"/>
      <c r="F47" s="182" t="n"/>
      <c r="G47" s="182" t="n"/>
      <c r="H47" s="182" t="n"/>
      <c r="I47" s="182" t="n"/>
      <c r="J47" s="182" t="n"/>
      <c r="K47" s="182" t="n"/>
      <c r="L47" s="182" t="n"/>
    </row>
    <row r="48" ht="28.15" customFormat="1" customHeight="1" s="8">
      <c r="C48" s="331" t="n"/>
      <c r="D48" s="184" t="n"/>
      <c r="E48" s="182" t="n"/>
      <c r="F48" s="182" t="n"/>
      <c r="G48" s="182" t="n"/>
      <c r="H48" s="182" t="n"/>
      <c r="I48" s="182" t="n"/>
      <c r="J48" s="182" t="n"/>
      <c r="K48" s="182" t="n"/>
      <c r="L48" s="182" t="n"/>
    </row>
    <row r="49" ht="28.15" customFormat="1" customHeight="1" s="8">
      <c r="C49" s="331" t="n"/>
      <c r="D49" s="184" t="n"/>
      <c r="E49" s="182" t="n"/>
      <c r="F49" s="182" t="n"/>
      <c r="G49" s="182" t="n"/>
      <c r="H49" s="182" t="n"/>
      <c r="I49" s="182" t="n"/>
      <c r="J49" s="182" t="n"/>
      <c r="K49" s="182" t="n"/>
      <c r="L49" s="182" t="n"/>
    </row>
    <row r="50" ht="28.15" customFormat="1" customHeight="1" s="8">
      <c r="C50" s="331" t="n"/>
      <c r="D50" s="184" t="n"/>
      <c r="E50" s="182" t="n"/>
      <c r="F50" s="182" t="n"/>
      <c r="G50" s="182" t="n"/>
      <c r="H50" s="182" t="n"/>
      <c r="I50" s="182" t="n"/>
      <c r="J50" s="182" t="n"/>
      <c r="K50" s="182" t="n"/>
      <c r="L50" s="182" t="n"/>
    </row>
    <row r="51" ht="28.15" customFormat="1" customHeight="1" s="8">
      <c r="C51" s="331" t="n"/>
      <c r="D51" s="184" t="n"/>
      <c r="E51" s="182" t="n"/>
      <c r="F51" s="182" t="n"/>
      <c r="G51" s="182" t="n"/>
      <c r="H51" s="182" t="n"/>
      <c r="I51" s="182" t="n"/>
      <c r="J51" s="182" t="n"/>
      <c r="K51" s="182" t="n"/>
      <c r="L51" s="182" t="n"/>
    </row>
    <row r="52" ht="28.15" customFormat="1" customHeight="1" s="8">
      <c r="C52" s="331" t="n"/>
      <c r="D52" s="184" t="n"/>
      <c r="E52" s="182" t="n"/>
      <c r="F52" s="182" t="n"/>
      <c r="G52" s="182" t="n"/>
      <c r="H52" s="182" t="n"/>
      <c r="I52" s="182" t="n"/>
      <c r="J52" s="182" t="n"/>
      <c r="K52" s="182" t="n"/>
      <c r="L52" s="182" t="n"/>
    </row>
    <row r="53" ht="28.15" customFormat="1" customHeight="1" s="8">
      <c r="C53" s="331" t="n"/>
      <c r="D53" s="184" t="n"/>
      <c r="E53" s="182" t="n"/>
      <c r="F53" s="182" t="n"/>
      <c r="G53" s="182" t="n"/>
      <c r="H53" s="182" t="n"/>
      <c r="I53" s="182" t="n"/>
      <c r="J53" s="182" t="n"/>
      <c r="K53" s="182" t="n"/>
      <c r="L53" s="182" t="n"/>
    </row>
    <row r="54" ht="28.15" customFormat="1" customHeight="1" s="8">
      <c r="C54" s="331" t="n"/>
      <c r="D54" s="184" t="n"/>
      <c r="E54" s="182" t="n"/>
      <c r="F54" s="182" t="n"/>
      <c r="G54" s="182" t="n"/>
      <c r="H54" s="182" t="n"/>
      <c r="I54" s="182" t="n"/>
      <c r="J54" s="182" t="n"/>
      <c r="K54" s="182" t="n"/>
      <c r="L54" s="182" t="n"/>
    </row>
    <row r="55" ht="28.15" customFormat="1" customHeight="1" s="8">
      <c r="C55" s="331" t="n"/>
      <c r="D55" s="184" t="n"/>
      <c r="E55" s="182" t="n"/>
      <c r="F55" s="182" t="n"/>
      <c r="G55" s="182" t="n"/>
      <c r="H55" s="182" t="n"/>
      <c r="I55" s="182" t="n"/>
      <c r="J55" s="182" t="n"/>
      <c r="K55" s="182" t="n"/>
      <c r="L55" s="182" t="n"/>
    </row>
    <row r="56" ht="28.15" customFormat="1" customHeight="1" s="8">
      <c r="C56" s="331" t="n"/>
      <c r="D56" s="184" t="n"/>
      <c r="E56" s="182" t="n"/>
      <c r="F56" s="182" t="n"/>
      <c r="G56" s="182" t="n"/>
      <c r="H56" s="182" t="n"/>
      <c r="I56" s="182" t="n"/>
      <c r="J56" s="182" t="n"/>
      <c r="K56" s="182" t="n"/>
      <c r="L56" s="182" t="n"/>
    </row>
    <row r="57" ht="28.15" customFormat="1" customHeight="1" s="8">
      <c r="C57" s="331" t="n"/>
      <c r="D57" s="184" t="n"/>
      <c r="E57" s="182" t="n"/>
      <c r="F57" s="182" t="n"/>
      <c r="G57" s="182" t="n"/>
      <c r="H57" s="182" t="n"/>
      <c r="I57" s="182" t="n"/>
      <c r="J57" s="182" t="n"/>
      <c r="K57" s="182" t="n"/>
      <c r="L57" s="182" t="n"/>
    </row>
    <row r="58" ht="28.15" customFormat="1" customHeight="1" s="8">
      <c r="C58" s="331" t="n"/>
      <c r="D58" s="184" t="n"/>
      <c r="E58" s="182" t="n"/>
      <c r="F58" s="182" t="n"/>
      <c r="G58" s="182" t="n"/>
      <c r="H58" s="182" t="n"/>
      <c r="I58" s="182" t="n"/>
      <c r="J58" s="182" t="n"/>
      <c r="K58" s="182" t="n"/>
      <c r="L58" s="182" t="n"/>
    </row>
    <row r="59" ht="28.35" customFormat="1" customHeight="1" s="8">
      <c r="C59" s="331" t="n"/>
      <c r="D59" s="184" t="n"/>
      <c r="E59" s="182" t="n"/>
      <c r="F59" s="182" t="n"/>
      <c r="G59" s="182" t="n"/>
      <c r="H59" s="182" t="n"/>
      <c r="I59" s="182" t="n"/>
      <c r="J59" s="182" t="n"/>
      <c r="K59" s="182" t="n"/>
      <c r="L59" s="182" t="n"/>
    </row>
    <row r="60" ht="28.35" customFormat="1" customHeight="1" s="8">
      <c r="C60" s="331" t="n"/>
      <c r="D60" s="184" t="n"/>
      <c r="E60" s="182" t="n"/>
      <c r="F60" s="182" t="n"/>
      <c r="G60" s="182" t="n"/>
      <c r="H60" s="182" t="n"/>
      <c r="I60" s="182" t="n"/>
      <c r="J60" s="182" t="n"/>
      <c r="K60" s="182" t="n"/>
      <c r="L60" s="182" t="n"/>
    </row>
    <row r="61" ht="28.35" customFormat="1" customHeight="1" s="8">
      <c r="C61" s="331" t="n"/>
      <c r="D61" s="184" t="n"/>
      <c r="E61" s="182" t="n"/>
      <c r="F61" s="182" t="n"/>
      <c r="G61" s="182" t="n"/>
      <c r="H61" s="182" t="n"/>
      <c r="I61" s="182" t="n"/>
      <c r="J61" s="182" t="n"/>
      <c r="K61" s="182" t="n"/>
      <c r="L61" s="182" t="n"/>
    </row>
    <row r="62" ht="28.35" customFormat="1" customHeight="1" s="8">
      <c r="C62" s="331" t="n"/>
      <c r="D62" s="184" t="n"/>
      <c r="E62" s="182" t="n"/>
      <c r="F62" s="182" t="n"/>
      <c r="G62" s="182" t="n"/>
      <c r="H62" s="182" t="n"/>
      <c r="I62" s="182" t="n"/>
      <c r="J62" s="182" t="n"/>
      <c r="K62" s="182" t="n"/>
      <c r="L62" s="182" t="n"/>
    </row>
    <row r="63" ht="28.35" customFormat="1" customHeight="1" s="8">
      <c r="C63" s="331" t="n"/>
      <c r="D63" s="184" t="n"/>
      <c r="E63" s="182" t="n"/>
      <c r="F63" s="182" t="n"/>
      <c r="G63" s="182" t="n"/>
      <c r="H63" s="182" t="n"/>
      <c r="I63" s="182" t="n"/>
      <c r="J63" s="182" t="n"/>
      <c r="K63" s="182" t="n"/>
      <c r="L63" s="182" t="n"/>
    </row>
    <row r="64" ht="28.35" customFormat="1" customHeight="1" s="8">
      <c r="C64" s="331" t="n"/>
      <c r="D64" s="184" t="n"/>
      <c r="E64" s="182" t="n"/>
      <c r="F64" s="182" t="n"/>
      <c r="G64" s="182" t="n"/>
      <c r="H64" s="182" t="n"/>
      <c r="I64" s="182" t="n"/>
      <c r="J64" s="182" t="n"/>
      <c r="K64" s="182" t="n"/>
      <c r="L64" s="182" t="n"/>
    </row>
    <row r="65" ht="28.35" customFormat="1" customHeight="1" s="8">
      <c r="C65" s="331" t="n"/>
      <c r="D65" s="184" t="n"/>
      <c r="E65" s="182" t="n"/>
      <c r="F65" s="182" t="n"/>
      <c r="G65" s="182" t="n"/>
      <c r="H65" s="182" t="n"/>
      <c r="I65" s="182" t="n"/>
      <c r="J65" s="182" t="n"/>
      <c r="K65" s="182" t="n"/>
      <c r="L65" s="182" t="n"/>
    </row>
    <row r="66" ht="28.35" customFormat="1" customHeight="1" s="8">
      <c r="C66" s="331" t="n"/>
      <c r="D66" s="184" t="n"/>
      <c r="E66" s="182" t="n"/>
      <c r="F66" s="182" t="n"/>
      <c r="G66" s="182" t="n"/>
      <c r="H66" s="182" t="n"/>
      <c r="I66" s="182" t="n"/>
      <c r="J66" s="182" t="n"/>
      <c r="K66" s="182" t="n"/>
      <c r="L66" s="182" t="n"/>
    </row>
    <row r="67" ht="28.35" customFormat="1" customHeight="1" s="8">
      <c r="C67" s="331" t="n"/>
      <c r="D67" s="184" t="n"/>
      <c r="E67" s="182" t="n"/>
      <c r="F67" s="182" t="n"/>
      <c r="G67" s="182" t="n"/>
      <c r="H67" s="182" t="n"/>
      <c r="I67" s="182" t="n"/>
      <c r="J67" s="182" t="n"/>
      <c r="K67" s="182" t="n"/>
      <c r="L67" s="182" t="n"/>
    </row>
    <row r="68" ht="28.35" customFormat="1" customHeight="1" s="8">
      <c r="C68" s="331" t="n"/>
      <c r="D68" s="184" t="n"/>
      <c r="E68" s="182" t="n"/>
      <c r="F68" s="182" t="n"/>
      <c r="G68" s="182" t="n"/>
      <c r="H68" s="182" t="n"/>
      <c r="I68" s="182" t="n"/>
      <c r="J68" s="182" t="n"/>
      <c r="K68" s="182" t="n"/>
      <c r="L68" s="182" t="n"/>
    </row>
    <row r="69" ht="28.35" customFormat="1" customHeight="1" s="8">
      <c r="B69" s="136" t="n"/>
      <c r="C69" s="136" t="n"/>
      <c r="D69" s="185" t="n"/>
      <c r="E69" s="183" t="n"/>
      <c r="F69" s="249" t="n"/>
      <c r="G69" s="183" t="n"/>
      <c r="H69" s="183" t="n"/>
      <c r="I69" s="249" t="n"/>
      <c r="J69" s="249" t="n"/>
      <c r="K69" s="183" t="n"/>
      <c r="L69" s="250" t="n"/>
    </row>
    <row r="70" ht="28.35" customFormat="1" customHeight="1" s="8">
      <c r="B70" s="331" t="n"/>
      <c r="C70" s="331" t="n"/>
      <c r="D70" s="184" t="n"/>
      <c r="E70" s="182" t="n"/>
      <c r="F70" s="182" t="n"/>
      <c r="G70" s="182" t="n"/>
      <c r="H70" s="182" t="n"/>
      <c r="I70" s="182" t="n"/>
      <c r="J70" s="182" t="n"/>
      <c r="K70" s="182" t="n"/>
      <c r="L70" s="182" t="n"/>
    </row>
    <row r="71" ht="28.35" customFormat="1" customHeight="1" s="8">
      <c r="C71" s="331" t="n"/>
      <c r="D71" s="184" t="n"/>
      <c r="E71" s="182" t="n"/>
      <c r="F71" s="182" t="n"/>
      <c r="G71" s="182" t="n"/>
      <c r="H71" s="182" t="n"/>
      <c r="I71" s="182" t="n"/>
      <c r="J71" s="182" t="n"/>
      <c r="K71" s="182" t="n"/>
      <c r="L71" s="182" t="n"/>
    </row>
    <row r="72" ht="28.35" customFormat="1" customHeight="1" s="8">
      <c r="C72" s="331" t="n"/>
      <c r="D72" s="184" t="n"/>
      <c r="E72" s="182" t="n"/>
      <c r="F72" s="182" t="n"/>
      <c r="G72" s="182" t="n"/>
      <c r="H72" s="182" t="n"/>
      <c r="I72" s="182" t="n"/>
      <c r="J72" s="182" t="n"/>
      <c r="K72" s="182" t="n"/>
      <c r="L72" s="182" t="n"/>
    </row>
    <row r="73">
      <c r="B73" s="324" t="inlineStr">
        <is>
          <t>전체항목 합계</t>
        </is>
      </c>
      <c r="E73" s="453" t="n"/>
      <c r="F73" s="324">
        <f>SUM(F6:F28)</f>
        <v/>
      </c>
      <c r="G73" s="324">
        <f>SUM(G6:G28)</f>
        <v/>
      </c>
      <c r="H73" s="324">
        <f>SUM(H6:H28)</f>
        <v/>
      </c>
      <c r="I73" s="324">
        <f>SUM(I6:I28)</f>
        <v/>
      </c>
      <c r="J73" s="324">
        <f>SUM(J6:J28)</f>
        <v/>
      </c>
      <c r="K73" s="324">
        <f>SUM(K6:K28)</f>
        <v/>
      </c>
      <c r="L73" s="262">
        <f t="array" ref="L73">SUM(IF(L$6:L$28&lt;&gt;"N/A",$F$6:$F$28))</f>
        <v/>
      </c>
    </row>
    <row r="74">
      <c r="B74" s="439" t="n"/>
      <c r="C74" s="440" t="n"/>
      <c r="D74" s="440" t="n"/>
      <c r="E74" s="441" t="n"/>
      <c r="F74" s="444" t="n"/>
      <c r="G74" s="444" t="n"/>
      <c r="H74" s="444" t="n"/>
      <c r="I74" s="444" t="n"/>
      <c r="J74" s="444" t="n"/>
      <c r="K74" s="444" t="n"/>
      <c r="L74" s="129">
        <f t="array" ref="L74">SUMIF(L$6:L$28,"=N",$F$6:$F$28)</f>
        <v/>
      </c>
    </row>
    <row r="75" ht="24" customHeight="1" s="434">
      <c r="B75" s="19" t="n"/>
      <c r="C75" s="19" t="n"/>
      <c r="D75" s="19" t="n"/>
      <c r="E75" s="19" t="n"/>
      <c r="F75" s="19" t="n"/>
      <c r="G75" s="19" t="n"/>
      <c r="H75" s="19" t="n"/>
      <c r="I75" s="19" t="n"/>
      <c r="J75" s="57" t="inlineStr">
        <is>
          <t>Y</t>
        </is>
      </c>
      <c r="K75" s="57">
        <f>SUM(L75:L75)</f>
        <v/>
      </c>
      <c r="L75" s="58">
        <f>COUNTIF(L$6:L$28,$J75)</f>
        <v/>
      </c>
    </row>
    <row r="76" ht="18.6" customHeight="1" s="434">
      <c r="B76" s="19" t="n"/>
      <c r="C76" s="19" t="n"/>
      <c r="D76" s="19" t="n"/>
      <c r="E76" s="19" t="n"/>
      <c r="F76" s="19" t="n"/>
      <c r="G76" s="19" t="n"/>
      <c r="H76" s="19" t="n"/>
      <c r="I76" s="19" t="n"/>
      <c r="J76" s="59" t="inlineStr">
        <is>
          <t>N</t>
        </is>
      </c>
      <c r="K76" s="57">
        <f>SUM(L76:L76)</f>
        <v/>
      </c>
      <c r="L76" s="61">
        <f>COUNTIF(L$6:L$28,$J76)</f>
        <v/>
      </c>
    </row>
    <row r="77" ht="28.15" customHeight="1" s="434">
      <c r="B77" s="19" t="n"/>
      <c r="C77" s="19" t="n"/>
      <c r="D77" s="19" t="n"/>
      <c r="E77" s="19" t="n"/>
      <c r="F77" s="19" t="n"/>
      <c r="G77" s="19" t="n"/>
      <c r="H77" s="19" t="n"/>
      <c r="I77" s="19" t="n"/>
      <c r="J77" s="60" t="inlineStr">
        <is>
          <t>N/A</t>
        </is>
      </c>
      <c r="K77" s="57">
        <f>SUM(L77:L77)</f>
        <v/>
      </c>
      <c r="L77" s="61">
        <f>COUNTIF(L$6:L$28,$J77)</f>
        <v/>
      </c>
    </row>
    <row r="79" ht="16.15" customHeight="1" s="434"/>
    <row r="80" ht="16.15" customHeight="1" s="434">
      <c r="H80" s="86" t="inlineStr">
        <is>
          <t>위험도</t>
        </is>
      </c>
      <c r="I80" s="86" t="n"/>
      <c r="J80" s="86" t="n"/>
      <c r="K80" s="86" t="inlineStr">
        <is>
          <t>총합</t>
        </is>
      </c>
      <c r="L80" s="86">
        <f>L$4</f>
        <v/>
      </c>
    </row>
    <row r="81" ht="16.5" customHeight="1" s="434">
      <c r="H81" s="86" t="n">
        <v>3</v>
      </c>
      <c r="I81" s="86" t="n"/>
      <c r="J81" s="86" t="n"/>
      <c r="K81" s="86">
        <f>SUM($L81:$L81)</f>
        <v/>
      </c>
      <c r="L81" s="14">
        <f>INDIRECT("'"&amp;INDIRECT("점검대상!C"&amp;COLUMN()-5)&amp;"'!M"&amp;ROW()+11)</f>
        <v/>
      </c>
    </row>
    <row r="82" ht="16.5" customHeight="1" s="434">
      <c r="H82" s="86" t="n">
        <v>4</v>
      </c>
      <c r="I82" s="86" t="n"/>
      <c r="J82" s="86" t="n"/>
      <c r="K82" s="86">
        <f>SUM($L82:$L82)</f>
        <v/>
      </c>
      <c r="L82" s="14">
        <f>INDIRECT("'"&amp;INDIRECT("점검대상!C"&amp;COLUMN()-5)&amp;"'!M"&amp;ROW()+11)</f>
        <v/>
      </c>
    </row>
    <row r="83" ht="16.5" customHeight="1" s="434">
      <c r="H83" s="86" t="n">
        <v>5</v>
      </c>
      <c r="I83" s="86" t="n"/>
      <c r="J83" s="86" t="n"/>
      <c r="K83" s="86">
        <f>SUM($L83:$L83)</f>
        <v/>
      </c>
      <c r="L83" s="14">
        <f>INDIRECT("'"&amp;INDIRECT("점검대상!C"&amp;COLUMN()-5)&amp;"'!M"&amp;ROW()+11)</f>
        <v/>
      </c>
    </row>
    <row r="84" ht="16.5" customHeight="1" s="434">
      <c r="H84" s="86" t="n">
        <v>6</v>
      </c>
      <c r="I84" s="86" t="n"/>
      <c r="J84" s="86" t="n"/>
      <c r="K84" s="86">
        <f>SUM($L84:$L84)</f>
        <v/>
      </c>
      <c r="L84" s="14">
        <f>INDIRECT("'"&amp;INDIRECT("점검대상!C"&amp;COLUMN()-5)&amp;"'!M"&amp;ROW()+11)</f>
        <v/>
      </c>
    </row>
    <row r="85" ht="16.5" customHeight="1" s="434">
      <c r="H85" s="86" t="n">
        <v>7</v>
      </c>
      <c r="I85" s="86" t="n"/>
      <c r="J85" s="86" t="n"/>
      <c r="K85" s="86">
        <f>SUM($L85:$L85)</f>
        <v/>
      </c>
      <c r="L85" s="14">
        <f>INDIRECT("'"&amp;INDIRECT("점검대상!C"&amp;COLUMN()-5)&amp;"'!M"&amp;ROW()+11)</f>
        <v/>
      </c>
    </row>
    <row r="86" ht="16.5" customHeight="1" s="434">
      <c r="H86" s="86" t="n">
        <v>8</v>
      </c>
      <c r="I86" s="86" t="n"/>
      <c r="J86" s="86" t="n"/>
      <c r="K86" s="86">
        <f>SUM($L86:$L86)</f>
        <v/>
      </c>
      <c r="L86" s="14">
        <f>INDIRECT("'"&amp;INDIRECT("점검대상!C"&amp;COLUMN()-5)&amp;"'!M"&amp;ROW()+11)</f>
        <v/>
      </c>
    </row>
    <row r="87" ht="16.5" customHeight="1" s="434">
      <c r="H87" s="86" t="n">
        <v>9</v>
      </c>
      <c r="I87" s="86" t="n"/>
      <c r="J87" s="86" t="n"/>
      <c r="K87" s="86">
        <f>SUM($L87:$L87)</f>
        <v/>
      </c>
      <c r="L87" s="14">
        <f>INDIRECT("'"&amp;INDIRECT("점검대상!C"&amp;COLUMN()-5)&amp;"'!M"&amp;ROW()+11)</f>
        <v/>
      </c>
    </row>
    <row r="88" ht="16.5" customHeight="1" s="434"/>
    <row r="89" ht="16.5" customHeight="1" s="434"/>
    <row r="90" ht="16.5" customHeight="1" s="434"/>
    <row r="91" ht="16.5" customHeight="1" s="434"/>
    <row r="92" ht="16.5" customHeight="1" s="434"/>
    <row r="93" ht="16.5" customHeight="1" s="434"/>
    <row r="94" ht="16.5" customHeight="1" s="434"/>
    <row r="95" ht="16.5" customHeight="1" s="434"/>
    <row r="96" ht="16.5" customHeight="1" s="434"/>
    <row r="97" ht="16.5" customHeight="1" s="434"/>
    <row r="98" ht="16.5" customHeight="1" s="434"/>
    <row r="99" ht="16.5" customHeight="1" s="434"/>
    <row r="100" ht="16.5" customHeight="1" s="434"/>
    <row r="101" ht="16.5" customHeight="1" s="434"/>
    <row r="102" ht="16.5" customHeight="1" s="434"/>
    <row r="103" ht="16.5" customHeight="1" s="434"/>
    <row r="104" ht="16.5" customHeight="1" s="434"/>
    <row r="105" ht="16.5" customHeight="1" s="434"/>
    <row r="106" ht="16.5" customHeight="1" s="434"/>
    <row r="107" ht="16.5" customHeight="1" s="434"/>
    <row r="108" ht="16.5" customHeight="1" s="434"/>
    <row r="109" ht="16.5" customHeight="1" s="434"/>
    <row r="110" ht="16.5" customHeight="1" s="434"/>
    <row r="111" ht="16.5" customHeight="1" s="434"/>
    <row r="112" ht="16.5" customHeight="1" s="434"/>
    <row r="113" ht="16.5" customHeight="1" s="434"/>
    <row r="114" ht="16.5" customHeight="1" s="434"/>
    <row r="115" ht="16.5" customHeight="1" s="434"/>
    <row r="116" ht="16.5" customHeight="1" s="434"/>
    <row r="117" ht="16.5" customHeight="1" s="434"/>
    <row r="118" ht="16.5" customHeight="1" s="434"/>
    <row r="119" ht="16.5" customHeight="1" s="434"/>
  </sheetData>
  <mergeCells count="21">
    <mergeCell ref="E4:E5"/>
    <mergeCell ref="B6:B10"/>
    <mergeCell ref="H73:H74"/>
    <mergeCell ref="B15:B19"/>
    <mergeCell ref="B73:E74"/>
    <mergeCell ref="J4:J5"/>
    <mergeCell ref="L4:L5"/>
    <mergeCell ref="G73:G74"/>
    <mergeCell ref="I73:I74"/>
    <mergeCell ref="G4:G5"/>
    <mergeCell ref="B20:B28"/>
    <mergeCell ref="I4:I5"/>
    <mergeCell ref="B4:D4"/>
    <mergeCell ref="K4:K5"/>
    <mergeCell ref="K73:K74"/>
    <mergeCell ref="B11:B13"/>
    <mergeCell ref="F73:F74"/>
    <mergeCell ref="B14"/>
    <mergeCell ref="F4:F5"/>
    <mergeCell ref="H4:H5"/>
    <mergeCell ref="J73:J74"/>
  </mergeCells>
  <conditionalFormatting sqref="A6:C72 E6:XFD72">
    <cfRule type="cellIs" priority="212" operator="equal" dxfId="5" stopIfTrue="1">
      <formula>"N/A"</formula>
    </cfRule>
    <cfRule type="cellIs" priority="214" operator="equal" dxfId="4" stopIfTrue="1">
      <formula>"N"</formula>
    </cfRule>
  </conditionalFormatting>
  <conditionalFormatting sqref="L73:L77">
    <cfRule type="cellIs" priority="210" operator="equal" dxfId="17" stopIfTrue="1">
      <formula>"N"</formula>
    </cfRule>
    <cfRule type="cellIs" priority="211" operator="equal" dxfId="16" stopIfTrue="1">
      <formula>"N/A"</formula>
    </cfRule>
  </conditionalFormatting>
  <conditionalFormatting sqref="L81:L87">
    <cfRule type="cellIs" priority="207" operator="equal" dxfId="5" stopIfTrue="1">
      <formula>"N/A"</formula>
    </cfRule>
    <cfRule type="cellIs" priority="208" operator="equal" dxfId="4" stopIfTrue="1">
      <formula>"N"</formula>
    </cfRule>
  </conditionalFormatting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24" horizontalDpi="300" verticalDpi="300"/>
</worksheet>
</file>

<file path=xl/worksheets/sheet6.xml><?xml version="1.0" encoding="utf-8"?>
<worksheet xmlns="http://schemas.openxmlformats.org/spreadsheetml/2006/main">
  <sheetPr codeName="Sheet4">
    <outlinePr summaryBelow="1" summaryRight="1"/>
    <pageSetUpPr fitToPage="1"/>
  </sheetPr>
  <dimension ref="B1:V7"/>
  <sheetViews>
    <sheetView view="pageBreakPreview" zoomScale="70" zoomScaleNormal="100" zoomScaleSheetLayoutView="70" workbookViewId="0">
      <pane ySplit="6" topLeftCell="A7" activePane="bottomLeft" state="frozen"/>
      <selection pane="bottomLeft" activeCell="E7" sqref="E7"/>
    </sheetView>
  </sheetViews>
  <sheetFormatPr baseColWidth="8" defaultColWidth="8.6640625" defaultRowHeight="13.5" zeroHeight="1"/>
  <cols>
    <col width="2.5546875" customWidth="1" style="3" min="1" max="1"/>
    <col width="6.6640625" customWidth="1" style="3" min="2" max="2"/>
    <col width="18.33203125" customWidth="1" style="3" min="3" max="3"/>
    <col width="20.88671875" bestFit="1" customWidth="1" style="3" min="4" max="4"/>
    <col width="22.21875" customWidth="1" style="3" min="5" max="5"/>
    <col width="29.5546875" customWidth="1" style="3" min="6" max="6"/>
    <col width="6" customWidth="1" style="3" min="7" max="10"/>
    <col width="10.109375" customWidth="1" style="3" min="11" max="11"/>
    <col width="2.44140625" customWidth="1" style="3" min="12" max="12"/>
    <col width="8.6640625" customWidth="1" style="3" min="13" max="16384"/>
  </cols>
  <sheetData>
    <row r="1" ht="16.5" customFormat="1" customHeight="1" s="1">
      <c r="B1" s="12" t="n"/>
      <c r="C1" s="12" t="n"/>
      <c r="D1" s="12" t="n"/>
      <c r="E1" s="12" t="n"/>
      <c r="F1" s="12" t="n"/>
      <c r="G1" s="12" t="n"/>
      <c r="H1" s="12" t="n"/>
      <c r="I1" s="12" t="n"/>
      <c r="J1" s="12" t="n"/>
      <c r="K1" s="12" t="n"/>
    </row>
    <row r="2" ht="18" customHeight="1" s="434">
      <c r="B2" s="340" t="inlineStr">
        <is>
          <t>◎ 정보보호시스템 점검대상</t>
        </is>
      </c>
      <c r="M2" s="4" t="n"/>
      <c r="N2" s="5" t="n"/>
      <c r="O2" s="5" t="n"/>
      <c r="P2" s="5" t="n"/>
      <c r="Q2" s="5" t="n"/>
      <c r="R2" s="5" t="n"/>
      <c r="S2" s="5" t="n"/>
      <c r="T2" s="5" t="n"/>
      <c r="U2" s="5" t="n"/>
      <c r="V2" s="5" t="n"/>
    </row>
    <row r="3" ht="5.1" customHeight="1" s="434"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</row>
    <row r="4" ht="16.5" customHeight="1" s="434">
      <c r="B4" s="2" t="n"/>
      <c r="C4" s="2" t="n"/>
      <c r="D4" s="2" t="n"/>
      <c r="E4" s="55" t="n"/>
      <c r="F4" s="56" t="n"/>
      <c r="G4" s="56" t="n"/>
      <c r="H4" s="56" t="n"/>
      <c r="I4" s="56" t="n"/>
      <c r="J4" s="341" t="inlineStr">
        <is>
          <t>DoA</t>
        </is>
      </c>
      <c r="K4" s="83" t="n">
        <v>7</v>
      </c>
    </row>
    <row r="5">
      <c r="B5" s="341" t="inlineStr">
        <is>
          <t>No</t>
        </is>
      </c>
      <c r="C5" s="341" t="inlineStr">
        <is>
          <t>자산정보</t>
        </is>
      </c>
      <c r="D5" s="442" t="n"/>
      <c r="E5" s="442" t="n"/>
      <c r="F5" s="435" t="n"/>
      <c r="G5" s="455" t="inlineStr">
        <is>
          <t>자산 평가</t>
        </is>
      </c>
      <c r="H5" s="442" t="n"/>
      <c r="I5" s="442" t="n"/>
      <c r="J5" s="435" t="n"/>
      <c r="K5" s="341" t="inlineStr">
        <is>
          <t>비고</t>
        </is>
      </c>
    </row>
    <row r="6">
      <c r="B6" s="444" t="n"/>
      <c r="C6" s="341" t="inlineStr">
        <is>
          <t>HostName</t>
        </is>
      </c>
      <c r="D6" s="341" t="inlineStr">
        <is>
          <t>O/S</t>
        </is>
      </c>
      <c r="E6" s="341" t="inlineStr">
        <is>
          <t xml:space="preserve"> IP</t>
        </is>
      </c>
      <c r="F6" s="341" t="inlineStr">
        <is>
          <t>용도</t>
        </is>
      </c>
      <c r="G6" s="341" t="inlineStr">
        <is>
          <t xml:space="preserve"> C</t>
        </is>
      </c>
      <c r="H6" s="341" t="inlineStr">
        <is>
          <t>I</t>
        </is>
      </c>
      <c r="I6" s="341" t="inlineStr">
        <is>
          <t>A</t>
        </is>
      </c>
      <c r="J6" s="341" t="inlineStr">
        <is>
          <t>등급</t>
        </is>
      </c>
      <c r="K6" s="444" t="n"/>
    </row>
    <row r="7" ht="16.5" customHeight="1" s="434">
      <c r="B7" s="175" t="n">
        <v>1</v>
      </c>
      <c r="C7" s="229" t="inlineStr">
        <is>
          <t>sample</t>
        </is>
      </c>
      <c r="D7" s="177" t="inlineStr">
        <is>
          <t>방화벽</t>
        </is>
      </c>
      <c r="E7" s="177" t="inlineStr">
        <is>
          <t>127.0.0.1</t>
        </is>
      </c>
      <c r="F7" s="176" t="inlineStr">
        <is>
          <t>보안장비</t>
        </is>
      </c>
      <c r="G7" s="176" t="n">
        <v>3</v>
      </c>
      <c r="H7" s="176" t="n">
        <v>3</v>
      </c>
      <c r="I7" s="176" t="n">
        <v>3</v>
      </c>
      <c r="J7" s="102">
        <f>IF(AND(SUM(G7:I7)&gt;=8, SUM(G7:I7)&lt;=9), "1등급", IF(AND(SUM(G7:I7)&gt;=6, SUM(G7:I7)&lt;=7), "2등급", IF(AND(SUM(G7:I7)&gt;=3, SUM(G7:I7)&lt;=5), "3등급", "")))</f>
        <v/>
      </c>
      <c r="K7" s="178" t="n"/>
    </row>
  </sheetData>
  <mergeCells count="5">
    <mergeCell ref="B5:B6"/>
    <mergeCell ref="B2:K2"/>
    <mergeCell ref="C5:F5"/>
    <mergeCell ref="G5:J5"/>
    <mergeCell ref="K5:K6"/>
  </mergeCells>
  <conditionalFormatting sqref="C7">
    <cfRule type="duplicateValues" priority="227" dxfId="12"/>
    <cfRule type="duplicateValues" priority="228" dxfId="12"/>
  </conditionalFormatting>
  <dataValidations disablePrompts="1" count="1">
    <dataValidation sqref="K4" showDropDown="0" showInputMessage="1" showErrorMessage="1" allowBlank="0" type="list">
      <formula1>"-,1,2,3,4,5,6,7,8,9"</formula1>
    </dataValidation>
  </dataValidations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88" horizontalDpi="300" verticalDpi="300"/>
</worksheet>
</file>

<file path=xl/worksheets/sheet7.xml><?xml version="1.0" encoding="utf-8"?>
<worksheet xmlns="http://schemas.openxmlformats.org/spreadsheetml/2006/main">
  <sheetPr codeName="Sheet6">
    <outlinePr summaryBelow="1" summaryRight="1"/>
    <pageSetUpPr fitToPage="1"/>
  </sheetPr>
  <dimension ref="B1:K44"/>
  <sheetViews>
    <sheetView view="pageBreakPreview" zoomScale="70" zoomScaleNormal="85" zoomScaleSheetLayoutView="70" workbookViewId="0">
      <selection activeCell="A32" sqref="A32:XFD33"/>
    </sheetView>
  </sheetViews>
  <sheetFormatPr baseColWidth="8" defaultColWidth="8.6640625" defaultRowHeight="0" customHeight="1" zeroHeight="1"/>
  <cols>
    <col width="2.5546875" customWidth="1" style="37" min="1" max="1"/>
    <col width="7.5546875" customWidth="1" style="37" min="2" max="2"/>
    <col width="10.5546875" customWidth="1" style="37" min="3" max="9"/>
    <col width="8.88671875" customWidth="1" style="37" min="10" max="10"/>
    <col width="8.6640625" customWidth="1" style="37" min="11" max="11"/>
    <col width="3.44140625" customWidth="1" style="37" min="12" max="12"/>
    <col width="8.6640625" customWidth="1" style="37" min="13" max="16384"/>
  </cols>
  <sheetData>
    <row r="1" ht="13.5" customHeight="1" s="434">
      <c r="B1" s="349" t="n"/>
      <c r="J1" s="18" t="n"/>
    </row>
    <row r="2" ht="17.25" customHeight="1" s="434">
      <c r="B2" s="350" t="inlineStr">
        <is>
          <t>◎ 점검 영역별 보안수준</t>
        </is>
      </c>
      <c r="J2" s="18" t="n"/>
    </row>
    <row r="3" ht="4.5" customHeight="1" s="434">
      <c r="B3" s="349" t="n"/>
      <c r="J3" s="18" t="n"/>
    </row>
    <row r="4" ht="13.5" customHeight="1" s="434">
      <c r="B4" s="352" t="inlineStr">
        <is>
          <t>구분</t>
        </is>
      </c>
      <c r="C4" s="438" t="n"/>
      <c r="D4" s="352" t="inlineStr">
        <is>
          <t>점검 결과</t>
        </is>
      </c>
      <c r="E4" s="442" t="n"/>
      <c r="F4" s="435" t="n"/>
      <c r="G4" s="352" t="inlineStr">
        <is>
          <t>중요도 점수</t>
        </is>
      </c>
      <c r="H4" s="442" t="n"/>
      <c r="I4" s="435" t="n"/>
      <c r="J4" s="345" t="inlineStr">
        <is>
          <t>전체 보안수준 그래프</t>
        </is>
      </c>
    </row>
    <row r="5" ht="13.5" customHeight="1" s="434">
      <c r="B5" s="439" t="n"/>
      <c r="C5" s="441" t="n"/>
      <c r="D5" s="352" t="inlineStr">
        <is>
          <t>Y</t>
        </is>
      </c>
      <c r="E5" s="352" t="inlineStr">
        <is>
          <t>N</t>
        </is>
      </c>
      <c r="F5" s="352" t="inlineStr">
        <is>
          <t>N/A</t>
        </is>
      </c>
      <c r="G5" s="352" t="inlineStr">
        <is>
          <t>전체점수</t>
        </is>
      </c>
      <c r="H5" s="352" t="inlineStr">
        <is>
          <t>평가점수</t>
        </is>
      </c>
      <c r="I5" s="352" t="inlineStr">
        <is>
          <t>보안수준</t>
        </is>
      </c>
      <c r="J5" s="18" t="n"/>
    </row>
    <row r="6" ht="13.5" customHeight="1" s="434">
      <c r="B6" s="346">
        <f>'요약 통계'!B6</f>
        <v/>
      </c>
      <c r="C6" s="435" t="n"/>
      <c r="D6" s="38">
        <f>SUM('요약 통계'!G6:G10)</f>
        <v/>
      </c>
      <c r="E6" s="38">
        <f>SUM('요약 통계'!H6:H10)</f>
        <v/>
      </c>
      <c r="F6" s="38">
        <f>SUM('요약 통계'!K6:K10)</f>
        <v/>
      </c>
      <c r="G6" s="38">
        <f>SUM('요약 통계'!I6:J10)</f>
        <v/>
      </c>
      <c r="H6" s="456">
        <f>SUM('요약 통계'!J6:J10)</f>
        <v/>
      </c>
      <c r="I6" s="62">
        <f>IF(G6=0,"N/A",((G6-H6)/G6)*1)</f>
        <v/>
      </c>
      <c r="J6" s="18" t="n"/>
    </row>
    <row r="7" ht="13.5" customHeight="1" s="434">
      <c r="B7" s="346">
        <f>'요약 통계'!B11</f>
        <v/>
      </c>
      <c r="C7" s="435" t="n"/>
      <c r="D7" s="38">
        <f>SUM('요약 통계'!G11:G13)</f>
        <v/>
      </c>
      <c r="E7" s="38">
        <f>SUM('요약 통계'!H11:H13)</f>
        <v/>
      </c>
      <c r="F7" s="38">
        <f>SUM('요약 통계'!K11:K13)</f>
        <v/>
      </c>
      <c r="G7" s="38">
        <f>SUM('요약 통계'!I11:J13)</f>
        <v/>
      </c>
      <c r="H7" s="456">
        <f>SUM('요약 통계'!J11:J13)</f>
        <v/>
      </c>
      <c r="I7" s="62">
        <f>IF(G7=0,"N/A",((G7-H7)/G7)*1)</f>
        <v/>
      </c>
      <c r="J7" s="18" t="n"/>
    </row>
    <row r="8" ht="13.5" customHeight="1" s="434">
      <c r="B8" s="346">
        <f>'요약 통계'!B14</f>
        <v/>
      </c>
      <c r="C8" s="435" t="n"/>
      <c r="D8" s="38">
        <f>SUM('요약 통계'!G14:G14)</f>
        <v/>
      </c>
      <c r="E8" s="38">
        <f>SUM('요약 통계'!H14:H14)</f>
        <v/>
      </c>
      <c r="F8" s="38">
        <f>SUM('요약 통계'!K14:K14)</f>
        <v/>
      </c>
      <c r="G8" s="38">
        <f>SUM('요약 통계'!I14:J14)</f>
        <v/>
      </c>
      <c r="H8" s="456">
        <f>SUM('요약 통계'!J14:J14)</f>
        <v/>
      </c>
      <c r="I8" s="62">
        <f>IF(G8=0,"N/A",((G8-H8)/G8)*1)</f>
        <v/>
      </c>
      <c r="J8" s="18" t="n"/>
    </row>
    <row r="9" ht="13.5" customHeight="1" s="434">
      <c r="B9" s="346">
        <f>'요약 통계'!B15</f>
        <v/>
      </c>
      <c r="C9" s="435" t="n"/>
      <c r="D9" s="38">
        <f>SUM('요약 통계'!G15:G19)</f>
        <v/>
      </c>
      <c r="E9" s="38">
        <f>SUM('요약 통계'!H15:H19)</f>
        <v/>
      </c>
      <c r="F9" s="38">
        <f>SUM('요약 통계'!K15:K19)</f>
        <v/>
      </c>
      <c r="G9" s="38">
        <f>SUM('요약 통계'!I15:J19)</f>
        <v/>
      </c>
      <c r="H9" s="456">
        <f>SUM('요약 통계'!J15:J19)</f>
        <v/>
      </c>
      <c r="I9" s="62">
        <f>IF(G9=0,"N/A",((G9-H9)/G9)*1)</f>
        <v/>
      </c>
      <c r="J9" s="18" t="n"/>
    </row>
    <row r="10" ht="13.5" customHeight="1" s="434">
      <c r="B10" s="346">
        <f>'요약 통계'!B20</f>
        <v/>
      </c>
      <c r="C10" s="435" t="n"/>
      <c r="D10" s="38">
        <f>SUM('요약 통계'!G20:G28)</f>
        <v/>
      </c>
      <c r="E10" s="38">
        <f>SUM('요약 통계'!H20:H28)</f>
        <v/>
      </c>
      <c r="F10" s="38">
        <f>SUM('요약 통계'!K20:K28)</f>
        <v/>
      </c>
      <c r="G10" s="38">
        <f>SUM('요약 통계'!I20:J28)</f>
        <v/>
      </c>
      <c r="H10" s="456">
        <f>SUM('요약 통계'!J20:J28)</f>
        <v/>
      </c>
      <c r="I10" s="62">
        <f>IF(G10=0,"N/A",((G10-H10)/G10)*1)</f>
        <v/>
      </c>
      <c r="J10" s="18" t="n"/>
    </row>
    <row r="11" ht="13.5" customHeight="1" s="434">
      <c r="B11" s="348" t="inlineStr">
        <is>
          <t>계</t>
        </is>
      </c>
      <c r="C11" s="435" t="n"/>
      <c r="D11" s="348">
        <f>SUM(D6:D10)</f>
        <v/>
      </c>
      <c r="E11" s="348">
        <f>SUM(E6:E10)</f>
        <v/>
      </c>
      <c r="F11" s="348">
        <f>SUM(F6:F10)</f>
        <v/>
      </c>
      <c r="G11" s="348">
        <f>SUM(G6:G10)</f>
        <v/>
      </c>
      <c r="H11" s="457">
        <f>SUM(H6:H10)</f>
        <v/>
      </c>
      <c r="I11" s="62">
        <f>IF(G11=0,"N/A",((G11-H11)/G11)*1)</f>
        <v/>
      </c>
      <c r="J11" s="18" t="n"/>
    </row>
    <row r="12" ht="13.5" customHeight="1" s="434">
      <c r="J12" s="18" t="n"/>
    </row>
    <row r="13" ht="13.5" customHeight="1" s="434">
      <c r="B13" s="347" t="inlineStr">
        <is>
          <t>◎ 점검 영역별 보안수준 그래프</t>
        </is>
      </c>
    </row>
    <row r="14" ht="13.5" customHeight="1" s="434">
      <c r="G14" s="349" t="n"/>
      <c r="H14" s="349" t="n"/>
      <c r="I14" s="349" t="n"/>
    </row>
    <row r="15" ht="13.5" customHeight="1" s="434">
      <c r="B15" s="18" t="n"/>
      <c r="C15" s="18" t="n"/>
      <c r="D15" s="18" t="n"/>
      <c r="E15" s="18" t="n"/>
      <c r="F15" s="18" t="n"/>
      <c r="G15" s="349" t="n"/>
      <c r="H15" s="349" t="n"/>
      <c r="I15" s="349" t="n"/>
    </row>
    <row r="16" ht="13.5" customHeight="1" s="434">
      <c r="B16" s="18" t="n"/>
      <c r="C16" s="18" t="n"/>
      <c r="D16" s="18" t="n"/>
      <c r="E16" s="18" t="n"/>
      <c r="F16" s="18" t="n"/>
      <c r="G16" s="349" t="n"/>
      <c r="H16" s="349" t="n"/>
      <c r="I16" s="349" t="n"/>
    </row>
    <row r="17" ht="13.5" customHeight="1" s="434">
      <c r="G17" s="349" t="n"/>
      <c r="H17" s="349" t="n"/>
      <c r="I17" s="349" t="n"/>
    </row>
    <row r="18" ht="13.5" customHeight="1" s="434">
      <c r="G18" s="349" t="n"/>
      <c r="H18" s="349" t="n"/>
      <c r="I18" s="349" t="n"/>
    </row>
    <row r="19" ht="13.5" customHeight="1" s="434">
      <c r="G19" s="349" t="n"/>
      <c r="H19" s="349" t="n"/>
      <c r="I19" s="349" t="n"/>
    </row>
    <row r="20" ht="13.5" customHeight="1" s="434">
      <c r="G20" s="349" t="n"/>
      <c r="H20" s="349" t="n"/>
      <c r="I20" s="349" t="n"/>
    </row>
    <row r="21" ht="13.5" customHeight="1" s="434">
      <c r="G21" s="349" t="n"/>
      <c r="H21" s="349" t="n"/>
      <c r="I21" s="349" t="n"/>
    </row>
    <row r="22" ht="13.5" customHeight="1" s="434">
      <c r="G22" s="349" t="n"/>
      <c r="H22" s="349" t="n"/>
      <c r="I22" s="349" t="n"/>
    </row>
    <row r="23" ht="13.5" customHeight="1" s="434">
      <c r="G23" s="349" t="n"/>
      <c r="H23" s="349" t="n"/>
      <c r="I23" s="349" t="n"/>
    </row>
    <row r="24" ht="13.5" customHeight="1" s="434">
      <c r="G24" s="349" t="n"/>
      <c r="H24" s="349" t="n"/>
      <c r="I24" s="349" t="n"/>
    </row>
    <row r="25" ht="13.5" customHeight="1" s="434">
      <c r="G25" s="349" t="n"/>
      <c r="H25" s="349" t="n"/>
      <c r="I25" s="349" t="n"/>
    </row>
    <row r="26" ht="13.5" customHeight="1" s="434">
      <c r="G26" s="349" t="n"/>
      <c r="H26" s="349" t="n"/>
      <c r="I26" s="349" t="n"/>
    </row>
    <row r="27" ht="17.25" customHeight="1" s="434">
      <c r="B27" s="350" t="inlineStr">
        <is>
          <t>◎ 장비별 위험도 통계</t>
        </is>
      </c>
    </row>
    <row r="28" ht="4.5" customHeight="1" s="434">
      <c r="B28" s="349" t="n"/>
    </row>
    <row r="29" ht="13.5" customHeight="1" s="434">
      <c r="B29" s="352" t="inlineStr">
        <is>
          <t>Host 명</t>
        </is>
      </c>
      <c r="C29" s="438" t="n"/>
      <c r="D29" s="355" t="inlineStr">
        <is>
          <t>위험도</t>
        </is>
      </c>
    </row>
    <row r="30" ht="13.5" customHeight="1" s="434">
      <c r="B30" s="439" t="n"/>
      <c r="C30" s="441" t="n"/>
      <c r="D30" s="352" t="n">
        <v>3</v>
      </c>
      <c r="E30" s="352" t="n">
        <v>4</v>
      </c>
      <c r="F30" s="352" t="n">
        <v>5</v>
      </c>
      <c r="G30" s="352" t="n">
        <v>6</v>
      </c>
      <c r="H30" s="352" t="n">
        <v>7</v>
      </c>
      <c r="I30" s="352" t="n">
        <v>8</v>
      </c>
      <c r="J30" s="352" t="n">
        <v>9</v>
      </c>
      <c r="K30" s="352" t="inlineStr">
        <is>
          <t>합계</t>
        </is>
      </c>
    </row>
    <row r="31" ht="13.5" customHeight="1" s="434">
      <c r="B31" s="458">
        <f>점검대상!C7</f>
        <v/>
      </c>
      <c r="C31" s="435" t="n"/>
      <c r="D31" s="38">
        <f>HLOOKUP($B31, '요약 통계'!$80:$87, 2, 0)</f>
        <v/>
      </c>
      <c r="E31" s="38">
        <f>HLOOKUP($B31, '요약 통계'!$80:$87, 3, 0)</f>
        <v/>
      </c>
      <c r="F31" s="38">
        <f>HLOOKUP($B31, '요약 통계'!$80:$87, 4, 0)</f>
        <v/>
      </c>
      <c r="G31" s="38">
        <f>HLOOKUP($B31, '요약 통계'!$80:$87, 5, 0)</f>
        <v/>
      </c>
      <c r="H31" s="38">
        <f>HLOOKUP($B31, '요약 통계'!$80:$87, 6, 0)</f>
        <v/>
      </c>
      <c r="I31" s="38">
        <f>HLOOKUP($B31, '요약 통계'!$80:$87, 7, 0)</f>
        <v/>
      </c>
      <c r="J31" s="38">
        <f>HLOOKUP($B31, '요약 통계'!$80:$87, 8, 0)</f>
        <v/>
      </c>
      <c r="K31" s="38">
        <f>SUM(D31:J31)</f>
        <v/>
      </c>
    </row>
    <row r="32" ht="13.5" customHeight="1" s="434">
      <c r="B32" s="348" t="inlineStr">
        <is>
          <t>계</t>
        </is>
      </c>
      <c r="C32" s="435" t="n"/>
      <c r="D32" s="348">
        <f>SUM(D31:D31)</f>
        <v/>
      </c>
      <c r="E32" s="348">
        <f>SUM(E31:E31)</f>
        <v/>
      </c>
      <c r="F32" s="348">
        <f>SUM(F31:F31)</f>
        <v/>
      </c>
      <c r="G32" s="348">
        <f>SUM(G31:G31)</f>
        <v/>
      </c>
      <c r="H32" s="348">
        <f>SUM(H31:H31)</f>
        <v/>
      </c>
      <c r="I32" s="348">
        <f>SUM(I31:I31)</f>
        <v/>
      </c>
      <c r="J32" s="348">
        <f>SUM(J31:J31)</f>
        <v/>
      </c>
      <c r="K32" s="348">
        <f>SUM(K31:K31)</f>
        <v/>
      </c>
    </row>
    <row r="33" ht="13.5" customHeight="1" s="434">
      <c r="B33" s="459" t="inlineStr">
        <is>
          <t>비율</t>
        </is>
      </c>
      <c r="C33" s="435" t="n"/>
      <c r="D33" s="90">
        <f>IFERROR(D32/$K$32,"-")</f>
        <v/>
      </c>
      <c r="E33" s="90">
        <f>IFERROR(E32/$K$32,"-")</f>
        <v/>
      </c>
      <c r="F33" s="90">
        <f>IFERROR(F32/$K$32,"-")</f>
        <v/>
      </c>
      <c r="G33" s="90">
        <f>IFERROR(G32/$K$32,"-")</f>
        <v/>
      </c>
      <c r="H33" s="90">
        <f>IFERROR(H32/$K$32,"-")</f>
        <v/>
      </c>
      <c r="I33" s="90">
        <f>IFERROR(I32/$K$32,"-")</f>
        <v/>
      </c>
      <c r="J33" s="90">
        <f>IFERROR(J32/$K$32,"-")</f>
        <v/>
      </c>
      <c r="K33" s="90">
        <f>IFERROR(SUM(D33:J33),"-")</f>
        <v/>
      </c>
    </row>
    <row r="34" hidden="1" ht="13.5" customHeight="1" s="434">
      <c r="B34" s="459" t="inlineStr">
        <is>
          <t>비율</t>
        </is>
      </c>
      <c r="C34" s="435" t="n"/>
      <c r="D34" s="90">
        <f>IFERROR(D33/#REF!,"-")</f>
        <v/>
      </c>
      <c r="E34" s="90">
        <f>IFERROR(E33/#REF!,"-")</f>
        <v/>
      </c>
      <c r="F34" s="90">
        <f>IFERROR(F33/#REF!,"-")</f>
        <v/>
      </c>
      <c r="G34" s="90">
        <f>IFERROR(G33/#REF!,"-")</f>
        <v/>
      </c>
      <c r="H34" s="90">
        <f>IFERROR(H33/#REF!,"-")</f>
        <v/>
      </c>
      <c r="I34" s="90">
        <f>IFERROR(I33/#REF!,"-")</f>
        <v/>
      </c>
      <c r="J34" s="90">
        <f>IFERROR(J33/#REF!,"-")</f>
        <v/>
      </c>
      <c r="K34" s="90">
        <f>IFERROR(SUM(D34:J34),"-")</f>
        <v/>
      </c>
    </row>
    <row r="35" ht="13.5" customHeight="1" s="434">
      <c r="B35" s="18" t="n"/>
      <c r="C35" s="18" t="n"/>
      <c r="D35" s="18" t="n"/>
      <c r="E35" s="18" t="n"/>
      <c r="F35" s="18" t="n"/>
      <c r="G35" s="349" t="n"/>
      <c r="H35" s="349" t="n"/>
      <c r="I35" s="349" t="n"/>
    </row>
    <row r="36" ht="13.5" customHeight="1" s="434">
      <c r="B36" s="347" t="inlineStr">
        <is>
          <t>◎ 위험도 통계 그래프</t>
        </is>
      </c>
    </row>
    <row r="37" ht="13.5" customHeight="1" s="434">
      <c r="G37" s="349" t="n"/>
      <c r="H37" s="349" t="n"/>
      <c r="I37" s="349" t="n"/>
    </row>
    <row r="38" ht="13.5" customHeight="1" s="434">
      <c r="G38" s="349" t="n"/>
      <c r="H38" s="349" t="n"/>
      <c r="I38" s="349" t="n"/>
    </row>
    <row r="39" ht="13.5" customHeight="1" s="434">
      <c r="G39" s="349" t="n"/>
      <c r="H39" s="349" t="n"/>
      <c r="I39" s="349" t="n"/>
    </row>
    <row r="40" ht="13.5" customHeight="1" s="434">
      <c r="G40" s="349" t="n"/>
      <c r="H40" s="349" t="n"/>
      <c r="I40" s="349" t="n"/>
    </row>
    <row r="41" ht="13.5" customHeight="1" s="434">
      <c r="G41" s="349" t="n"/>
      <c r="H41" s="349" t="n"/>
      <c r="I41" s="349" t="n"/>
    </row>
    <row r="42" ht="13.5" customHeight="1" s="434">
      <c r="G42" s="349" t="n"/>
      <c r="H42" s="349" t="n"/>
      <c r="I42" s="349" t="n"/>
    </row>
    <row r="43" ht="13.5" customHeight="1" s="434">
      <c r="G43" s="349" t="n"/>
      <c r="H43" s="349" t="n"/>
      <c r="I43" s="349" t="n"/>
    </row>
    <row r="44" ht="13.5" customHeight="1" s="434">
      <c r="G44" s="349" t="n"/>
      <c r="H44" s="349" t="n"/>
      <c r="I44" s="349" t="n"/>
    </row>
    <row r="45" ht="13.5" customHeight="1" s="434"/>
    <row r="46" ht="13.5" customHeight="1" s="434"/>
    <row r="47" ht="13.5" customHeight="1" s="434"/>
    <row r="48" ht="13.5" customHeight="1" s="434"/>
    <row r="49" ht="13.5" customHeight="1" s="434"/>
    <row r="50" ht="13.5" customHeight="1" s="434"/>
    <row r="51" ht="13.5" customHeight="1" s="434"/>
    <row r="52" ht="13.5" customHeight="1" s="434"/>
    <row r="53" ht="13.5" customHeight="1" s="434"/>
    <row r="54" ht="13.5" customHeight="1" s="434"/>
    <row r="55" ht="13.5" customHeight="1" s="434"/>
    <row r="56" ht="13.5" customHeight="1" s="434"/>
    <row r="57" ht="13.5" customHeight="1" s="434"/>
    <row r="58" ht="13.5" customHeight="1" s="434"/>
    <row r="59" ht="13.5" customHeight="1" s="434"/>
    <row r="60" ht="13.5" customHeight="1" s="434"/>
    <row r="61" ht="13.5" customHeight="1" s="434"/>
    <row r="62" ht="13.5" customHeight="1" s="434"/>
    <row r="63" ht="13.5" customHeight="1" s="434"/>
    <row r="64" ht="13.5" customHeight="1" s="434"/>
    <row r="65" ht="13.5" customHeight="1" s="434"/>
    <row r="66" ht="13.5" customHeight="1" s="434"/>
    <row r="67" ht="13.5" customHeight="1" s="434"/>
    <row r="68" ht="13.5" customHeight="1" s="434"/>
    <row r="69" ht="13.5" customHeight="1" s="434"/>
    <row r="70" ht="13.5" customHeight="1" s="434"/>
    <row r="71" ht="13.5" customHeight="1" s="434"/>
    <row r="72" ht="13.5" customHeight="1" s="434"/>
    <row r="73" ht="13.5" customHeight="1" s="434"/>
    <row r="74" ht="13.5" customHeight="1" s="434"/>
    <row r="75" ht="13.5" customHeight="1" s="434"/>
    <row r="76" ht="13.5" customHeight="1" s="434"/>
    <row r="77" ht="13.5" customHeight="1" s="434"/>
    <row r="78" ht="13.5" customHeight="1" s="434"/>
    <row r="79" ht="13.5" customHeight="1" s="434"/>
    <row r="80" ht="13.5" customHeight="1" s="434"/>
    <row r="81" ht="13.5" customHeight="1" s="434"/>
    <row r="82" ht="13.5" customHeight="1" s="434"/>
    <row r="83" ht="13.5" customHeight="1" s="434"/>
    <row r="84" ht="13.5" customHeight="1" s="434"/>
    <row r="85" ht="13.5" customHeight="1" s="434"/>
    <row r="86" ht="13.5" customHeight="1" s="434"/>
    <row r="87" ht="13.5" customHeight="1" s="434"/>
    <row r="88" ht="13.5" customHeight="1" s="434"/>
    <row r="89" ht="13.5" customHeight="1" s="434"/>
    <row r="90" ht="13.5" customHeight="1" s="434"/>
    <row r="91" ht="13.5" customHeight="1" s="434"/>
    <row r="92" ht="13.5" customHeight="1" s="434"/>
    <row r="93" ht="13.5" customHeight="1" s="434"/>
    <row r="94" ht="13.5" customHeight="1" s="434"/>
    <row r="95" ht="13.5" customHeight="1" s="434"/>
    <row r="96" ht="13.5" customHeight="1" s="434"/>
    <row r="97" ht="13.5" customHeight="1" s="434"/>
    <row r="98" ht="13.5" customHeight="1" s="434"/>
    <row r="99" ht="13.5" customHeight="1" s="434"/>
    <row r="100" ht="13.5" customHeight="1" s="434"/>
    <row r="101" ht="13.5" customHeight="1" s="434"/>
    <row r="102" ht="13.5" customHeight="1" s="434"/>
    <row r="103" ht="13.5" customHeight="1" s="434"/>
    <row r="104" ht="13.5" customHeight="1" s="434"/>
    <row r="105" ht="13.5" customHeight="1" s="434"/>
    <row r="106" ht="13.5" customHeight="1" s="434"/>
    <row r="107" ht="13.5" customHeight="1" s="434"/>
    <row r="108" ht="13.5" customHeight="1" s="434"/>
    <row r="109" ht="13.5" customHeight="1" s="434"/>
    <row r="110" ht="13.5" customHeight="1" s="434"/>
    <row r="111" ht="13.5" customHeight="1" s="434"/>
    <row r="112" ht="13.5" customHeight="1" s="434"/>
    <row r="113" ht="13.5" customHeight="1" s="434"/>
    <row r="114" ht="13.5" customHeight="1" s="434"/>
    <row r="115" ht="13.5" customHeight="1" s="434"/>
    <row r="116" ht="13.5" customHeight="1" s="434"/>
    <row r="117" ht="13.5" customHeight="1" s="434"/>
    <row r="118" ht="13.5" customHeight="1" s="434"/>
    <row r="119" ht="13.5" customHeight="1" s="434"/>
    <row r="120" ht="13.5" customHeight="1" s="434"/>
    <row r="121" ht="13.5" customHeight="1" s="434"/>
    <row r="122" ht="13.5" customHeight="1" s="434"/>
    <row r="123" ht="13.5" customHeight="1" s="434"/>
    <row r="124" ht="13.5" customHeight="1" s="434"/>
    <row r="125" ht="13.5" customHeight="1" s="434"/>
    <row r="126" ht="13.5" customHeight="1" s="434"/>
    <row r="127" ht="13.5" customHeight="1" s="434"/>
    <row r="128" ht="13.5" customHeight="1" s="434"/>
    <row r="129" ht="13.5" customHeight="1" s="434"/>
    <row r="130" ht="13.5" customHeight="1" s="434"/>
    <row r="131" ht="13.5" customHeight="1" s="434"/>
    <row r="132" ht="13.5" customHeight="1" s="434"/>
    <row r="133" ht="13.5" customHeight="1" s="434"/>
    <row r="134" ht="13.5" customHeight="1" s="434"/>
    <row r="135" ht="13.5" customHeight="1" s="434"/>
    <row r="136" ht="13.5" customHeight="1" s="434"/>
    <row r="137" ht="13.5" customHeight="1" s="434"/>
    <row r="138" ht="13.5" customHeight="1" s="434"/>
    <row r="139" ht="13.5" customHeight="1" s="434"/>
    <row r="140" ht="13.5" customHeight="1" s="434"/>
    <row r="141" ht="13.5" customHeight="1" s="434"/>
    <row r="142" ht="13.5" customHeight="1" s="434"/>
    <row r="143" ht="13.5" customHeight="1" s="434"/>
    <row r="144" ht="13.5" customHeight="1" s="434"/>
    <row r="145" ht="13.5" customHeight="1" s="434"/>
    <row r="146" ht="13.5" customHeight="1" s="434"/>
    <row r="147" ht="13.5" customHeight="1" s="434"/>
    <row r="148" ht="13.5" customHeight="1" s="434"/>
    <row r="149" ht="13.5" customHeight="1" s="434"/>
    <row r="150" ht="13.5" customHeight="1" s="434"/>
    <row r="151" ht="13.5" customHeight="1" s="434"/>
    <row r="152" ht="13.5" customHeight="1" s="434"/>
    <row r="153" ht="13.5" customHeight="1" s="434"/>
    <row r="154" ht="13.5" customHeight="1" s="434"/>
    <row r="155" ht="13.5" customHeight="1" s="434"/>
    <row r="156" ht="13.5" customHeight="1" s="434"/>
    <row r="157" ht="13.5" customHeight="1" s="434"/>
    <row r="158" ht="13.5" customHeight="1" s="434"/>
    <row r="159" ht="13.5" customHeight="1" s="434"/>
    <row r="160" ht="13.5" customHeight="1" s="434"/>
    <row r="161" ht="13.5" customHeight="1" s="434"/>
    <row r="162" ht="13.5" customHeight="1" s="434"/>
    <row r="163" ht="13.5" customHeight="1" s="434"/>
    <row r="164" ht="13.5" customHeight="1" s="434"/>
    <row r="165" ht="13.5" customHeight="1" s="434"/>
    <row r="166" ht="13.5" customHeight="1" s="434"/>
    <row r="167" ht="13.5" customHeight="1" s="434"/>
    <row r="168" ht="13.5" customHeight="1" s="434"/>
    <row r="169" ht="13.5" customHeight="1" s="434"/>
    <row r="170" ht="13.5" customHeight="1" s="434"/>
    <row r="171" ht="13.5" customHeight="1" s="434"/>
    <row r="172" ht="13.5" customHeight="1" s="434"/>
    <row r="173" ht="13.5" customHeight="1" s="434"/>
    <row r="174" ht="13.5" customHeight="1" s="434"/>
    <row r="175" ht="13.5" customHeight="1" s="434"/>
    <row r="176" ht="13.5" customHeight="1" s="434"/>
    <row r="177" ht="13.5" customHeight="1" s="434"/>
    <row r="178" ht="13.5" customHeight="1" s="434"/>
    <row r="179" ht="13.5" customHeight="1" s="434"/>
    <row r="180" ht="13.5" customHeight="1" s="434"/>
    <row r="181" ht="13.5" customHeight="1" s="434"/>
    <row r="182" ht="13.5" customHeight="1" s="434"/>
    <row r="183" ht="13.5" customHeight="1" s="434"/>
    <row r="184" ht="13.5" customHeight="1" s="434"/>
    <row r="185" ht="13.5" customHeight="1" s="434"/>
    <row r="186" ht="13.5" customHeight="1" s="434"/>
    <row r="187" ht="13.5" customHeight="1" s="434"/>
    <row r="188" ht="13.5" customHeight="1" s="434"/>
    <row r="189" ht="13.5" customHeight="1" s="434"/>
    <row r="190" ht="13.5" customHeight="1" s="434"/>
    <row r="191" ht="13.5" customHeight="1" s="434"/>
    <row r="192" ht="13.5" customHeight="1" s="434"/>
    <row r="193" ht="13.5" customHeight="1" s="434"/>
    <row r="194" ht="13.5" customHeight="1" s="434"/>
    <row r="195" ht="13.5" customHeight="1" s="434"/>
    <row r="196" ht="13.5" customHeight="1" s="434"/>
    <row r="197" ht="13.5" customHeight="1" s="434"/>
    <row r="198" ht="13.5" customHeight="1" s="434"/>
    <row r="199" ht="13.5" customHeight="1" s="434"/>
    <row r="200" ht="13.5" customHeight="1" s="434"/>
    <row r="201" ht="13.5" customHeight="1" s="434"/>
    <row r="202" ht="13.5" customHeight="1" s="434"/>
    <row r="203" ht="13.5" customHeight="1" s="434"/>
    <row r="204" ht="13.5" customHeight="1" s="434"/>
    <row r="205" ht="13.5" customHeight="1" s="434"/>
    <row r="206" ht="13.5" customHeight="1" s="434"/>
    <row r="207" ht="13.5" customHeight="1" s="434"/>
    <row r="208" ht="13.5" customHeight="1" s="434"/>
    <row r="209" ht="13.5" customHeight="1" s="434"/>
    <row r="210" ht="13.5" customHeight="1" s="434"/>
    <row r="211" ht="13.5" customHeight="1" s="434"/>
    <row r="212" ht="13.5" customHeight="1" s="434"/>
    <row r="213" ht="13.5" customHeight="1" s="434"/>
    <row r="214" ht="13.5" customHeight="1" s="434"/>
    <row r="215" ht="13.5" customHeight="1" s="434"/>
    <row r="216" ht="13.5" customHeight="1" s="434"/>
    <row r="217" ht="13.5" customHeight="1" s="434"/>
    <row r="218" ht="13.5" customHeight="1" s="434"/>
    <row r="219" ht="13.5" customHeight="1" s="434"/>
    <row r="220" ht="13.5" customHeight="1" s="434"/>
    <row r="221" ht="13.5" customHeight="1" s="434"/>
    <row r="222" ht="13.5" customHeight="1" s="434"/>
    <row r="223" ht="13.5" customHeight="1" s="434"/>
    <row r="224" ht="13.5" customHeight="1" s="434"/>
    <row r="225" ht="13.5" customHeight="1" s="434"/>
    <row r="226" ht="13.5" customHeight="1" s="434"/>
    <row r="227" ht="13.5" customHeight="1" s="434"/>
    <row r="228" ht="13.5" customHeight="1" s="434"/>
    <row r="229" ht="13.5" customHeight="1" s="434"/>
    <row r="230" ht="13.5" customHeight="1" s="434"/>
    <row r="231" ht="13.5" customHeight="1" s="434"/>
    <row r="232" ht="13.5" customHeight="1" s="434"/>
    <row r="233" ht="13.5" customHeight="1" s="434"/>
    <row r="234" ht="13.5" customHeight="1" s="434"/>
    <row r="235" ht="13.5" customHeight="1" s="434"/>
    <row r="236" ht="13.5" customHeight="1" s="434"/>
    <row r="237" ht="13.5" customHeight="1" s="434"/>
    <row r="238" ht="13.5" customHeight="1" s="434"/>
    <row r="239" ht="13.5" customHeight="1" s="434"/>
    <row r="240" ht="13.5" customHeight="1" s="434"/>
    <row r="241" ht="13.5" customHeight="1" s="434"/>
    <row r="242" ht="13.5" customHeight="1" s="434"/>
    <row r="243" ht="13.5" customHeight="1" s="434"/>
    <row r="244" ht="13.5" customHeight="1" s="434"/>
    <row r="245" ht="13.5" customHeight="1" s="434"/>
    <row r="246" ht="13.5" customHeight="1" s="434"/>
    <row r="247" ht="13.5" customHeight="1" s="434"/>
    <row r="248" ht="13.5" customHeight="1" s="434"/>
    <row r="249" ht="13.5" customHeight="1" s="434"/>
    <row r="250" ht="13.5" customHeight="1" s="434"/>
    <row r="251" ht="13.5" customHeight="1" s="434"/>
    <row r="252" ht="13.5" customHeight="1" s="434"/>
    <row r="253" ht="13.5" customHeight="1" s="434"/>
    <row r="254" ht="13.5" customHeight="1" s="434"/>
    <row r="255" ht="13.5" customHeight="1" s="434"/>
    <row r="256" ht="13.5" customHeight="1" s="434"/>
    <row r="257" ht="13.5" customHeight="1" s="434"/>
    <row r="258" ht="13.5" customHeight="1" s="434"/>
    <row r="259" ht="13.5" customHeight="1" s="434"/>
    <row r="260" ht="13.5" customHeight="1" s="434"/>
    <row r="261" ht="13.5" customHeight="1" s="434"/>
    <row r="262" ht="13.5" customHeight="1" s="434"/>
    <row r="263" ht="13.5" customHeight="1" s="434"/>
    <row r="264" ht="13.5" customHeight="1" s="434"/>
    <row r="265" ht="13.5" customHeight="1" s="434"/>
    <row r="266" ht="13.5" customHeight="1" s="434"/>
    <row r="267" ht="13.5" customHeight="1" s="434"/>
    <row r="268" ht="13.5" customHeight="1" s="434"/>
    <row r="269" ht="13.5" customHeight="1" s="434"/>
    <row r="270" ht="13.5" customHeight="1" s="434"/>
    <row r="271" ht="13.5" customHeight="1" s="434"/>
    <row r="272" ht="13.5" customHeight="1" s="434"/>
    <row r="273" ht="13.5" customHeight="1" s="434"/>
    <row r="274" ht="13.5" customHeight="1" s="434"/>
    <row r="275" ht="13.5" customHeight="1" s="434"/>
    <row r="276" ht="13.5" customHeight="1" s="434"/>
    <row r="277" ht="13.5" customHeight="1" s="434"/>
    <row r="278" ht="13.5" customHeight="1" s="434"/>
    <row r="279" ht="13.5" customHeight="1" s="434"/>
    <row r="280" ht="13.5" customHeight="1" s="434"/>
    <row r="281" ht="13.5" customHeight="1" s="434"/>
    <row r="282" ht="13.5" customHeight="1" s="434"/>
    <row r="283" ht="13.5" customHeight="1" s="434"/>
    <row r="284" ht="13.5" customHeight="1" s="434"/>
    <row r="285" ht="13.5" customHeight="1" s="434"/>
    <row r="286" ht="13.5" customHeight="1" s="434"/>
    <row r="287" ht="13.5" customHeight="1" s="434"/>
    <row r="288" ht="13.5" customHeight="1" s="434"/>
    <row r="289" ht="13.5" customHeight="1" s="434"/>
    <row r="290" ht="13.5" customHeight="1" s="434"/>
    <row r="291" ht="13.5" customHeight="1" s="434"/>
    <row r="292" ht="13.5" customHeight="1" s="434"/>
    <row r="293" ht="13.5" customHeight="1" s="434"/>
    <row r="294" ht="13.5" customHeight="1" s="434"/>
    <row r="295" ht="13.5" customHeight="1" s="434"/>
    <row r="296" ht="13.5" customHeight="1" s="434"/>
    <row r="297" ht="13.5" customHeight="1" s="434"/>
    <row r="298" ht="13.5" customHeight="1" s="434"/>
    <row r="299" ht="13.5" customHeight="1" s="434"/>
    <row r="300" ht="13.5" customHeight="1" s="434"/>
    <row r="301" ht="13.5" customHeight="1" s="434"/>
    <row r="302" ht="13.5" customHeight="1" s="434"/>
    <row r="303" ht="13.5" customHeight="1" s="434"/>
    <row r="304" ht="13.5" customHeight="1" s="434"/>
    <row r="305" ht="13.5" customHeight="1" s="434"/>
    <row r="306" ht="13.5" customHeight="1" s="434"/>
    <row r="307" ht="13.5" customHeight="1" s="434"/>
    <row r="308" ht="13.5" customHeight="1" s="434"/>
    <row r="309" ht="13.5" customHeight="1" s="434"/>
    <row r="310" ht="13.5" customHeight="1" s="434"/>
    <row r="311" ht="13.5" customHeight="1" s="434"/>
    <row r="312" ht="13.5" customHeight="1" s="434"/>
    <row r="313" ht="13.5" customHeight="1" s="434"/>
    <row r="314" ht="13.5" customHeight="1" s="434"/>
    <row r="315" ht="13.5" customHeight="1" s="434"/>
    <row r="316" ht="13.5" customHeight="1" s="434"/>
    <row r="317" ht="13.5" customHeight="1" s="434"/>
    <row r="318" ht="13.5" customHeight="1" s="434"/>
    <row r="319" ht="13.5" customHeight="1" s="434"/>
    <row r="320" ht="13.5" customHeight="1" s="434"/>
    <row r="321" ht="13.5" customHeight="1" s="434"/>
    <row r="322" ht="13.5" customHeight="1" s="434"/>
    <row r="323" ht="13.5" customHeight="1" s="434"/>
    <row r="324" ht="13.5" customHeight="1" s="434"/>
    <row r="325" ht="13.5" customHeight="1" s="434"/>
    <row r="326" ht="13.5" customHeight="1" s="434"/>
    <row r="327" ht="13.5" customHeight="1" s="434"/>
    <row r="328" ht="13.5" customHeight="1" s="434"/>
    <row r="329" ht="13.5" customHeight="1" s="434"/>
    <row r="330" ht="13.5" customHeight="1" s="434"/>
    <row r="331" ht="13.5" customHeight="1" s="434"/>
    <row r="332" ht="13.5" customHeight="1" s="434"/>
    <row r="333" ht="13.5" customHeight="1" s="434"/>
    <row r="334" ht="13.5" customHeight="1" s="434"/>
    <row r="335" ht="13.5" customHeight="1" s="434"/>
    <row r="336" ht="13.5" customHeight="1" s="434"/>
    <row r="337" ht="13.5" customHeight="1" s="434"/>
    <row r="338" ht="13.5" customHeight="1" s="434"/>
    <row r="339" ht="13.5" customHeight="1" s="434"/>
    <row r="340" ht="13.5" customHeight="1" s="434"/>
    <row r="341" ht="13.5" customHeight="1" s="434"/>
    <row r="342" ht="13.5" customHeight="1" s="434"/>
    <row r="343" ht="13.5" customHeight="1" s="434"/>
    <row r="344" ht="13.5" customHeight="1" s="434"/>
    <row r="345" ht="13.5" customHeight="1" s="434"/>
    <row r="346" ht="13.5" customHeight="1" s="434"/>
    <row r="347" ht="13.5" customHeight="1" s="434"/>
    <row r="348" ht="13.5" customHeight="1" s="434"/>
    <row r="349" ht="13.5" customHeight="1" s="434"/>
    <row r="350" ht="13.5" customHeight="1" s="434"/>
    <row r="351" ht="13.5" customHeight="1" s="434"/>
    <row r="352" ht="13.5" customHeight="1" s="434"/>
    <row r="353" ht="13.5" customHeight="1" s="434"/>
    <row r="354" ht="13.5" customHeight="1" s="434"/>
    <row r="355" ht="13.5" customHeight="1" s="434"/>
    <row r="356" ht="13.5" customHeight="1" s="434"/>
    <row r="357" ht="13.5" customHeight="1" s="434"/>
    <row r="358" ht="13.5" customHeight="1" s="434"/>
    <row r="359" ht="13.5" customHeight="1" s="434"/>
    <row r="360" ht="13.5" customHeight="1" s="434"/>
    <row r="361" ht="13.5" customHeight="1" s="434"/>
    <row r="362" ht="13.5" customHeight="1" s="434"/>
    <row r="363" ht="13.5" customHeight="1" s="434"/>
    <row r="364" ht="13.5" customHeight="1" s="434"/>
    <row r="365" ht="13.5" customHeight="1" s="434"/>
    <row r="366" ht="13.5" customHeight="1" s="434"/>
    <row r="367" ht="13.5" customHeight="1" s="434"/>
    <row r="368" ht="13.5" customHeight="1" s="434"/>
    <row r="369" ht="13.5" customHeight="1" s="434"/>
    <row r="370" ht="13.5" customHeight="1" s="434"/>
    <row r="371" ht="13.5" customHeight="1" s="434"/>
    <row r="372" ht="13.5" customHeight="1" s="434"/>
    <row r="373" ht="13.5" customHeight="1" s="434"/>
    <row r="374" ht="13.5" customHeight="1" s="434"/>
    <row r="375" ht="13.5" customHeight="1" s="434"/>
    <row r="376" ht="13.5" customHeight="1" s="434"/>
    <row r="377" ht="13.5" customHeight="1" s="434"/>
    <row r="378" ht="13.5" customHeight="1" s="434"/>
    <row r="379" ht="13.5" customHeight="1" s="434"/>
    <row r="380" ht="13.5" customHeight="1" s="434"/>
    <row r="381" ht="13.5" customHeight="1" s="434"/>
    <row r="382" ht="13.5" customHeight="1" s="434"/>
    <row r="383" ht="13.5" customHeight="1" s="434"/>
    <row r="384" ht="13.5" customHeight="1" s="434"/>
    <row r="385" ht="13.5" customHeight="1" s="434"/>
    <row r="386" ht="13.5" customHeight="1" s="434"/>
    <row r="387" ht="13.5" customHeight="1" s="434"/>
    <row r="388" ht="13.5" customHeight="1" s="434"/>
    <row r="389" ht="13.5" customHeight="1" s="434"/>
    <row r="390" ht="13.5" customHeight="1" s="434"/>
    <row r="391" ht="13.5" customHeight="1" s="434"/>
    <row r="392" ht="13.5" customHeight="1" s="434"/>
    <row r="393" ht="13.5" customHeight="1" s="434"/>
    <row r="394" ht="13.5" customHeight="1" s="434"/>
    <row r="395" ht="13.5" customHeight="1" s="434"/>
    <row r="396" ht="13.5" customHeight="1" s="434"/>
    <row r="397" ht="13.5" customHeight="1" s="434"/>
    <row r="398" ht="13.5" customHeight="1" s="434"/>
    <row r="399" ht="13.5" customHeight="1" s="434"/>
    <row r="400" ht="13.5" customHeight="1" s="434"/>
    <row r="401" ht="13.5" customHeight="1" s="434"/>
    <row r="402" ht="13.5" customHeight="1" s="434"/>
    <row r="403" ht="13.5" customHeight="1" s="434"/>
    <row r="404" ht="13.5" customHeight="1" s="434"/>
    <row r="405" ht="13.5" customHeight="1" s="434"/>
    <row r="406" ht="13.5" customHeight="1" s="434"/>
    <row r="407" ht="13.5" customHeight="1" s="434"/>
    <row r="408" ht="13.5" customHeight="1" s="434"/>
    <row r="409" ht="13.5" customHeight="1" s="434"/>
    <row r="410" ht="13.5" customHeight="1" s="434"/>
    <row r="411" ht="13.5" customHeight="1" s="434"/>
    <row r="412" ht="13.5" customHeight="1" s="434"/>
    <row r="413" ht="13.5" customHeight="1" s="434"/>
    <row r="414" ht="13.5" customHeight="1" s="434"/>
    <row r="415" ht="13.5" customHeight="1" s="434"/>
    <row r="416" ht="13.5" customHeight="1" s="434"/>
    <row r="417" ht="13.5" customHeight="1" s="434"/>
    <row r="418" ht="13.5" customHeight="1" s="434"/>
    <row r="419" ht="13.5" customHeight="1" s="434"/>
    <row r="420" ht="13.5" customHeight="1" s="434"/>
    <row r="421" ht="13.5" customHeight="1" s="434"/>
    <row r="422" ht="13.5" customHeight="1" s="434"/>
    <row r="423" ht="13.5" customHeight="1" s="434"/>
    <row r="424" ht="13.5" customHeight="1" s="434"/>
    <row r="425" ht="13.5" customHeight="1" s="434"/>
    <row r="426" ht="13.5" customHeight="1" s="434"/>
    <row r="427" ht="13.5" customHeight="1" s="434"/>
    <row r="428" ht="13.5" customHeight="1" s="434"/>
    <row r="429" ht="13.5" customHeight="1" s="434"/>
    <row r="430" ht="13.5" customHeight="1" s="434"/>
    <row r="431" ht="13.5" customHeight="1" s="434"/>
    <row r="432" ht="13.5" customHeight="1" s="434"/>
    <row r="433" ht="13.5" customHeight="1" s="434"/>
    <row r="434" ht="13.5" customHeight="1" s="434"/>
    <row r="435" ht="13.5" customHeight="1" s="434"/>
    <row r="436" ht="13.5" customHeight="1" s="434"/>
    <row r="437" ht="13.5" customHeight="1" s="434"/>
    <row r="438" ht="13.5" customHeight="1" s="434"/>
    <row r="439" ht="13.5" customHeight="1" s="434"/>
    <row r="440" ht="13.5" customHeight="1" s="434"/>
    <row r="441" ht="13.5" customHeight="1" s="434"/>
    <row r="442" ht="13.5" customHeight="1" s="434"/>
    <row r="443" ht="13.5" customHeight="1" s="434"/>
    <row r="444" ht="13.5" customHeight="1" s="434"/>
    <row r="445" ht="13.5" customHeight="1" s="434"/>
    <row r="446" ht="13.5" customHeight="1" s="434"/>
    <row r="447" ht="13.5" customHeight="1" s="434"/>
    <row r="448" ht="13.5" customHeight="1" s="434"/>
    <row r="449" ht="13.5" customHeight="1" s="434"/>
    <row r="450" ht="13.5" customHeight="1" s="434"/>
    <row r="451" ht="13.5" customHeight="1" s="434"/>
    <row r="452" ht="13.5" customHeight="1" s="434"/>
    <row r="453" ht="13.5" customHeight="1" s="434"/>
    <row r="454" ht="13.5" customHeight="1" s="434"/>
    <row r="455" ht="13.5" customHeight="1" s="434"/>
    <row r="456" ht="13.5" customHeight="1" s="434"/>
    <row r="457" ht="13.5" customHeight="1" s="434"/>
    <row r="458" ht="13.5" customHeight="1" s="434"/>
    <row r="459" ht="13.5" customHeight="1" s="434"/>
    <row r="460" ht="13.5" customHeight="1" s="434"/>
    <row r="461" ht="13.5" customHeight="1" s="434"/>
    <row r="462" ht="13.5" customHeight="1" s="434"/>
    <row r="463" ht="13.5" customHeight="1" s="434"/>
    <row r="464" ht="13.5" customHeight="1" s="434"/>
    <row r="465" ht="13.5" customHeight="1" s="434"/>
    <row r="466" ht="13.5" customHeight="1" s="434"/>
    <row r="467" ht="13.5" customHeight="1" s="434"/>
    <row r="468" ht="13.5" customHeight="1" s="434"/>
    <row r="469" ht="13.5" customHeight="1" s="434"/>
    <row r="470" ht="13.5" customHeight="1" s="434"/>
    <row r="471" ht="13.5" customHeight="1" s="434"/>
    <row r="472" ht="13.5" customHeight="1" s="434"/>
    <row r="473" ht="13.5" customHeight="1" s="434"/>
    <row r="474" ht="13.5" customHeight="1" s="434"/>
    <row r="475" ht="13.5" customHeight="1" s="434"/>
    <row r="476" ht="13.5" customHeight="1" s="434"/>
    <row r="477" ht="13.5" customHeight="1" s="434"/>
    <row r="478" ht="13.5" customHeight="1" s="434"/>
    <row r="479" ht="13.5" customHeight="1" s="434"/>
    <row r="480" ht="13.5" customHeight="1" s="434"/>
    <row r="481" ht="13.5" customHeight="1" s="434"/>
    <row r="482" ht="13.5" customHeight="1" s="434"/>
    <row r="483" ht="13.5" customHeight="1" s="434"/>
    <row r="484" ht="13.5" customHeight="1" s="434"/>
    <row r="485" ht="13.5" customHeight="1" s="434"/>
    <row r="486" ht="13.5" customHeight="1" s="434"/>
    <row r="487" ht="13.5" customHeight="1" s="434"/>
    <row r="488" ht="13.5" customHeight="1" s="434"/>
    <row r="489" ht="13.5" customHeight="1" s="434"/>
    <row r="490" ht="13.5" customHeight="1" s="434"/>
    <row r="491" ht="13.5" customHeight="1" s="434"/>
    <row r="492" ht="13.5" customHeight="1" s="434"/>
    <row r="493" ht="13.5" customHeight="1" s="434"/>
    <row r="494" ht="13.5" customHeight="1" s="434"/>
    <row r="495" ht="13.5" customHeight="1" s="434"/>
    <row r="496" ht="13.5" customHeight="1" s="434"/>
    <row r="497" ht="13.5" customHeight="1" s="434"/>
    <row r="498" ht="13.5" customHeight="1" s="434"/>
    <row r="499" ht="13.5" customHeight="1" s="434"/>
    <row r="500" ht="13.5" customHeight="1" s="434"/>
    <row r="501" ht="13.5" customHeight="1" s="434"/>
    <row r="502" ht="13.5" customHeight="1" s="434"/>
    <row r="503" ht="13.5" customHeight="1" s="434"/>
    <row r="504" ht="13.5" customHeight="1" s="434"/>
    <row r="505" ht="13.5" customHeight="1" s="434"/>
    <row r="506" ht="13.5" customHeight="1" s="434"/>
    <row r="507" ht="13.5" customHeight="1" s="434"/>
    <row r="508" ht="13.5" customHeight="1" s="434"/>
    <row r="509" ht="13.5" customHeight="1" s="434"/>
    <row r="510" ht="13.5" customHeight="1" s="434"/>
    <row r="511" ht="13.5" customHeight="1" s="434"/>
    <row r="512" ht="13.5" customHeight="1" s="434"/>
    <row r="513" ht="13.5" customHeight="1" s="434"/>
    <row r="514" ht="13.5" customHeight="1" s="434"/>
    <row r="515" ht="13.5" customHeight="1" s="434"/>
    <row r="516" ht="13.5" customHeight="1" s="434"/>
    <row r="517" ht="13.5" customHeight="1" s="434"/>
    <row r="518" ht="13.5" customHeight="1" s="434"/>
    <row r="519" ht="13.5" customHeight="1" s="434"/>
    <row r="520" ht="13.5" customHeight="1" s="434"/>
    <row r="521" ht="13.5" customHeight="1" s="434"/>
    <row r="522" ht="13.5" customHeight="1" s="434"/>
    <row r="523" ht="13.5" customHeight="1" s="434"/>
    <row r="524" ht="13.5" customHeight="1" s="434"/>
    <row r="525" ht="13.5" customHeight="1" s="434"/>
    <row r="526" ht="13.5" customHeight="1" s="434"/>
    <row r="527" ht="13.5" customHeight="1" s="434"/>
    <row r="528" ht="13.5" customHeight="1" s="434"/>
    <row r="529" ht="13.5" customHeight="1" s="434"/>
    <row r="530" ht="13.5" customHeight="1" s="434"/>
    <row r="531" ht="13.5" customHeight="1" s="434"/>
    <row r="532" ht="13.5" customHeight="1" s="434"/>
    <row r="533" ht="13.5" customHeight="1" s="434"/>
    <row r="534" ht="13.5" customHeight="1" s="434"/>
    <row r="535" ht="13.5" customHeight="1" s="434"/>
    <row r="536" ht="13.5" customHeight="1" s="434"/>
    <row r="537" ht="13.5" customHeight="1" s="434"/>
    <row r="538" ht="13.5" customHeight="1" s="434"/>
    <row r="539" ht="13.5" customHeight="1" s="434"/>
    <row r="540" ht="13.5" customHeight="1" s="434"/>
    <row r="541" ht="13.5" customHeight="1" s="434"/>
    <row r="542" ht="13.5" customHeight="1" s="434"/>
    <row r="543" ht="13.5" customHeight="1" s="434"/>
    <row r="544" ht="13.5" customHeight="1" s="434"/>
    <row r="545" ht="13.5" customHeight="1" s="434"/>
    <row r="546" ht="13.5" customHeight="1" s="434"/>
    <row r="547" ht="13.5" customHeight="1" s="434"/>
    <row r="548" ht="13.5" customHeight="1" s="434"/>
    <row r="549" ht="13.5" customHeight="1" s="434"/>
    <row r="550" ht="13.5" customHeight="1" s="434"/>
    <row r="551" ht="13.5" customHeight="1" s="434"/>
    <row r="552" ht="13.5" customHeight="1" s="434"/>
    <row r="553" ht="13.5" customHeight="1" s="434"/>
    <row r="554" ht="13.5" customHeight="1" s="434"/>
    <row r="555" ht="13.5" customHeight="1" s="434"/>
    <row r="556" ht="13.5" customHeight="1" s="434"/>
    <row r="557" ht="13.5" customHeight="1" s="434"/>
    <row r="558" ht="13.5" customHeight="1" s="434"/>
    <row r="559" ht="13.5" customHeight="1" s="434"/>
    <row r="560" ht="13.5" customHeight="1" s="434"/>
    <row r="561" ht="13.5" customHeight="1" s="434"/>
    <row r="562" ht="13.5" customHeight="1" s="434"/>
    <row r="563" ht="13.5" customHeight="1" s="434"/>
    <row r="564" ht="13.5" customHeight="1" s="434"/>
    <row r="565" ht="13.5" customHeight="1" s="434"/>
    <row r="566" ht="13.5" customHeight="1" s="434"/>
    <row r="567" ht="13.5" customHeight="1" s="434"/>
    <row r="568" ht="13.5" customHeight="1" s="434"/>
    <row r="569" ht="13.5" customHeight="1" s="434"/>
    <row r="570" ht="13.5" customHeight="1" s="434"/>
    <row r="571" ht="13.5" customHeight="1" s="434"/>
    <row r="572" ht="13.5" customHeight="1" s="434"/>
    <row r="573" ht="13.5" customHeight="1" s="434"/>
    <row r="574" ht="13.5" customHeight="1" s="434"/>
    <row r="575" ht="13.5" customHeight="1" s="434"/>
    <row r="576" ht="13.5" customHeight="1" s="434"/>
    <row r="577" ht="13.5" customHeight="1" s="434"/>
    <row r="578" ht="13.5" customHeight="1" s="434"/>
    <row r="579" ht="13.5" customHeight="1" s="434"/>
    <row r="580" ht="13.5" customHeight="1" s="434"/>
    <row r="581" ht="13.5" customHeight="1" s="434"/>
    <row r="582" ht="13.5" customHeight="1" s="434"/>
    <row r="583" ht="13.5" customHeight="1" s="434"/>
    <row r="584" ht="13.5" customHeight="1" s="434"/>
    <row r="585" ht="13.5" customHeight="1" s="434"/>
    <row r="586" ht="13.5" customHeight="1" s="434"/>
    <row r="587" ht="13.5" customHeight="1" s="434"/>
    <row r="588" ht="13.5" customHeight="1" s="434"/>
    <row r="589" ht="13.5" customHeight="1" s="434"/>
    <row r="590" ht="13.5" customHeight="1" s="434"/>
    <row r="591" ht="13.5" customHeight="1" s="434"/>
    <row r="592" ht="13.5" customHeight="1" s="434"/>
    <row r="593" ht="13.5" customHeight="1" s="434"/>
    <row r="594" ht="13.5" customHeight="1" s="434"/>
    <row r="595" ht="13.5" customHeight="1" s="434"/>
    <row r="596" ht="13.5" customHeight="1" s="434"/>
    <row r="597" ht="13.5" customHeight="1" s="434"/>
    <row r="598" ht="13.5" customHeight="1" s="434"/>
    <row r="599" ht="13.5" customHeight="1" s="434"/>
    <row r="600" ht="13.5" customHeight="1" s="434"/>
    <row r="601" ht="13.5" customHeight="1" s="434"/>
    <row r="602" ht="13.5" customHeight="1" s="434"/>
    <row r="603" ht="13.5" customHeight="1" s="434"/>
    <row r="604" ht="13.5" customHeight="1" s="434"/>
    <row r="605" ht="13.5" customHeight="1" s="434"/>
    <row r="606" ht="13.5" customHeight="1" s="434"/>
    <row r="607" ht="13.5" customHeight="1" s="434"/>
    <row r="608" ht="13.5" customHeight="1" s="434"/>
    <row r="609" ht="13.5" customHeight="1" s="434"/>
    <row r="610" ht="13.5" customHeight="1" s="434"/>
    <row r="611" ht="13.5" customHeight="1" s="434"/>
    <row r="612" ht="13.5" customHeight="1" s="434"/>
    <row r="613" ht="13.5" customHeight="1" s="434"/>
    <row r="614" ht="13.5" customHeight="1" s="434"/>
    <row r="615" ht="13.5" customHeight="1" s="434"/>
    <row r="616" ht="13.5" customHeight="1" s="434"/>
    <row r="617" ht="13.5" customHeight="1" s="434"/>
    <row r="618" ht="13.5" customHeight="1" s="434"/>
    <row r="619" ht="13.5" customHeight="1" s="434"/>
    <row r="620" ht="13.5" customHeight="1" s="434"/>
    <row r="621" ht="13.5" customHeight="1" s="434"/>
    <row r="622" ht="13.5" customHeight="1" s="434"/>
    <row r="623" ht="13.5" customHeight="1" s="434"/>
    <row r="624" ht="13.5" customHeight="1" s="434"/>
    <row r="625" ht="13.5" customHeight="1" s="434"/>
    <row r="626" ht="13.5" customHeight="1" s="434"/>
    <row r="627" ht="13.5" customHeight="1" s="434"/>
    <row r="628" ht="13.5" customHeight="1" s="434"/>
    <row r="629" ht="13.5" customHeight="1" s="434"/>
    <row r="630" ht="13.5" customHeight="1" s="434"/>
    <row r="631" ht="13.5" customHeight="1" s="434"/>
    <row r="632" ht="13.5" customHeight="1" s="434"/>
    <row r="633" ht="13.5" customHeight="1" s="434"/>
    <row r="634" ht="13.5" customHeight="1" s="434"/>
    <row r="635" ht="13.5" customHeight="1" s="434"/>
    <row r="636" ht="13.5" customHeight="1" s="434"/>
    <row r="637" ht="13.5" customHeight="1" s="434"/>
    <row r="638" ht="13.5" customHeight="1" s="434"/>
    <row r="639" ht="13.5" customHeight="1" s="434"/>
    <row r="640" ht="13.5" customHeight="1" s="434"/>
    <row r="641" ht="13.5" customHeight="1" s="434"/>
    <row r="642" ht="13.5" customHeight="1" s="434"/>
    <row r="643" ht="13.5" customHeight="1" s="434"/>
    <row r="644" ht="13.5" customHeight="1" s="434"/>
    <row r="645" ht="13.5" customHeight="1" s="434"/>
    <row r="646" ht="13.5" customHeight="1" s="434"/>
    <row r="647" ht="13.5" customHeight="1" s="434"/>
    <row r="648" ht="13.5" customHeight="1" s="434"/>
    <row r="649" ht="13.5" customHeight="1" s="434"/>
    <row r="650" ht="13.5" customHeight="1" s="434"/>
    <row r="651" ht="13.5" customHeight="1" s="434"/>
    <row r="652" ht="13.5" customHeight="1" s="434"/>
    <row r="653" ht="13.5" customHeight="1" s="434"/>
    <row r="654" ht="13.5" customHeight="1" s="434"/>
    <row r="655" ht="13.5" customHeight="1" s="434"/>
    <row r="656" ht="13.5" customHeight="1" s="434"/>
    <row r="657" ht="13.5" customHeight="1" s="434"/>
    <row r="658" ht="13.5" customHeight="1" s="434"/>
    <row r="659" ht="13.5" customHeight="1" s="434"/>
    <row r="660" ht="13.5" customHeight="1" s="434"/>
    <row r="661" ht="13.5" customHeight="1" s="434"/>
    <row r="662" ht="13.5" customHeight="1" s="434"/>
    <row r="663" ht="13.5" customHeight="1" s="434"/>
    <row r="664" ht="13.5" customHeight="1" s="434"/>
    <row r="665" ht="13.5" customHeight="1" s="434"/>
    <row r="666" ht="13.5" customHeight="1" s="434"/>
    <row r="667" ht="13.5" customHeight="1" s="434"/>
    <row r="668" ht="13.5" customHeight="1" s="434"/>
    <row r="669" ht="13.5" customHeight="1" s="434"/>
    <row r="670" ht="13.5" customHeight="1" s="434"/>
    <row r="671" ht="13.5" customHeight="1" s="434"/>
    <row r="672" ht="13.5" customHeight="1" s="434"/>
    <row r="673" ht="13.5" customHeight="1" s="434"/>
    <row r="674" ht="13.5" customHeight="1" s="434"/>
    <row r="675" ht="13.5" customHeight="1" s="434"/>
    <row r="676" ht="13.5" customHeight="1" s="434"/>
    <row r="677" ht="13.5" customHeight="1" s="434"/>
    <row r="678" ht="13.5" customHeight="1" s="434"/>
    <row r="679" ht="13.5" customHeight="1" s="434"/>
    <row r="680" ht="13.5" customHeight="1" s="434"/>
    <row r="681" ht="13.5" customHeight="1" s="434"/>
    <row r="682" ht="13.5" customHeight="1" s="434"/>
    <row r="683" ht="13.5" customHeight="1" s="434"/>
    <row r="684" ht="13.5" customHeight="1" s="434"/>
    <row r="685" ht="13.5" customHeight="1" s="434"/>
    <row r="686" ht="13.5" customHeight="1" s="434"/>
    <row r="687" ht="13.5" customHeight="1" s="434"/>
    <row r="688" ht="13.5" customHeight="1" s="434"/>
    <row r="689" ht="13.5" customHeight="1" s="434"/>
    <row r="690" ht="13.5" customHeight="1" s="434"/>
    <row r="691" ht="13.5" customHeight="1" s="434"/>
    <row r="692" ht="13.5" customHeight="1" s="434"/>
    <row r="693" ht="13.5" customHeight="1" s="434"/>
    <row r="694" ht="13.5" customHeight="1" s="434"/>
    <row r="695" ht="13.5" customHeight="1" s="434"/>
    <row r="696" ht="13.5" customHeight="1" s="434"/>
    <row r="697" ht="13.5" customHeight="1" s="434"/>
    <row r="698" ht="13.5" customHeight="1" s="434"/>
    <row r="699" ht="13.5" customHeight="1" s="434"/>
    <row r="700" ht="13.5" customHeight="1" s="434"/>
    <row r="701" ht="13.5" customHeight="1" s="434"/>
    <row r="702" ht="13.5" customHeight="1" s="434"/>
    <row r="703" ht="13.5" customHeight="1" s="434"/>
    <row r="704" ht="13.5" customHeight="1" s="434"/>
    <row r="705" ht="13.5" customHeight="1" s="434"/>
    <row r="706" ht="13.5" customHeight="1" s="434"/>
    <row r="707" ht="13.5" customHeight="1" s="434"/>
    <row r="708" ht="13.5" customHeight="1" s="434"/>
    <row r="709" ht="13.5" customHeight="1" s="434"/>
    <row r="710" ht="13.5" customHeight="1" s="434"/>
    <row r="711" ht="13.5" customHeight="1" s="434"/>
    <row r="712" ht="13.5" customHeight="1" s="434"/>
    <row r="713" ht="13.5" customHeight="1" s="434"/>
    <row r="714" ht="13.5" customHeight="1" s="434"/>
    <row r="715" ht="13.5" customHeight="1" s="434"/>
    <row r="716" ht="13.5" customHeight="1" s="434"/>
    <row r="717" ht="13.5" customHeight="1" s="434"/>
    <row r="718" ht="13.5" customHeight="1" s="434"/>
    <row r="719" ht="13.5" customHeight="1" s="434"/>
    <row r="720" ht="13.5" customHeight="1" s="434"/>
    <row r="721" ht="13.5" customHeight="1" s="434"/>
    <row r="722" ht="13.5" customHeight="1" s="434"/>
    <row r="723" ht="13.5" customHeight="1" s="434"/>
    <row r="724" ht="13.5" customHeight="1" s="434"/>
    <row r="725" ht="13.5" customHeight="1" s="434"/>
    <row r="726" ht="13.5" customHeight="1" s="434"/>
    <row r="727" ht="13.5" customHeight="1" s="434"/>
    <row r="728" ht="13.5" customHeight="1" s="434"/>
    <row r="729" ht="13.5" customHeight="1" s="434"/>
    <row r="730" ht="13.5" customHeight="1" s="434"/>
    <row r="731" ht="13.5" customHeight="1" s="434"/>
    <row r="732" ht="13.5" customHeight="1" s="434"/>
    <row r="733" ht="13.5" customHeight="1" s="434"/>
    <row r="734" ht="13.5" customHeight="1" s="434"/>
    <row r="735" ht="13.5" customHeight="1" s="434"/>
    <row r="736" ht="13.5" customHeight="1" s="434"/>
    <row r="737" ht="13.5" customHeight="1" s="434"/>
    <row r="738" ht="13.5" customHeight="1" s="434"/>
    <row r="739" ht="13.5" customHeight="1" s="434"/>
    <row r="740" ht="13.5" customHeight="1" s="434"/>
    <row r="741" ht="13.5" customHeight="1" s="434"/>
    <row r="742" ht="13.5" customHeight="1" s="434"/>
    <row r="743" ht="13.5" customHeight="1" s="434"/>
    <row r="744" ht="13.5" customHeight="1" s="434"/>
    <row r="745" ht="13.5" customHeight="1" s="434"/>
    <row r="746" ht="13.5" customHeight="1" s="434"/>
    <row r="747" ht="13.5" customHeight="1" s="434"/>
    <row r="748" ht="13.5" customHeight="1" s="434"/>
    <row r="749" ht="13.5" customHeight="1" s="434"/>
    <row r="750" ht="13.5" customHeight="1" s="434"/>
    <row r="751" ht="13.5" customHeight="1" s="434"/>
    <row r="752" ht="13.5" customHeight="1" s="434"/>
    <row r="753" ht="13.5" customHeight="1" s="434"/>
    <row r="754" ht="13.5" customHeight="1" s="434"/>
    <row r="755" ht="13.5" customHeight="1" s="434"/>
    <row r="756" ht="13.5" customHeight="1" s="434"/>
    <row r="757" ht="13.5" customHeight="1" s="434"/>
    <row r="758" ht="13.5" customHeight="1" s="434"/>
    <row r="759" ht="13.5" customHeight="1" s="434"/>
    <row r="760" ht="13.5" customHeight="1" s="434"/>
    <row r="761" ht="13.5" customHeight="1" s="434"/>
    <row r="762" ht="13.5" customHeight="1" s="434"/>
    <row r="763" ht="13.5" customHeight="1" s="434"/>
    <row r="764" ht="13.5" customHeight="1" s="434"/>
    <row r="765" ht="13.5" customHeight="1" s="434"/>
    <row r="766" ht="13.5" customHeight="1" s="434"/>
    <row r="767" ht="13.5" customHeight="1" s="434"/>
    <row r="768" ht="13.5" customHeight="1" s="434"/>
    <row r="769" ht="13.5" customHeight="1" s="434"/>
    <row r="770" ht="13.5" customHeight="1" s="434"/>
    <row r="771" ht="13.5" customHeight="1" s="434"/>
    <row r="772" ht="13.5" customHeight="1" s="434"/>
    <row r="773" ht="13.5" customHeight="1" s="434"/>
    <row r="774" ht="13.5" customHeight="1" s="434"/>
    <row r="775" ht="13.5" customHeight="1" s="434"/>
    <row r="776" ht="13.5" customHeight="1" s="434"/>
    <row r="777" ht="13.5" customHeight="1" s="434"/>
    <row r="778" ht="13.5" customHeight="1" s="434"/>
    <row r="779" ht="13.5" customHeight="1" s="434"/>
    <row r="780" ht="13.5" customHeight="1" s="434"/>
    <row r="781" ht="13.5" customHeight="1" s="434"/>
    <row r="782" ht="13.5" customHeight="1" s="434"/>
    <row r="783" ht="13.5" customHeight="1" s="434"/>
    <row r="784" ht="13.5" customHeight="1" s="434"/>
    <row r="785" ht="13.5" customHeight="1" s="434"/>
    <row r="786" ht="13.5" customHeight="1" s="434"/>
    <row r="787" ht="13.5" customHeight="1" s="434"/>
    <row r="788" ht="13.5" customHeight="1" s="434"/>
    <row r="789" ht="13.5" customHeight="1" s="434"/>
    <row r="790" ht="13.5" customHeight="1" s="434"/>
    <row r="791" ht="13.5" customHeight="1" s="434"/>
    <row r="792" ht="13.5" customHeight="1" s="434"/>
    <row r="793" ht="13.5" customHeight="1" s="434"/>
    <row r="794" ht="13.5" customHeight="1" s="434"/>
    <row r="795" ht="13.5" customHeight="1" s="434"/>
    <row r="796" ht="13.5" customHeight="1" s="434"/>
    <row r="797" ht="13.5" customHeight="1" s="434"/>
    <row r="798" ht="13.5" customHeight="1" s="434"/>
    <row r="799" ht="13.5" customHeight="1" s="434"/>
    <row r="800" ht="13.5" customHeight="1" s="434"/>
    <row r="801" ht="13.5" customHeight="1" s="434"/>
    <row r="802" ht="13.5" customHeight="1" s="434"/>
    <row r="803" ht="13.5" customHeight="1" s="434"/>
    <row r="804" ht="13.5" customHeight="1" s="434"/>
    <row r="805" ht="13.5" customHeight="1" s="434"/>
    <row r="806" ht="13.5" customHeight="1" s="434"/>
    <row r="807" ht="13.5" customHeight="1" s="434"/>
    <row r="808" ht="13.5" customHeight="1" s="434"/>
    <row r="809" ht="13.5" customHeight="1" s="434"/>
    <row r="810" ht="13.5" customHeight="1" s="434"/>
    <row r="811" ht="13.5" customHeight="1" s="434"/>
    <row r="812" ht="13.5" customHeight="1" s="434"/>
    <row r="813" ht="13.5" customHeight="1" s="434"/>
    <row r="814" ht="13.5" customHeight="1" s="434"/>
    <row r="815" ht="13.5" customHeight="1" s="434"/>
    <row r="816" ht="13.5" customHeight="1" s="434"/>
    <row r="817" ht="13.5" customHeight="1" s="434"/>
    <row r="818" ht="13.5" customHeight="1" s="434"/>
    <row r="819" ht="13.5" customHeight="1" s="434"/>
    <row r="820" ht="13.5" customHeight="1" s="434"/>
    <row r="821" ht="13.5" customHeight="1" s="434"/>
    <row r="822" ht="13.5" customHeight="1" s="434"/>
    <row r="823" ht="13.5" customHeight="1" s="434"/>
    <row r="824" ht="13.5" customHeight="1" s="434"/>
    <row r="825" ht="13.5" customHeight="1" s="434"/>
    <row r="826" ht="13.5" customHeight="1" s="434"/>
    <row r="827" ht="13.5" customHeight="1" s="434"/>
    <row r="828" ht="13.5" customHeight="1" s="434"/>
    <row r="829" ht="13.5" customHeight="1" s="434"/>
    <row r="830" ht="13.5" customHeight="1" s="434"/>
    <row r="831" ht="13.5" customHeight="1" s="434"/>
    <row r="832" ht="13.5" customHeight="1" s="434"/>
    <row r="833" ht="13.5" customHeight="1" s="434"/>
    <row r="834" ht="13.5" customHeight="1" s="434"/>
    <row r="835" ht="13.5" customHeight="1" s="434"/>
    <row r="836" ht="13.5" customHeight="1" s="434"/>
    <row r="837" ht="13.5" customHeight="1" s="434"/>
    <row r="838" ht="13.5" customHeight="1" s="434"/>
    <row r="839" ht="13.5" customHeight="1" s="434"/>
    <row r="840" ht="13.5" customHeight="1" s="434"/>
    <row r="841" ht="13.5" customHeight="1" s="434"/>
    <row r="842" ht="13.5" customHeight="1" s="434"/>
    <row r="843" ht="13.5" customHeight="1" s="434"/>
    <row r="844" ht="13.5" customHeight="1" s="434"/>
    <row r="845" ht="13.5" customHeight="1" s="434"/>
    <row r="846" ht="13.5" customHeight="1" s="434"/>
    <row r="847" ht="13.5" customHeight="1" s="434"/>
    <row r="848" ht="13.5" customHeight="1" s="434"/>
    <row r="849" ht="13.5" customHeight="1" s="434"/>
    <row r="850" ht="13.5" customHeight="1" s="434"/>
    <row r="851" ht="13.5" customHeight="1" s="434"/>
    <row r="852" ht="13.5" customHeight="1" s="434"/>
    <row r="853" ht="13.5" customHeight="1" s="434"/>
    <row r="854" ht="13.5" customHeight="1" s="434"/>
    <row r="855" ht="13.5" customHeight="1" s="434"/>
    <row r="856" ht="13.5" customHeight="1" s="434"/>
    <row r="857" ht="13.5" customHeight="1" s="434"/>
    <row r="858" ht="13.5" customHeight="1" s="434"/>
    <row r="859" ht="13.5" customHeight="1" s="434"/>
    <row r="860" ht="13.5" customHeight="1" s="434"/>
    <row r="861" ht="13.5" customHeight="1" s="434"/>
    <row r="862" ht="13.5" customHeight="1" s="434"/>
    <row r="863" ht="13.5" customHeight="1" s="434"/>
    <row r="864" ht="13.5" customHeight="1" s="434"/>
    <row r="865" ht="13.5" customHeight="1" s="434"/>
    <row r="866" ht="13.5" customHeight="1" s="434"/>
    <row r="867" ht="13.5" customHeight="1" s="434"/>
    <row r="868" ht="13.5" customHeight="1" s="434"/>
    <row r="869" ht="13.5" customHeight="1" s="434"/>
    <row r="870" ht="13.5" customHeight="1" s="434"/>
    <row r="871" ht="13.5" customHeight="1" s="434"/>
    <row r="872" ht="13.5" customHeight="1" s="434"/>
    <row r="873" ht="13.5" customHeight="1" s="434"/>
    <row r="874" ht="13.5" customHeight="1" s="434"/>
    <row r="875" ht="13.5" customHeight="1" s="434"/>
    <row r="876" ht="13.5" customHeight="1" s="434"/>
    <row r="877" ht="13.5" customHeight="1" s="434"/>
    <row r="878" ht="13.5" customHeight="1" s="434"/>
    <row r="879" ht="13.5" customHeight="1" s="434"/>
    <row r="880" ht="13.5" customHeight="1" s="434"/>
    <row r="881" ht="13.5" customHeight="1" s="434"/>
    <row r="882" ht="13.5" customHeight="1" s="434"/>
    <row r="883" ht="13.5" customHeight="1" s="434"/>
    <row r="884" ht="13.5" customHeight="1" s="434"/>
    <row r="885" ht="13.5" customHeight="1" s="434"/>
    <row r="886" ht="13.5" customHeight="1" s="434"/>
    <row r="887" ht="13.5" customHeight="1" s="434"/>
    <row r="888" ht="13.5" customHeight="1" s="434"/>
    <row r="889" ht="13.5" customHeight="1" s="434"/>
    <row r="890" ht="13.5" customHeight="1" s="434"/>
    <row r="891" ht="13.5" customHeight="1" s="434"/>
    <row r="892" ht="13.5" customHeight="1" s="434"/>
    <row r="893" ht="13.5" customHeight="1" s="434"/>
    <row r="894" ht="13.5" customHeight="1" s="434"/>
    <row r="895" ht="13.5" customHeight="1" s="434"/>
    <row r="896" ht="13.5" customHeight="1" s="434"/>
    <row r="897" ht="13.5" customHeight="1" s="434"/>
    <row r="898" ht="13.5" customHeight="1" s="434"/>
    <row r="899" ht="13.5" customHeight="1" s="434"/>
    <row r="900" ht="13.5" customHeight="1" s="434"/>
    <row r="901" ht="13.5" customHeight="1" s="434"/>
    <row r="902" ht="13.5" customHeight="1" s="434"/>
    <row r="903" ht="13.5" customHeight="1" s="434"/>
    <row r="904" ht="13.5" customHeight="1" s="434"/>
    <row r="905" ht="13.5" customHeight="1" s="434"/>
    <row r="906" ht="13.5" customHeight="1" s="434"/>
    <row r="907" ht="13.5" customHeight="1" s="434"/>
    <row r="908" ht="13.5" customHeight="1" s="434"/>
    <row r="909" ht="13.5" customHeight="1" s="434"/>
    <row r="910" ht="13.5" customHeight="1" s="434"/>
    <row r="911" ht="13.5" customHeight="1" s="434"/>
    <row r="912" ht="13.5" customHeight="1" s="434"/>
    <row r="913" ht="13.5" customHeight="1" s="434"/>
    <row r="914" ht="13.5" customHeight="1" s="434"/>
    <row r="915" ht="13.5" customHeight="1" s="434"/>
    <row r="916" ht="13.5" customHeight="1" s="434"/>
    <row r="917" ht="13.5" customHeight="1" s="434"/>
    <row r="918" ht="13.5" customHeight="1" s="434"/>
    <row r="919" ht="13.5" customHeight="1" s="434"/>
    <row r="920" ht="13.5" customHeight="1" s="434"/>
    <row r="921" ht="13.5" customHeight="1" s="434"/>
    <row r="922" ht="13.5" customHeight="1" s="434"/>
    <row r="923" ht="13.5" customHeight="1" s="434"/>
    <row r="924" ht="13.5" customHeight="1" s="434"/>
    <row r="925" ht="13.5" customHeight="1" s="434"/>
    <row r="926" ht="13.5" customHeight="1" s="434"/>
    <row r="927" ht="13.5" customHeight="1" s="434"/>
    <row r="928" ht="13.5" customHeight="1" s="434"/>
    <row r="929" ht="13.5" customHeight="1" s="434"/>
    <row r="930" ht="13.5" customHeight="1" s="434"/>
    <row r="931" ht="13.5" customHeight="1" s="434"/>
    <row r="932" ht="13.5" customHeight="1" s="434"/>
    <row r="933" ht="13.5" customHeight="1" s="434"/>
    <row r="934" ht="13.5" customHeight="1" s="434"/>
    <row r="935" ht="13.5" customHeight="1" s="434"/>
    <row r="936" ht="13.5" customHeight="1" s="434"/>
    <row r="937" ht="13.5" customHeight="1" s="434"/>
    <row r="938" ht="13.5" customHeight="1" s="434"/>
    <row r="939" ht="13.5" customHeight="1" s="434"/>
    <row r="940" ht="13.5" customHeight="1" s="434"/>
    <row r="941" ht="13.5" customHeight="1" s="434"/>
    <row r="942" ht="13.5" customHeight="1" s="434"/>
    <row r="943" ht="13.5" customHeight="1" s="434"/>
    <row r="944" ht="13.5" customHeight="1" s="434"/>
    <row r="945" ht="13.5" customHeight="1" s="434"/>
    <row r="946" ht="13.5" customHeight="1" s="434"/>
    <row r="947" ht="13.5" customHeight="1" s="434"/>
    <row r="948" ht="13.5" customHeight="1" s="434"/>
    <row r="949" ht="13.5" customHeight="1" s="434"/>
    <row r="950" ht="13.5" customHeight="1" s="434"/>
    <row r="951" ht="13.5" customHeight="1" s="434"/>
    <row r="952" ht="13.5" customHeight="1" s="434"/>
    <row r="953" ht="13.5" customHeight="1" s="434"/>
    <row r="954" ht="13.5" customHeight="1" s="434"/>
    <row r="955" ht="13.5" customHeight="1" s="434"/>
    <row r="956" ht="13.5" customHeight="1" s="434"/>
    <row r="957" ht="13.5" customHeight="1" s="434"/>
    <row r="958" ht="13.5" customHeight="1" s="434"/>
    <row r="959" ht="13.5" customHeight="1" s="434"/>
    <row r="960" ht="13.5" customHeight="1" s="434"/>
    <row r="961" ht="13.5" customHeight="1" s="434"/>
    <row r="962" ht="13.5" customHeight="1" s="434"/>
    <row r="963" ht="13.5" customHeight="1" s="434"/>
    <row r="964" ht="13.5" customHeight="1" s="434"/>
    <row r="965" ht="13.5" customHeight="1" s="434"/>
    <row r="966" ht="13.5" customHeight="1" s="434"/>
    <row r="967" ht="13.5" customHeight="1" s="434"/>
    <row r="968" ht="13.5" customHeight="1" s="434"/>
    <row r="969" ht="13.5" customHeight="1" s="434"/>
    <row r="970" ht="13.5" customHeight="1" s="434"/>
    <row r="971" ht="13.5" customHeight="1" s="434"/>
    <row r="972" ht="13.5" customHeight="1" s="434"/>
    <row r="973" ht="13.5" customHeight="1" s="434"/>
    <row r="974" ht="13.5" customHeight="1" s="434"/>
    <row r="975" ht="13.5" customHeight="1" s="434"/>
    <row r="976" ht="13.5" customHeight="1" s="434"/>
    <row r="977" ht="13.5" customHeight="1" s="434"/>
    <row r="978" ht="13.5" customHeight="1" s="434"/>
    <row r="979" ht="13.5" customHeight="1" s="434"/>
    <row r="980" ht="13.5" customHeight="1" s="434"/>
    <row r="981" ht="13.5" customHeight="1" s="434"/>
    <row r="982" ht="13.5" customHeight="1" s="434"/>
    <row r="983" ht="13.5" customHeight="1" s="434"/>
    <row r="984" ht="13.5" customHeight="1" s="434"/>
    <row r="985" ht="13.5" customHeight="1" s="434"/>
    <row r="986" ht="13.5" customHeight="1" s="434"/>
    <row r="987" ht="13.5" customHeight="1" s="434"/>
    <row r="988" ht="13.5" customHeight="1" s="434"/>
    <row r="989" ht="13.5" customHeight="1" s="434"/>
    <row r="990" ht="13.5" customHeight="1" s="434"/>
    <row r="991" ht="13.5" customHeight="1" s="434"/>
    <row r="992" ht="13.5" customHeight="1" s="434"/>
    <row r="993" ht="13.5" customHeight="1" s="434"/>
    <row r="994" ht="13.5" customHeight="1" s="434"/>
    <row r="995" ht="13.5" customHeight="1" s="434"/>
    <row r="996" ht="13.5" customHeight="1" s="434"/>
    <row r="997" ht="13.5" customHeight="1" s="434"/>
    <row r="998" ht="13.5" customHeight="1" s="434"/>
    <row r="999" ht="13.5" customHeight="1" s="434"/>
    <row r="1000" ht="13.5" customHeight="1" s="434"/>
    <row r="1001" ht="13.5" customHeight="1" s="434"/>
    <row r="1002" ht="13.5" customHeight="1" s="434"/>
    <row r="1003" ht="13.5" customHeight="1" s="434"/>
    <row r="1004" ht="13.5" customHeight="1" s="434"/>
    <row r="1005" ht="13.5" customHeight="1" s="434"/>
    <row r="1006" ht="13.5" customHeight="1" s="434"/>
    <row r="1007" ht="13.5" customHeight="1" s="434"/>
    <row r="1008" ht="13.5" customHeight="1" s="434"/>
    <row r="1009" ht="13.5" customHeight="1" s="434"/>
    <row r="1010" ht="13.5" customHeight="1" s="434"/>
    <row r="1011" ht="13.5" customHeight="1" s="434"/>
    <row r="1012" ht="13.5" customHeight="1" s="434"/>
    <row r="1013" ht="13.5" customHeight="1" s="434"/>
    <row r="1014" ht="13.5" customHeight="1" s="434"/>
    <row r="1015" ht="13.5" customHeight="1" s="434"/>
    <row r="1016" ht="13.5" customHeight="1" s="434"/>
    <row r="1017" ht="13.5" customHeight="1" s="434"/>
    <row r="1018" ht="16.15" customHeight="1" s="434"/>
    <row r="1019" ht="16.15" customHeight="1" s="434"/>
    <row r="1020" ht="16.15" customHeight="1" s="434"/>
    <row r="1021" ht="16.15" customHeight="1" s="434"/>
    <row r="1022" ht="16.15" customHeight="1" s="434"/>
    <row r="1023" ht="16.15" customHeight="1" s="434"/>
    <row r="1024" ht="16.15" customHeight="1" s="434"/>
    <row r="1025" ht="16.15" customHeight="1" s="434"/>
    <row r="1026" ht="16.15" customHeight="1" s="434"/>
    <row r="1027" ht="16.15" customHeight="1" s="434"/>
    <row r="1028" ht="16.15" customHeight="1" s="434"/>
    <row r="1029" ht="16.15" customHeight="1" s="434"/>
    <row r="1030" ht="16.15" customHeight="1" s="434"/>
    <row r="1031" ht="16.15" customHeight="1" s="434"/>
    <row r="1032" ht="16.15" customHeight="1" s="434"/>
    <row r="1033" ht="16.15" customHeight="1" s="434"/>
    <row r="1034" ht="16.15" customHeight="1" s="434"/>
    <row r="1035" ht="16.15" customHeight="1" s="434"/>
    <row r="1036" ht="16.15" customHeight="1" s="434"/>
    <row r="1037" ht="16.15" customHeight="1" s="434"/>
    <row r="1038" ht="16.15" customHeight="1" s="434"/>
    <row r="1039" ht="16.15" customHeight="1" s="434"/>
    <row r="1040" ht="16.15" customHeight="1" s="434"/>
    <row r="1041" ht="16.15" customHeight="1" s="434"/>
    <row r="1042" ht="16.15" customHeight="1" s="434"/>
    <row r="1043" ht="16.15" customHeight="1" s="434"/>
    <row r="1044" ht="16.15" customHeight="1" s="434"/>
    <row r="1045" ht="16.15" customHeight="1" s="434"/>
    <row r="1046" ht="16.15" customHeight="1" s="434"/>
    <row r="1047" ht="16.15" customHeight="1" s="434"/>
    <row r="1048" ht="16.15" customHeight="1" s="434"/>
    <row r="1049" ht="16.15" customHeight="1" s="434"/>
    <row r="1050" ht="16.15" customHeight="1" s="434"/>
    <row r="1051" ht="16.15" customHeight="1" s="434"/>
    <row r="1052" ht="16.15" customHeight="1" s="434"/>
    <row r="1053" ht="16.15" customHeight="1" s="434"/>
    <row r="1054" ht="16.15" customHeight="1" s="434"/>
    <row r="1055" ht="16.15" customHeight="1" s="434"/>
    <row r="1056" ht="16.15" customHeight="1" s="434"/>
    <row r="1057" ht="16.15" customHeight="1" s="434"/>
    <row r="1058" ht="16.15" customHeight="1" s="434"/>
    <row r="1059" ht="16.15" customHeight="1" s="434"/>
    <row r="1060" ht="16.15" customHeight="1" s="434"/>
    <row r="1061" ht="16.15" customHeight="1" s="434"/>
    <row r="1062" ht="16.15" customHeight="1" s="434"/>
    <row r="1063" hidden="1" customHeight="1" s="434"/>
    <row r="1064" hidden="1" customHeight="1" s="434"/>
  </sheetData>
  <mergeCells count="23">
    <mergeCell ref="B7:C7"/>
    <mergeCell ref="B3:I3"/>
    <mergeCell ref="B31:C31"/>
    <mergeCell ref="B27:I27"/>
    <mergeCell ref="B36:K36"/>
    <mergeCell ref="B11:C11"/>
    <mergeCell ref="B2:I2"/>
    <mergeCell ref="D4:F4"/>
    <mergeCell ref="G4:I4"/>
    <mergeCell ref="B1:I1"/>
    <mergeCell ref="B8:C8"/>
    <mergeCell ref="B4:C5"/>
    <mergeCell ref="J4:K4"/>
    <mergeCell ref="B34:C34"/>
    <mergeCell ref="B10:C10"/>
    <mergeCell ref="B28:I28"/>
    <mergeCell ref="B9:C9"/>
    <mergeCell ref="B6:C6"/>
    <mergeCell ref="B33:C33"/>
    <mergeCell ref="B13:K13"/>
    <mergeCell ref="B29:C30"/>
    <mergeCell ref="B32:C32"/>
    <mergeCell ref="D29:K29"/>
  </mergeCells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78" horizontalDpi="300" verticalDpi="300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0">
    <outlinePr summaryBelow="1" summaryRight="1"/>
    <pageSetUpPr fitToPage="1"/>
  </sheetPr>
  <dimension ref="A2:AG48"/>
  <sheetViews>
    <sheetView view="pageBreakPreview" topLeftCell="A53" zoomScale="70" zoomScaleNormal="85" zoomScaleSheetLayoutView="70" workbookViewId="0">
      <selection activeCell="M22" sqref="M22"/>
    </sheetView>
  </sheetViews>
  <sheetFormatPr baseColWidth="8" defaultColWidth="8.88671875" defaultRowHeight="16.5"/>
  <cols>
    <col width="2.44140625" customWidth="1" style="1" min="1" max="1"/>
    <col width="9.109375" customWidth="1" style="1" min="2" max="2"/>
    <col width="10.88671875" customWidth="1" style="1" min="3" max="3"/>
    <col width="6.109375" customWidth="1" style="1" min="4" max="4"/>
    <col width="6.5546875" customWidth="1" style="1" min="5" max="9"/>
    <col width="6.109375" customWidth="1" style="1" min="10" max="12"/>
    <col width="10.5546875" customWidth="1" style="1" min="13" max="13"/>
    <col width="6.21875" customWidth="1" style="1" min="14" max="14"/>
    <col width="44.44140625" customWidth="1" style="1" min="15" max="17"/>
    <col width="4.88671875" customWidth="1" style="1" min="18" max="18"/>
    <col width="8.6640625" customWidth="1" style="179" min="19" max="19"/>
    <col width="8.6640625" customWidth="1" style="1" min="20" max="22"/>
    <col width="8.88671875" customWidth="1" style="1" min="23" max="28"/>
    <col width="8.88671875" customWidth="1" style="179" min="29" max="29"/>
    <col width="8.88671875" customWidth="1" style="1" min="30" max="31"/>
    <col width="8.88671875" customWidth="1" style="1" min="32" max="32"/>
    <col width="12.6640625" customWidth="1" style="1" min="33" max="33"/>
    <col width="8.88671875" customWidth="1" style="1" min="34" max="16384"/>
  </cols>
  <sheetData>
    <row r="1" customFormat="1" s="19"/>
    <row r="2" ht="17.25" customFormat="1" customHeight="1" s="19">
      <c r="B2" s="41" t="inlineStr">
        <is>
          <t>◎ 장비별 위험분석 결과</t>
        </is>
      </c>
      <c r="C2" s="42" t="n"/>
      <c r="D2" s="42" t="n"/>
      <c r="E2" s="42" t="n"/>
      <c r="F2" s="42" t="n"/>
      <c r="G2" s="42" t="n"/>
      <c r="H2" s="42" t="n"/>
      <c r="I2" s="42" t="n"/>
      <c r="J2" s="42" t="n"/>
    </row>
    <row r="3" ht="17.25" customFormat="1" customHeight="1" s="19">
      <c r="B3" s="43" t="n"/>
      <c r="C3" s="43" t="n"/>
      <c r="D3" s="43" t="n"/>
      <c r="E3" s="43" t="n"/>
      <c r="J3" s="43" t="n"/>
    </row>
    <row r="4" customFormat="1" s="19">
      <c r="B4" s="361" t="inlineStr">
        <is>
          <t>Host Name</t>
        </is>
      </c>
      <c r="C4" s="435" t="n"/>
      <c r="D4" s="362">
        <f>MID(CELL("filename",$A$1),FIND("]",CELL("filename",$A$1))+1,100)</f>
        <v/>
      </c>
      <c r="E4" s="435" t="n"/>
      <c r="F4" s="361" t="inlineStr">
        <is>
          <t>O/S</t>
        </is>
      </c>
      <c r="G4" s="435" t="n"/>
      <c r="H4" s="362">
        <f>IFERROR(VLOOKUP($D$4,점검대상!C7:M35,2,FALSE),"-")</f>
        <v/>
      </c>
      <c r="I4" s="442" t="n"/>
      <c r="J4" s="435" t="n"/>
    </row>
    <row r="5" ht="17.25" customFormat="1" customHeight="1" s="19">
      <c r="B5" s="361" t="inlineStr">
        <is>
          <t>IP Address</t>
        </is>
      </c>
      <c r="C5" s="435" t="n"/>
      <c r="D5" s="362">
        <f>IFERROR(VLOOKUP($D$4,점검대상!C7:M35,3,FALSE),"-")</f>
        <v/>
      </c>
      <c r="E5" s="435" t="n"/>
      <c r="F5" s="361" t="inlineStr">
        <is>
          <t>용도</t>
        </is>
      </c>
      <c r="G5" s="435" t="n"/>
      <c r="H5" s="362">
        <f>IFERROR(VLOOKUP($D$4,점검대상!C7:M35,4,FALSE),"-")</f>
        <v/>
      </c>
      <c r="I5" s="442" t="n"/>
      <c r="J5" s="435" t="n"/>
      <c r="N5" s="44" t="n"/>
    </row>
    <row r="6" customFormat="1" s="19">
      <c r="M6" s="45" t="n"/>
      <c r="N6" s="45" t="n"/>
    </row>
    <row r="7" ht="17.25" customFormat="1" customHeight="1" s="19">
      <c r="B7" s="84" t="inlineStr">
        <is>
          <t>◎ 자산 평가</t>
        </is>
      </c>
      <c r="M7" s="45" t="n"/>
      <c r="N7" s="45" t="n"/>
    </row>
    <row r="8" customFormat="1" s="19"/>
    <row r="9" ht="17.45" customFormat="1" customHeight="1" s="19">
      <c r="B9" s="361" t="inlineStr">
        <is>
          <t>자산 가치</t>
        </is>
      </c>
      <c r="C9" s="438" t="n"/>
      <c r="D9" s="361" t="inlineStr">
        <is>
          <t>C</t>
        </is>
      </c>
      <c r="E9" s="361" t="inlineStr">
        <is>
          <t>I</t>
        </is>
      </c>
      <c r="F9" s="361" t="inlineStr">
        <is>
          <t>A</t>
        </is>
      </c>
      <c r="G9" s="361" t="inlineStr">
        <is>
          <t xml:space="preserve"> 중요도</t>
        </is>
      </c>
      <c r="H9" s="361" t="inlineStr">
        <is>
          <t>등급</t>
        </is>
      </c>
      <c r="I9" s="361" t="inlineStr">
        <is>
          <t>위험 수용 수준</t>
        </is>
      </c>
      <c r="J9" s="435" t="n"/>
      <c r="S9" s="365">
        <f>"DoA "&amp;$I$10&amp;" 이상"</f>
        <v/>
      </c>
      <c r="T9" s="460" t="n"/>
      <c r="U9" s="365">
        <f>"DoA "&amp;$I$10&amp;" 미만"</f>
        <v/>
      </c>
      <c r="V9" s="460" t="n"/>
    </row>
    <row r="10" customFormat="1" s="19">
      <c r="B10" s="439" t="n"/>
      <c r="C10" s="441" t="n"/>
      <c r="D10" s="85">
        <f>IFERROR(VLOOKUP($D$4,점검대상!$C$7:$M$35,5,FALSE),"-")</f>
        <v/>
      </c>
      <c r="E10" s="85">
        <f>IFERROR(VLOOKUP($D$4,점검대상!$C$7:$M$35,6,FALSE),"-")</f>
        <v/>
      </c>
      <c r="F10" s="85">
        <f>IFERROR(VLOOKUP($D$4,점검대상!$C$7:$M$35,7,FALSE),"-")</f>
        <v/>
      </c>
      <c r="G10" s="85">
        <f>IF(H10="1등급",3,IF(H10="중",2,IF(H10="하",1,"-")))</f>
        <v/>
      </c>
      <c r="H10" s="85">
        <f>IFERROR(VLOOKUP($D$4,점검대상!$C$7:$M$35,8,FALSE),"-")</f>
        <v/>
      </c>
      <c r="I10" s="85">
        <f>점검대상!K4</f>
        <v/>
      </c>
      <c r="J10" s="435" t="n"/>
      <c r="S10" s="368">
        <f>COUNTIF($W21:$W87,"통제 적용")</f>
        <v/>
      </c>
      <c r="T10" s="435" t="n"/>
      <c r="U10" s="368">
        <f>COUNTIF($W21:$W87,"위험 수용")</f>
        <v/>
      </c>
      <c r="V10" s="435" t="n"/>
    </row>
    <row r="11" hidden="1" customFormat="1" s="19">
      <c r="B11" s="46" t="n"/>
      <c r="C11" s="435" t="n"/>
      <c r="D11" s="46" t="n"/>
      <c r="E11" s="46" t="n"/>
      <c r="F11" s="46" t="n"/>
      <c r="G11" s="46" t="n"/>
      <c r="H11" s="47" t="n"/>
      <c r="I11" s="47" t="n"/>
      <c r="J11" s="48" t="n"/>
    </row>
    <row r="12" hidden="1" customFormat="1" s="19">
      <c r="B12" s="46" t="n"/>
      <c r="C12" s="435" t="n"/>
      <c r="D12" s="46" t="n"/>
      <c r="E12" s="46" t="n"/>
      <c r="F12" s="46" t="n"/>
      <c r="G12" s="46" t="n"/>
      <c r="H12" s="47" t="n"/>
      <c r="I12" s="47" t="n"/>
      <c r="J12" s="48" t="n"/>
    </row>
    <row r="13" hidden="1" customFormat="1" s="19">
      <c r="B13" s="46" t="n"/>
      <c r="C13" s="435" t="n"/>
      <c r="D13" s="46" t="n"/>
      <c r="E13" s="46" t="n"/>
      <c r="F13" s="46" t="n"/>
      <c r="G13" s="46" t="n"/>
      <c r="H13" s="47" t="n"/>
      <c r="I13" s="47" t="n"/>
      <c r="J13" s="48" t="n"/>
    </row>
    <row r="14" hidden="1" customFormat="1" s="19">
      <c r="B14" s="46" t="n"/>
      <c r="C14" s="435" t="n"/>
      <c r="D14" s="46" t="n"/>
      <c r="E14" s="46" t="n"/>
      <c r="F14" s="46" t="n"/>
      <c r="G14" s="46" t="n"/>
      <c r="H14" s="47" t="n"/>
      <c r="I14" s="47" t="n"/>
      <c r="J14" s="48" t="n"/>
    </row>
    <row r="15" hidden="1" customFormat="1" s="19">
      <c r="B15" s="46" t="n"/>
      <c r="C15" s="435" t="n"/>
      <c r="D15" s="46" t="n"/>
      <c r="E15" s="46" t="n"/>
      <c r="F15" s="46" t="n"/>
      <c r="G15" s="46" t="n"/>
      <c r="H15" s="47" t="n"/>
      <c r="I15" s="47" t="n"/>
      <c r="J15" s="48" t="n"/>
    </row>
    <row r="16" hidden="1" ht="17.25" customFormat="1" customHeight="1" s="19" thickTop="1">
      <c r="B16" s="369" t="n"/>
      <c r="C16" s="461" t="n"/>
      <c r="D16" s="369" t="n"/>
      <c r="E16" s="369" t="n"/>
      <c r="F16" s="369" t="n"/>
      <c r="G16" s="369" t="n"/>
      <c r="H16" s="369" t="n"/>
      <c r="I16" s="369" t="n"/>
      <c r="J16" s="49" t="n"/>
    </row>
    <row r="17" customFormat="1" s="19">
      <c r="M17" s="45" t="n"/>
      <c r="N17" s="45" t="n"/>
    </row>
    <row r="18" ht="17.25" customHeight="1" s="434">
      <c r="B18" s="10" t="inlineStr">
        <is>
          <t>▣ 상세 점검 현황</t>
        </is>
      </c>
      <c r="P18" s="9" t="n"/>
      <c r="Q18" s="9" t="n"/>
    </row>
    <row r="19">
      <c r="R19" s="8" t="n"/>
    </row>
    <row r="20" ht="32.1" customFormat="1" customHeight="1" s="19">
      <c r="A20" s="37" t="n"/>
      <c r="B20" s="371" t="inlineStr">
        <is>
          <t>구분</t>
        </is>
      </c>
      <c r="C20" s="462" t="n"/>
      <c r="D20" s="371" t="inlineStr">
        <is>
          <t>점검 항목</t>
        </is>
      </c>
      <c r="E20" s="463" t="n"/>
      <c r="F20" s="463" t="n"/>
      <c r="G20" s="463" t="n"/>
      <c r="H20" s="463" t="n"/>
      <c r="I20" s="462" t="n"/>
      <c r="J20" s="371" t="inlineStr">
        <is>
          <t>중요도</t>
        </is>
      </c>
      <c r="K20" s="462" t="n"/>
      <c r="L20" s="371" t="inlineStr">
        <is>
          <t>위협코드</t>
        </is>
      </c>
      <c r="M20" s="371" t="inlineStr">
        <is>
          <t>점검 결과</t>
        </is>
      </c>
      <c r="N20" s="462" t="n"/>
      <c r="O20" s="371" t="inlineStr">
        <is>
          <t>현황</t>
        </is>
      </c>
      <c r="P20" s="371" t="inlineStr">
        <is>
          <t>잠재 위험</t>
        </is>
      </c>
      <c r="Q20" s="371" t="inlineStr">
        <is>
          <t>대응책</t>
        </is>
      </c>
      <c r="R20" s="37" t="n"/>
      <c r="S20" s="365" t="inlineStr">
        <is>
          <t>위협도</t>
        </is>
      </c>
      <c r="T20" s="365" t="inlineStr">
        <is>
          <t>값</t>
        </is>
      </c>
      <c r="U20" s="365" t="inlineStr">
        <is>
          <t>위험도</t>
        </is>
      </c>
      <c r="V20" s="365" t="inlineStr">
        <is>
          <t>평가</t>
        </is>
      </c>
      <c r="W20" s="365" t="inlineStr">
        <is>
          <t>통제적용 여부</t>
        </is>
      </c>
      <c r="X20" s="365" t="inlineStr">
        <is>
          <t>통제대책 코드</t>
        </is>
      </c>
      <c r="Z20" s="204" t="inlineStr">
        <is>
          <t>구축비용  기준</t>
        </is>
      </c>
      <c r="AA20" s="204" t="inlineStr">
        <is>
          <t>위험도 
기준</t>
        </is>
      </c>
      <c r="AB20" s="204" t="inlineStr">
        <is>
          <t>난이도 
기준</t>
        </is>
      </c>
      <c r="AC20" s="204" t="inlineStr">
        <is>
          <t>합계</t>
        </is>
      </c>
      <c r="AD20" s="204" t="inlineStr">
        <is>
          <t>적용
시기</t>
        </is>
      </c>
      <c r="AE20" s="204" t="inlineStr">
        <is>
          <t>담당자</t>
        </is>
      </c>
      <c r="AF20" s="204" t="inlineStr">
        <is>
          <t>조치계획</t>
        </is>
      </c>
      <c r="AG20" s="204" t="inlineStr">
        <is>
          <t>조치일정</t>
        </is>
      </c>
    </row>
    <row r="21" ht="60" customHeight="1" s="434">
      <c r="A21" s="8" t="n"/>
      <c r="B21" s="329">
        <f>'요약 통계'!B6</f>
        <v/>
      </c>
      <c r="C21" s="438" t="n"/>
      <c r="D21" s="196" t="inlineStr">
        <is>
          <t>S-01</t>
        </is>
      </c>
      <c r="E21" s="370">
        <f>'요약 통계'!D6</f>
        <v/>
      </c>
      <c r="F21" s="442" t="n"/>
      <c r="G21" s="442" t="n"/>
      <c r="H21" s="442" t="n"/>
      <c r="I21" s="435" t="n"/>
      <c r="J21" s="168">
        <f>'요약 통계'!E6</f>
        <v/>
      </c>
      <c r="K21" s="132">
        <f>IF(M21="N/A","-",'요약 통계'!F6)</f>
        <v/>
      </c>
      <c r="L21" s="133" t="inlineStr">
        <is>
          <t>TT-07</t>
        </is>
      </c>
      <c r="M21" s="125" t="inlineStr">
        <is>
          <t>Y</t>
        </is>
      </c>
      <c r="N21" s="134">
        <f>IF(M21="N",0,K21)</f>
        <v/>
      </c>
      <c r="O21" s="127" t="inlineStr">
        <is>
          <t xml:space="preserve">■ 기준 : 장비에서 제공하고 있는 디폴트 계정 명을 변경하여 사용하는 경우 (ID 변경이 불가능할 경우 패스워드로 보완필요) "양호"
■ 현황 : </t>
        </is>
      </c>
      <c r="P21" s="88">
        <f>IF(M21="N",'잠재위험 및 대응책 DB'!A2,"-")</f>
        <v/>
      </c>
      <c r="Q21" s="88">
        <f>IF(M21="N",'잠재위험 및 대응책 DB'!B2,"-")</f>
        <v/>
      </c>
      <c r="R21" s="93" t="n"/>
      <c r="S21" s="135">
        <f>J21</f>
        <v/>
      </c>
      <c r="T21" s="135">
        <f>IF(S21="상",3,IF(S21="중",2,IF(S21="하",1,0)))</f>
        <v/>
      </c>
      <c r="U21" s="135">
        <f>IFERROR(IF(OR($M21="y",$M21="n/a"),"-",$G$10+(($K21-$N21)*2)),"-")</f>
        <v/>
      </c>
      <c r="V21" s="135">
        <f>IF(U21="-","-",IF(U21&gt;=7,"상",IF(U21&gt;=4,"중",IF(U21&gt;=2,"하","하"))))</f>
        <v/>
      </c>
      <c r="W21" s="135">
        <f>IF(U21="-","-",IF(U21&gt;=$I$10,"통제 적용","위험 수용"))</f>
        <v/>
      </c>
      <c r="X21" s="135">
        <f>IF(W21="통제 적용",D21,"-")</f>
        <v/>
      </c>
      <c r="Y21" s="179" t="n"/>
      <c r="Z21" s="135" t="inlineStr">
        <is>
          <t>-</t>
        </is>
      </c>
      <c r="AA21" s="135" t="inlineStr">
        <is>
          <t>-</t>
        </is>
      </c>
      <c r="AB21" s="135" t="inlineStr">
        <is>
          <t>-</t>
        </is>
      </c>
      <c r="AC21" s="135">
        <f>SUM(Z21:AB21)</f>
        <v/>
      </c>
      <c r="AD21" s="135" t="inlineStr">
        <is>
          <t>-</t>
        </is>
      </c>
      <c r="AE21" s="135" t="n"/>
      <c r="AF21" s="135" t="inlineStr">
        <is>
          <t>-</t>
        </is>
      </c>
      <c r="AG21" s="252" t="n"/>
    </row>
    <row r="22" ht="60" customHeight="1" s="434">
      <c r="A22" s="8" t="n"/>
      <c r="B22" s="464" t="n"/>
      <c r="C22" s="453" t="n"/>
      <c r="D22" s="197" t="inlineStr">
        <is>
          <t>S-02</t>
        </is>
      </c>
      <c r="E22" s="370">
        <f>'요약 통계'!D7</f>
        <v/>
      </c>
      <c r="F22" s="442" t="n"/>
      <c r="G22" s="442" t="n"/>
      <c r="H22" s="442" t="n"/>
      <c r="I22" s="435" t="n"/>
      <c r="J22" s="168">
        <f>'요약 통계'!E7</f>
        <v/>
      </c>
      <c r="K22" s="132">
        <f>IF(M22="N/A","-",'요약 통계'!F7)</f>
        <v/>
      </c>
      <c r="L22" s="133" t="inlineStr">
        <is>
          <t>TT-07</t>
        </is>
      </c>
      <c r="M22" s="125" t="inlineStr">
        <is>
          <t>Y</t>
        </is>
      </c>
      <c r="N22" s="134">
        <f>IF(M22="N",0,K22)</f>
        <v/>
      </c>
      <c r="O22" s="127" t="inlineStr">
        <is>
          <t xml:space="preserve">■ 기준 : 비밀번호 관리 정책에 맞는 비밀번호가 사용된 경우 "양호"
■ 현황 : </t>
        </is>
      </c>
      <c r="P22" s="88">
        <f>IF(M22="N",'잠재위험 및 대응책 DB'!A3,"-")</f>
        <v/>
      </c>
      <c r="Q22" s="88">
        <f>IF(M22="N",'잠재위험 및 대응책 DB'!B3,"-")</f>
        <v/>
      </c>
      <c r="R22" s="93" t="n"/>
      <c r="S22" s="135">
        <f>J22</f>
        <v/>
      </c>
      <c r="T22" s="135">
        <f>IF(S22="상",3,IF(S22="중",2,IF(S22="하",1,0)))</f>
        <v/>
      </c>
      <c r="U22" s="135">
        <f>IFERROR(IF(OR($M22="y",$M22="n/a"),"-",$G$10+(($K22-$N22)*2)),"-")</f>
        <v/>
      </c>
      <c r="V22" s="135">
        <f>IF(U22="-","-",IF(U22&gt;=7,"상",IF(U22&gt;=4,"중",IF(U22&gt;=2,"하","하"))))</f>
        <v/>
      </c>
      <c r="W22" s="135">
        <f>IF(U22="-","-",IF(U22&gt;=$I$10,"통제 적용","위험 수용"))</f>
        <v/>
      </c>
      <c r="X22" s="135">
        <f>IF(W22="통제 적용",D22,"-")</f>
        <v/>
      </c>
      <c r="Y22" s="179" t="n"/>
      <c r="Z22" s="135" t="inlineStr">
        <is>
          <t>-</t>
        </is>
      </c>
      <c r="AA22" s="135" t="inlineStr">
        <is>
          <t>-</t>
        </is>
      </c>
      <c r="AB22" s="135" t="inlineStr">
        <is>
          <t>-</t>
        </is>
      </c>
      <c r="AC22" s="135">
        <f>SUM(Z22:AB22)</f>
        <v/>
      </c>
      <c r="AD22" s="135" t="inlineStr">
        <is>
          <t>-</t>
        </is>
      </c>
      <c r="AE22" s="135" t="n"/>
      <c r="AF22" s="135" t="inlineStr">
        <is>
          <t>-</t>
        </is>
      </c>
      <c r="AG22" s="252" t="n"/>
    </row>
    <row r="23" ht="60" customHeight="1" s="434">
      <c r="A23" s="8" t="n"/>
      <c r="B23" s="464" t="n"/>
      <c r="C23" s="453" t="n"/>
      <c r="D23" s="197" t="inlineStr">
        <is>
          <t>S-03</t>
        </is>
      </c>
      <c r="E23" s="370">
        <f>'요약 통계'!D8</f>
        <v/>
      </c>
      <c r="F23" s="442" t="n"/>
      <c r="G23" s="442" t="n"/>
      <c r="H23" s="442" t="n"/>
      <c r="I23" s="435" t="n"/>
      <c r="J23" s="168">
        <f>'요약 통계'!E8</f>
        <v/>
      </c>
      <c r="K23" s="132">
        <f>IF(M23="N/A","-",'요약 통계'!F8)</f>
        <v/>
      </c>
      <c r="L23" s="133" t="inlineStr">
        <is>
          <t>TT-07</t>
        </is>
      </c>
      <c r="M23" s="125" t="inlineStr">
        <is>
          <t>Y</t>
        </is>
      </c>
      <c r="N23" s="134">
        <f>IF(M23="N",0,K23)</f>
        <v/>
      </c>
      <c r="O23" s="127" t="inlineStr">
        <is>
          <t xml:space="preserve">■ 기준 : 사용자 별 계정의 용도파악 및 적절한 권한을 부여하는 경우 "양호"
■ 현황 : </t>
        </is>
      </c>
      <c r="P23" s="88">
        <f>IF(M23="N",'잠재위험 및 대응책 DB'!A4,"-")</f>
        <v/>
      </c>
      <c r="Q23" s="88">
        <f>IF(M23="N",'잠재위험 및 대응책 DB'!B4,"-")</f>
        <v/>
      </c>
      <c r="R23" s="93" t="n"/>
      <c r="S23" s="135">
        <f>J23</f>
        <v/>
      </c>
      <c r="T23" s="135">
        <f>IF(S23="상",3,IF(S23="중",2,IF(S23="하",1,0)))</f>
        <v/>
      </c>
      <c r="U23" s="135">
        <f>IFERROR(IF(OR($M23="y",$M23="n/a"),"-",$G$10+(($K23-$N23)*2)),"-")</f>
        <v/>
      </c>
      <c r="V23" s="135">
        <f>IF(U23="-","-",IF(U23&gt;=7,"상",IF(U23&gt;=4,"중",IF(U23&gt;=2,"하","하"))))</f>
        <v/>
      </c>
      <c r="W23" s="135">
        <f>IF(U23="-","-",IF(U23&gt;=$I$10,"통제 적용","위험 수용"))</f>
        <v/>
      </c>
      <c r="X23" s="135">
        <f>IF(W23="통제 적용",D23,"-")</f>
        <v/>
      </c>
      <c r="Y23" s="179" t="n"/>
      <c r="Z23" s="135" t="inlineStr">
        <is>
          <t>-</t>
        </is>
      </c>
      <c r="AA23" s="135" t="inlineStr">
        <is>
          <t>-</t>
        </is>
      </c>
      <c r="AB23" s="135" t="inlineStr">
        <is>
          <t>-</t>
        </is>
      </c>
      <c r="AC23" s="135">
        <f>SUM(Z23:AB23)</f>
        <v/>
      </c>
      <c r="AD23" s="135" t="inlineStr">
        <is>
          <t>-</t>
        </is>
      </c>
      <c r="AE23" s="135" t="n"/>
      <c r="AF23" s="135" t="inlineStr">
        <is>
          <t>-</t>
        </is>
      </c>
      <c r="AG23" s="252" t="n"/>
    </row>
    <row r="24" ht="60" customHeight="1" s="434">
      <c r="A24" s="8" t="n"/>
      <c r="B24" s="464" t="n"/>
      <c r="C24" s="453" t="n"/>
      <c r="D24" s="395" t="inlineStr">
        <is>
          <t>S-04</t>
        </is>
      </c>
      <c r="E24" s="370">
        <f>'요약 통계'!D9</f>
        <v/>
      </c>
      <c r="F24" s="442" t="n"/>
      <c r="G24" s="442" t="n"/>
      <c r="H24" s="442" t="n"/>
      <c r="I24" s="435" t="n"/>
      <c r="J24" s="168">
        <f>'요약 통계'!E9</f>
        <v/>
      </c>
      <c r="K24" s="132">
        <f>IF(M24="N/A","-",'요약 통계'!F9)</f>
        <v/>
      </c>
      <c r="L24" s="133" t="inlineStr">
        <is>
          <t>TT-07</t>
        </is>
      </c>
      <c r="M24" s="125" t="inlineStr">
        <is>
          <t>Y</t>
        </is>
      </c>
      <c r="N24" s="134">
        <f>IF(M24="N",0,K24)</f>
        <v/>
      </c>
      <c r="O24" s="127" t="inlineStr">
        <is>
          <t xml:space="preserve">■ 기준 : 불필요한 공용계정 및 휴면계정을 제거하거나 관리하는 경우 "양호"
■ 현황 : </t>
        </is>
      </c>
      <c r="P24" s="88">
        <f>IF(M24="N",'잠재위험 및 대응책 DB'!A5,"-")</f>
        <v/>
      </c>
      <c r="Q24" s="88">
        <f>IF(M24="N",'잠재위험 및 대응책 DB'!B5,"-")</f>
        <v/>
      </c>
      <c r="R24" s="93" t="n"/>
      <c r="S24" s="135">
        <f>J24</f>
        <v/>
      </c>
      <c r="T24" s="135">
        <f>IF(S24="상",3,IF(S24="중",2,IF(S24="하",1,0)))</f>
        <v/>
      </c>
      <c r="U24" s="135">
        <f>IFERROR(IF(OR($M24="y",$M24="n/a"),"-",$G$10+(($K24-$N24)*2)),"-")</f>
        <v/>
      </c>
      <c r="V24" s="135">
        <f>IF(U24="-","-",IF(U24&gt;=7,"상",IF(U24&gt;=4,"중",IF(U24&gt;=2,"하","하"))))</f>
        <v/>
      </c>
      <c r="W24" s="135">
        <f>IF(U24="-","-",IF(U24&gt;=$I$10,"통제 적용","위험 수용"))</f>
        <v/>
      </c>
      <c r="X24" s="135">
        <f>IF(W24="통제 적용",D24,"-")</f>
        <v/>
      </c>
      <c r="Y24" s="179" t="n"/>
      <c r="Z24" s="135" t="inlineStr">
        <is>
          <t>-</t>
        </is>
      </c>
      <c r="AA24" s="135" t="inlineStr">
        <is>
          <t>-</t>
        </is>
      </c>
      <c r="AB24" s="135" t="inlineStr">
        <is>
          <t>-</t>
        </is>
      </c>
      <c r="AC24" s="135">
        <f>SUM(Z24:AB24)</f>
        <v/>
      </c>
      <c r="AD24" s="135" t="inlineStr">
        <is>
          <t>-</t>
        </is>
      </c>
      <c r="AE24" s="135" t="n"/>
      <c r="AF24" s="135" t="inlineStr">
        <is>
          <t>-</t>
        </is>
      </c>
      <c r="AG24" s="252" t="n"/>
    </row>
    <row r="25" ht="60" customHeight="1" s="434">
      <c r="B25" s="439" t="n"/>
      <c r="C25" s="441" t="n"/>
      <c r="D25" s="395" t="inlineStr">
        <is>
          <t>S-05</t>
        </is>
      </c>
      <c r="E25" s="370">
        <f>'요약 통계'!D10</f>
        <v/>
      </c>
      <c r="F25" s="442" t="n"/>
      <c r="G25" s="442" t="n"/>
      <c r="H25" s="442" t="n"/>
      <c r="I25" s="435" t="n"/>
      <c r="J25" s="168">
        <f>'요약 통계'!E10</f>
        <v/>
      </c>
      <c r="K25" s="132">
        <f>IF(M25="N/A","-",'요약 통계'!F10)</f>
        <v/>
      </c>
      <c r="L25" s="133" t="inlineStr">
        <is>
          <t>TT-07</t>
        </is>
      </c>
      <c r="M25" s="125" t="inlineStr">
        <is>
          <t>Y</t>
        </is>
      </c>
      <c r="N25" s="134">
        <f>IF(M25="N",0,K25)</f>
        <v/>
      </c>
      <c r="O25" s="127" t="inlineStr">
        <is>
          <t xml:space="preserve">■ 기준 : 로그온 실패 수를 5회 이하로 제한한 경우 "양호"
■ 현황 : </t>
        </is>
      </c>
      <c r="P25" s="88">
        <f>IF(M25="N",'잠재위험 및 대응책 DB'!A6,"-")</f>
        <v/>
      </c>
      <c r="Q25" s="88">
        <f>IF(M25="N",'잠재위험 및 대응책 DB'!B6,"-")</f>
        <v/>
      </c>
      <c r="R25" s="93" t="n"/>
      <c r="S25" s="135">
        <f>J25</f>
        <v/>
      </c>
      <c r="T25" s="135">
        <f>IF(S25="상",3,IF(S25="중",2,IF(S25="하",1,0)))</f>
        <v/>
      </c>
      <c r="U25" s="135">
        <f>IFERROR(IF(OR($M25="y",$M25="n/a"),"-",$G$10+(($K25-$N25)*2)),"-")</f>
        <v/>
      </c>
      <c r="V25" s="135">
        <f>IF(U25="-","-",IF(U25&gt;=7,"상",IF(U25&gt;=4,"중",IF(U25&gt;=2,"하","하"))))</f>
        <v/>
      </c>
      <c r="W25" s="135">
        <f>IF(U25="-","-",IF(U25&gt;=$I$10,"통제 적용","위험 수용"))</f>
        <v/>
      </c>
      <c r="X25" s="135">
        <f>IF(W25="통제 적용",D25,"-")</f>
        <v/>
      </c>
      <c r="Y25" s="179" t="n"/>
      <c r="Z25" s="135" t="inlineStr">
        <is>
          <t>-</t>
        </is>
      </c>
      <c r="AA25" s="135" t="inlineStr">
        <is>
          <t>-</t>
        </is>
      </c>
      <c r="AB25" s="135" t="inlineStr">
        <is>
          <t>-</t>
        </is>
      </c>
      <c r="AC25" s="135">
        <f>SUM(Z25:AB25)</f>
        <v/>
      </c>
      <c r="AD25" s="135" t="inlineStr">
        <is>
          <t>-</t>
        </is>
      </c>
      <c r="AE25" s="135" t="n"/>
      <c r="AF25" s="135" t="inlineStr">
        <is>
          <t>-</t>
        </is>
      </c>
      <c r="AG25" s="252" t="n"/>
    </row>
    <row r="26" ht="60" customHeight="1" s="434">
      <c r="B26">
        <f>'요약 통계'!B11</f>
        <v/>
      </c>
      <c r="D26" s="395" t="inlineStr">
        <is>
          <t>S-06</t>
        </is>
      </c>
      <c r="E26" s="370">
        <f>'요약 통계'!D11</f>
        <v/>
      </c>
      <c r="F26" s="442" t="n"/>
      <c r="G26" s="442" t="n"/>
      <c r="H26" s="442" t="n"/>
      <c r="I26" s="435" t="n"/>
      <c r="J26" s="168">
        <f>'요약 통계'!E11</f>
        <v/>
      </c>
      <c r="K26" s="132">
        <f>IF(M26="N/A","-",'요약 통계'!F11)</f>
        <v/>
      </c>
      <c r="L26" s="133" t="inlineStr">
        <is>
          <t>TT-14</t>
        </is>
      </c>
      <c r="M26" s="125" t="inlineStr">
        <is>
          <t>Y</t>
        </is>
      </c>
      <c r="N26" s="134">
        <f>IF(M26="N",0,K26)</f>
        <v/>
      </c>
      <c r="O26" s="127" t="inlineStr">
        <is>
          <t xml:space="preserve">■ 기준 : 원격관리 시 관리자 IP만 접근 가능하도록 설정한 경우 "양호"
■ 현황 : </t>
        </is>
      </c>
      <c r="P26" s="88">
        <f>IF(M26="N",'잠재위험 및 대응책 DB'!A7,"-")</f>
        <v/>
      </c>
      <c r="Q26" s="88">
        <f>IF(M26="N",'잠재위험 및 대응책 DB'!B7,"-")</f>
        <v/>
      </c>
      <c r="R26" s="93" t="n"/>
      <c r="S26" s="135">
        <f>J26</f>
        <v/>
      </c>
      <c r="T26" s="135">
        <f>IF(S26="상",3,IF(S26="중",2,IF(S26="하",1,0)))</f>
        <v/>
      </c>
      <c r="U26" s="135">
        <f>IFERROR(IF(OR($M26="y",$M26="n/a"),"-",$G$10+(($K26-$N26)*2)),"-")</f>
        <v/>
      </c>
      <c r="V26" s="135">
        <f>IF(U26="-","-",IF(U26&gt;=7,"상",IF(U26&gt;=4,"중",IF(U26&gt;=2,"하","하"))))</f>
        <v/>
      </c>
      <c r="W26" s="135">
        <f>IF(U26="-","-",IF(U26&gt;=$I$10,"통제 적용","위험 수용"))</f>
        <v/>
      </c>
      <c r="X26" s="135">
        <f>IF(W26="통제 적용",D26,"-")</f>
        <v/>
      </c>
      <c r="Y26" s="179" t="n"/>
      <c r="Z26" s="135" t="inlineStr">
        <is>
          <t>-</t>
        </is>
      </c>
      <c r="AA26" s="135" t="inlineStr">
        <is>
          <t>-</t>
        </is>
      </c>
      <c r="AB26" s="135" t="inlineStr">
        <is>
          <t>-</t>
        </is>
      </c>
      <c r="AC26" s="135">
        <f>SUM(Z26:AB26)</f>
        <v/>
      </c>
      <c r="AD26" s="135" t="inlineStr">
        <is>
          <t>-</t>
        </is>
      </c>
      <c r="AE26" s="135" t="n"/>
      <c r="AF26" s="135" t="inlineStr">
        <is>
          <t>-</t>
        </is>
      </c>
      <c r="AG26" s="252" t="n"/>
    </row>
    <row r="27" ht="60" customHeight="1" s="434">
      <c r="D27" s="395" t="inlineStr">
        <is>
          <t>S-07</t>
        </is>
      </c>
      <c r="E27" s="370">
        <f>'요약 통계'!D12</f>
        <v/>
      </c>
      <c r="F27" s="442" t="n"/>
      <c r="G27" s="442" t="n"/>
      <c r="H27" s="442" t="n"/>
      <c r="I27" s="435" t="n"/>
      <c r="J27" s="168">
        <f>'요약 통계'!E12</f>
        <v/>
      </c>
      <c r="K27" s="132">
        <f>IF(M27="N/A","-",'요약 통계'!F12)</f>
        <v/>
      </c>
      <c r="L27" s="133" t="inlineStr">
        <is>
          <t>TT-14</t>
        </is>
      </c>
      <c r="M27" s="125" t="inlineStr">
        <is>
          <t>Y</t>
        </is>
      </c>
      <c r="N27" s="134">
        <f>IF(M27="N",0,K27)</f>
        <v/>
      </c>
      <c r="O27" s="127" t="inlineStr">
        <is>
          <t xml:space="preserve">■ 기준 : 보안장비 접속 시 암호화 통신을 하는 경우 "양호"
■ 현황 : </t>
        </is>
      </c>
      <c r="P27" s="88">
        <f>IF(M27="N",'잠재위험 및 대응책 DB'!A8,"-")</f>
        <v/>
      </c>
      <c r="Q27" s="88">
        <f>IF(M27="N",'잠재위험 및 대응책 DB'!B8,"-")</f>
        <v/>
      </c>
      <c r="R27" s="93" t="n"/>
      <c r="S27" s="135">
        <f>J27</f>
        <v/>
      </c>
      <c r="T27" s="135">
        <f>IF(S27="상",3,IF(S27="중",2,IF(S27="하",1,0)))</f>
        <v/>
      </c>
      <c r="U27" s="135">
        <f>IFERROR(IF(OR($M27="y",$M27="n/a"),"-",$G$10+(($K27-$N27)*2)),"-")</f>
        <v/>
      </c>
      <c r="V27" s="135">
        <f>IF(U27="-","-",IF(U27&gt;=7,"상",IF(U27&gt;=4,"중",IF(U27&gt;=2,"하","하"))))</f>
        <v/>
      </c>
      <c r="W27" s="135">
        <f>IF(U27="-","-",IF(U27&gt;=$I$10,"통제 적용","위험 수용"))</f>
        <v/>
      </c>
      <c r="X27" s="135">
        <f>IF(W27="통제 적용",D27,"-")</f>
        <v/>
      </c>
      <c r="Y27" s="179" t="n"/>
      <c r="Z27" s="135" t="inlineStr">
        <is>
          <t>-</t>
        </is>
      </c>
      <c r="AA27" s="135" t="inlineStr">
        <is>
          <t>-</t>
        </is>
      </c>
      <c r="AB27" s="135" t="inlineStr">
        <is>
          <t>-</t>
        </is>
      </c>
      <c r="AC27" s="135">
        <f>SUM(Z27:AB27)</f>
        <v/>
      </c>
      <c r="AD27" s="135" t="inlineStr">
        <is>
          <t>-</t>
        </is>
      </c>
      <c r="AE27" s="135" t="n"/>
      <c r="AF27" s="135" t="inlineStr">
        <is>
          <t>-</t>
        </is>
      </c>
      <c r="AG27" s="252" t="n"/>
    </row>
    <row r="28" ht="60" customHeight="1" s="434">
      <c r="D28" s="395" t="inlineStr">
        <is>
          <t>S-08</t>
        </is>
      </c>
      <c r="E28" s="370">
        <f>'요약 통계'!D13</f>
        <v/>
      </c>
      <c r="F28" s="442" t="n"/>
      <c r="G28" s="442" t="n"/>
      <c r="H28" s="442" t="n"/>
      <c r="I28" s="435" t="n"/>
      <c r="J28" s="168">
        <f>'요약 통계'!E13</f>
        <v/>
      </c>
      <c r="K28" s="132">
        <f>IF(M28="N/A","-",'요약 통계'!F13)</f>
        <v/>
      </c>
      <c r="L28" s="133" t="inlineStr">
        <is>
          <t>TT-14</t>
        </is>
      </c>
      <c r="M28" s="125" t="inlineStr">
        <is>
          <t>Y</t>
        </is>
      </c>
      <c r="N28" s="134">
        <f>IF(M28="N",0,K28)</f>
        <v/>
      </c>
      <c r="O28" s="127" t="inlineStr">
        <is>
          <t xml:space="preserve">■ 기준 : Session Timeout 시간을 설정한 경우 "양호"
■ 현황 : </t>
        </is>
      </c>
      <c r="P28" s="88">
        <f>IF(M28="N",'잠재위험 및 대응책 DB'!A9,"-")</f>
        <v/>
      </c>
      <c r="Q28" s="88">
        <f>IF(M28="N",'잠재위험 및 대응책 DB'!B9,"-")</f>
        <v/>
      </c>
      <c r="R28" s="93" t="n"/>
      <c r="S28" s="135">
        <f>J28</f>
        <v/>
      </c>
      <c r="T28" s="135">
        <f>IF(S28="상",3,IF(S28="중",2,IF(S28="하",1,0)))</f>
        <v/>
      </c>
      <c r="U28" s="135">
        <f>IFERROR(IF(OR($M28="y",$M28="n/a"),"-",$G$10+(($K28-$N28)*2)),"-")</f>
        <v/>
      </c>
      <c r="V28" s="135">
        <f>IF(U28="-","-",IF(U28&gt;=7,"상",IF(U28&gt;=4,"중",IF(U28&gt;=2,"하","하"))))</f>
        <v/>
      </c>
      <c r="W28" s="135">
        <f>IF(U28="-","-",IF(U28&gt;=$I$10,"통제 적용","위험 수용"))</f>
        <v/>
      </c>
      <c r="X28" s="135">
        <f>IF(W28="통제 적용",D28,"-")</f>
        <v/>
      </c>
      <c r="Y28" s="179" t="n"/>
      <c r="Z28" s="135" t="inlineStr">
        <is>
          <t>-</t>
        </is>
      </c>
      <c r="AA28" s="135" t="inlineStr">
        <is>
          <t>-</t>
        </is>
      </c>
      <c r="AB28" s="135" t="inlineStr">
        <is>
          <t>-</t>
        </is>
      </c>
      <c r="AC28" s="135">
        <f>SUM(Z28:AB28)</f>
        <v/>
      </c>
      <c r="AD28" s="135" t="inlineStr">
        <is>
          <t>-</t>
        </is>
      </c>
      <c r="AE28" s="135" t="n"/>
      <c r="AF28" s="135" t="inlineStr">
        <is>
          <t>-</t>
        </is>
      </c>
      <c r="AG28" s="252" t="n"/>
    </row>
    <row r="29" ht="60" customHeight="1" s="434">
      <c r="B29">
        <f>'요약 통계'!B14</f>
        <v/>
      </c>
      <c r="D29" s="395" t="inlineStr">
        <is>
          <t>S-09</t>
        </is>
      </c>
      <c r="E29" s="370">
        <f>'요약 통계'!D14</f>
        <v/>
      </c>
      <c r="F29" s="442" t="n"/>
      <c r="G29" s="442" t="n"/>
      <c r="H29" s="442" t="n"/>
      <c r="I29" s="435" t="n"/>
      <c r="J29" s="168">
        <f>'요약 통계'!E14</f>
        <v/>
      </c>
      <c r="K29" s="132">
        <f>IF(M29="N/A","-",'요약 통계'!F14)</f>
        <v/>
      </c>
      <c r="L29" s="133" t="inlineStr">
        <is>
          <t>TT-15</t>
        </is>
      </c>
      <c r="M29" s="125" t="inlineStr">
        <is>
          <t>Y</t>
        </is>
      </c>
      <c r="N29" s="134">
        <f>IF(M29="N",0,K29)</f>
        <v/>
      </c>
      <c r="O29" s="127" t="inlineStr">
        <is>
          <t xml:space="preserve">■ 기준 : 패치적용정책을 수립하여 주기적으로 패치를 관리하고 있을 경우 "양호"
■ 현황 : </t>
        </is>
      </c>
      <c r="P29" s="88">
        <f>IF(M29="N",'잠재위험 및 대응책 DB'!A10,"-")</f>
        <v/>
      </c>
      <c r="Q29" s="88">
        <f>IF(M29="N",'잠재위험 및 대응책 DB'!B10,"-")</f>
        <v/>
      </c>
      <c r="R29" s="93" t="n"/>
      <c r="S29" s="135">
        <f>J29</f>
        <v/>
      </c>
      <c r="T29" s="135">
        <f>IF(S29="상",3,IF(S29="중",2,IF(S29="하",1,0)))</f>
        <v/>
      </c>
      <c r="U29" s="135">
        <f>IFERROR(IF(OR($M29="y",$M29="n/a"),"-",$G$10+(($K29-$N29)*2)),"-")</f>
        <v/>
      </c>
      <c r="V29" s="135">
        <f>IF(U29="-","-",IF(U29&gt;=7,"상",IF(U29&gt;=4,"중",IF(U29&gt;=2,"하","하"))))</f>
        <v/>
      </c>
      <c r="W29" s="135">
        <f>IF(U29="-","-",IF(U29&gt;=$I$10,"통제 적용","위험 수용"))</f>
        <v/>
      </c>
      <c r="X29" s="135">
        <f>IF(W29="통제 적용",D29,"-")</f>
        <v/>
      </c>
      <c r="Y29" s="179" t="n"/>
      <c r="Z29" s="135" t="inlineStr">
        <is>
          <t>-</t>
        </is>
      </c>
      <c r="AA29" s="135" t="inlineStr">
        <is>
          <t>-</t>
        </is>
      </c>
      <c r="AB29" s="135" t="inlineStr">
        <is>
          <t>-</t>
        </is>
      </c>
      <c r="AC29" s="135">
        <f>SUM(Z29:AB29)</f>
        <v/>
      </c>
      <c r="AD29" s="135" t="inlineStr">
        <is>
          <t>-</t>
        </is>
      </c>
      <c r="AE29" s="135" t="n"/>
      <c r="AF29" s="135" t="inlineStr">
        <is>
          <t>-</t>
        </is>
      </c>
      <c r="AG29" s="252" t="n"/>
    </row>
    <row r="30" ht="60" customHeight="1" s="434">
      <c r="B30">
        <f>'요약 통계'!B15</f>
        <v/>
      </c>
      <c r="D30" s="395" t="inlineStr">
        <is>
          <t>S-10</t>
        </is>
      </c>
      <c r="E30" s="370">
        <f>'요약 통계'!D15</f>
        <v/>
      </c>
      <c r="F30" s="442" t="n"/>
      <c r="G30" s="442" t="n"/>
      <c r="H30" s="442" t="n"/>
      <c r="I30" s="435" t="n"/>
      <c r="J30" s="168">
        <f>'요약 통계'!E15</f>
        <v/>
      </c>
      <c r="K30" s="132">
        <f>IF(M30="N/A","-",'요약 통계'!F15)</f>
        <v/>
      </c>
      <c r="L30" s="133" t="inlineStr">
        <is>
          <t>TT-15</t>
        </is>
      </c>
      <c r="M30" s="125" t="inlineStr">
        <is>
          <t>Y</t>
        </is>
      </c>
      <c r="N30" s="134">
        <f>IF(M30="N",0,K30)</f>
        <v/>
      </c>
      <c r="O30" s="127" t="inlineStr">
        <is>
          <t xml:space="preserve">■ 기준 : 정책에 따른 로그설정이 되어있는 경우 "양호"
■ 현황 : </t>
        </is>
      </c>
      <c r="P30" s="88">
        <f>IF(M30="N",'잠재위험 및 대응책 DB'!A11,"-")</f>
        <v/>
      </c>
      <c r="Q30" s="88">
        <f>IF(M30="N",'잠재위험 및 대응책 DB'!B11,"-")</f>
        <v/>
      </c>
      <c r="R30" s="93" t="n"/>
      <c r="S30" s="135">
        <f>J30</f>
        <v/>
      </c>
      <c r="T30" s="135">
        <f>IF(S30="상",3,IF(S30="중",2,IF(S30="하",1,0)))</f>
        <v/>
      </c>
      <c r="U30" s="135">
        <f>IFERROR(IF(OR($M30="y",$M30="n/a"),"-",$G$10+(($K30-$N30)*2)),"-")</f>
        <v/>
      </c>
      <c r="V30" s="135">
        <f>IF(U30="-","-",IF(U30&gt;=7,"상",IF(U30&gt;=4,"중",IF(U30&gt;=2,"하","하"))))</f>
        <v/>
      </c>
      <c r="W30" s="135">
        <f>IF(U30="-","-",IF(U30&gt;=$I$10,"통제 적용","위험 수용"))</f>
        <v/>
      </c>
      <c r="X30" s="135">
        <f>IF(W30="통제 적용",D30,"-")</f>
        <v/>
      </c>
      <c r="Y30" s="179" t="n"/>
      <c r="Z30" s="135" t="inlineStr">
        <is>
          <t>-</t>
        </is>
      </c>
      <c r="AA30" s="135" t="inlineStr">
        <is>
          <t>-</t>
        </is>
      </c>
      <c r="AB30" s="135" t="inlineStr">
        <is>
          <t>-</t>
        </is>
      </c>
      <c r="AC30" s="135">
        <f>SUM(Z30:AB30)</f>
        <v/>
      </c>
      <c r="AD30" s="135" t="inlineStr">
        <is>
          <t>-</t>
        </is>
      </c>
      <c r="AE30" s="135" t="n"/>
      <c r="AF30" s="135" t="inlineStr">
        <is>
          <t>-</t>
        </is>
      </c>
      <c r="AG30" s="252" t="n"/>
    </row>
    <row r="31" ht="60" customHeight="1" s="434">
      <c r="D31" s="395" t="inlineStr">
        <is>
          <t>S-11</t>
        </is>
      </c>
      <c r="E31" s="370">
        <f>'요약 통계'!D16</f>
        <v/>
      </c>
      <c r="F31" s="442" t="n"/>
      <c r="G31" s="442" t="n"/>
      <c r="H31" s="442" t="n"/>
      <c r="I31" s="435" t="n"/>
      <c r="J31" s="168">
        <f>'요약 통계'!E16</f>
        <v/>
      </c>
      <c r="K31" s="132">
        <f>IF(M31="N/A","-",'요약 통계'!F16)</f>
        <v/>
      </c>
      <c r="L31" s="133" t="inlineStr">
        <is>
          <t>TT-15</t>
        </is>
      </c>
      <c r="M31" s="125" t="inlineStr">
        <is>
          <t>Y</t>
        </is>
      </c>
      <c r="N31" s="134">
        <f>IF(M31="N",0,K31)</f>
        <v/>
      </c>
      <c r="O31" s="127" t="inlineStr">
        <is>
          <t xml:space="preserve">■ 기준 : 정책에 따라 로그보관 설정이 되어있는 경우 "양호"
■ 현황 : </t>
        </is>
      </c>
      <c r="P31" s="88">
        <f>IF(M31="N",'잠재위험 및 대응책 DB'!A12,"-")</f>
        <v/>
      </c>
      <c r="Q31" s="88">
        <f>IF(M31="N",'잠재위험 및 대응책 DB'!B12,"-")</f>
        <v/>
      </c>
      <c r="R31" s="93" t="n"/>
      <c r="S31" s="135">
        <f>J31</f>
        <v/>
      </c>
      <c r="T31" s="135">
        <f>IF(S31="상",3,IF(S31="중",2,IF(S31="하",1,0)))</f>
        <v/>
      </c>
      <c r="U31" s="135">
        <f>IFERROR(IF(OR($M31="y",$M31="n/a"),"-",$G$10+(($K31-$N31)*2)),"-")</f>
        <v/>
      </c>
      <c r="V31" s="135">
        <f>IF(U31="-","-",IF(U31&gt;=7,"상",IF(U31&gt;=4,"중",IF(U31&gt;=2,"하","하"))))</f>
        <v/>
      </c>
      <c r="W31" s="135">
        <f>IF(U31="-","-",IF(U31&gt;=$I$10,"통제 적용","위험 수용"))</f>
        <v/>
      </c>
      <c r="X31" s="135">
        <f>IF(W31="통제 적용",D31,"-")</f>
        <v/>
      </c>
      <c r="Y31" s="179" t="n"/>
      <c r="Z31" s="135" t="inlineStr">
        <is>
          <t>-</t>
        </is>
      </c>
      <c r="AA31" s="135" t="inlineStr">
        <is>
          <t>-</t>
        </is>
      </c>
      <c r="AB31" s="135" t="inlineStr">
        <is>
          <t>-</t>
        </is>
      </c>
      <c r="AC31" s="135">
        <f>SUM(Z31:AB31)</f>
        <v/>
      </c>
      <c r="AD31" s="135" t="inlineStr">
        <is>
          <t>-</t>
        </is>
      </c>
      <c r="AE31" s="135" t="n"/>
      <c r="AF31" s="135" t="inlineStr">
        <is>
          <t>-</t>
        </is>
      </c>
      <c r="AG31" s="252" t="n"/>
    </row>
    <row r="32" ht="60" customHeight="1" s="434">
      <c r="D32" s="395" t="inlineStr">
        <is>
          <t>S-12</t>
        </is>
      </c>
      <c r="E32" s="370">
        <f>'요약 통계'!D17</f>
        <v/>
      </c>
      <c r="F32" s="442" t="n"/>
      <c r="G32" s="442" t="n"/>
      <c r="H32" s="442" t="n"/>
      <c r="I32" s="435" t="n"/>
      <c r="J32" s="168">
        <f>'요약 통계'!E17</f>
        <v/>
      </c>
      <c r="K32" s="132">
        <f>IF(M32="N/A","-",'요약 통계'!F17)</f>
        <v/>
      </c>
      <c r="L32" s="133" t="inlineStr">
        <is>
          <t>TT-15</t>
        </is>
      </c>
      <c r="M32" s="125" t="inlineStr">
        <is>
          <t>Y</t>
        </is>
      </c>
      <c r="N32" s="134">
        <f>IF(M32="N",0,K32)</f>
        <v/>
      </c>
      <c r="O32" s="127" t="inlineStr">
        <is>
          <t xml:space="preserve">■ 기준 : 보안장비에 적용된 정책을 별도의 파일로 보관하고 있는 경우 "양호"
■ 현황 : </t>
        </is>
      </c>
      <c r="P32" s="88">
        <f>IF(M32="N",'잠재위험 및 대응책 DB'!A13,"-")</f>
        <v/>
      </c>
      <c r="Q32" s="88">
        <f>IF(M32="N",'잠재위험 및 대응책 DB'!B13,"-")</f>
        <v/>
      </c>
      <c r="R32" s="93" t="n"/>
      <c r="S32" s="135">
        <f>J32</f>
        <v/>
      </c>
      <c r="T32" s="135">
        <f>IF(S32="상",3,IF(S32="중",2,IF(S32="하",1,0)))</f>
        <v/>
      </c>
      <c r="U32" s="135">
        <f>IFERROR(IF(OR($M32="y",$M32="n/a"),"-",$G$10+(($K32-$N32)*2)),"-")</f>
        <v/>
      </c>
      <c r="V32" s="135">
        <f>IF(U32="-","-",IF(U32&gt;=7,"상",IF(U32&gt;=4,"중",IF(U32&gt;=2,"하","하"))))</f>
        <v/>
      </c>
      <c r="W32" s="135">
        <f>IF(U32="-","-",IF(U32&gt;=$I$10,"통제 적용","위험 수용"))</f>
        <v/>
      </c>
      <c r="X32" s="135">
        <f>IF(W32="통제 적용",D32,"-")</f>
        <v/>
      </c>
      <c r="Y32" s="179" t="n"/>
      <c r="Z32" s="135" t="inlineStr">
        <is>
          <t>-</t>
        </is>
      </c>
      <c r="AA32" s="135" t="inlineStr">
        <is>
          <t>-</t>
        </is>
      </c>
      <c r="AB32" s="135" t="inlineStr">
        <is>
          <t>-</t>
        </is>
      </c>
      <c r="AC32" s="135">
        <f>SUM(Z32:AB32)</f>
        <v/>
      </c>
      <c r="AD32" s="135" t="inlineStr">
        <is>
          <t>-</t>
        </is>
      </c>
      <c r="AE32" s="135" t="n"/>
      <c r="AF32" s="135" t="inlineStr">
        <is>
          <t>-</t>
        </is>
      </c>
      <c r="AG32" s="252" t="n"/>
    </row>
    <row r="33" ht="60" customHeight="1" s="434" thickBot="1">
      <c r="D33" s="200" t="inlineStr">
        <is>
          <t>S-13</t>
        </is>
      </c>
      <c r="E33" s="375">
        <f>'요약 통계'!D18</f>
        <v/>
      </c>
      <c r="F33" s="450" t="n"/>
      <c r="G33" s="450" t="n"/>
      <c r="H33" s="450" t="n"/>
      <c r="I33" s="451" t="n"/>
      <c r="J33" s="150">
        <f>'요약 통계'!E18</f>
        <v/>
      </c>
      <c r="K33" s="150">
        <f>IF(M33="N/A","-",'요약 통계'!F18)</f>
        <v/>
      </c>
      <c r="L33" s="151" t="inlineStr">
        <is>
          <t>TT-15</t>
        </is>
      </c>
      <c r="M33" s="152" t="inlineStr">
        <is>
          <t>Y</t>
        </is>
      </c>
      <c r="N33" s="153">
        <f>IF(M33="N",0,K33)</f>
        <v/>
      </c>
      <c r="O33" s="154" t="inlineStr">
        <is>
          <t xml:space="preserve">■ 기준 : 별도의 로그서버를 구축하여 통합 관리하는 경우 "양호"
■ 현황 : </t>
        </is>
      </c>
      <c r="P33" s="155">
        <f>IF(M33="N",'잠재위험 및 대응책 DB'!A14,"-")</f>
        <v/>
      </c>
      <c r="Q33" s="155">
        <f>IF(M33="N",'잠재위험 및 대응책 DB'!B14,"-")</f>
        <v/>
      </c>
      <c r="R33" s="93" t="n"/>
      <c r="S33" s="135">
        <f>J33</f>
        <v/>
      </c>
      <c r="T33" s="135">
        <f>IF(S33="상",3,IF(S33="중",2,IF(S33="하",1,0)))</f>
        <v/>
      </c>
      <c r="U33" s="135">
        <f>IFERROR(IF(OR($M33="y",$M33="n/a"),"-",$G$10+(($K33-$N33)*2)),"-")</f>
        <v/>
      </c>
      <c r="V33" s="135">
        <f>IF(U33="-","-",IF(U33&gt;=7,"상",IF(U33&gt;=4,"중",IF(U33&gt;=2,"하","하"))))</f>
        <v/>
      </c>
      <c r="W33" s="135">
        <f>IF(U33="-","-",IF(U33&gt;=$I$10,"통제 적용","위험 수용"))</f>
        <v/>
      </c>
      <c r="X33" s="135">
        <f>IF(W33="통제 적용",D33,"-")</f>
        <v/>
      </c>
      <c r="Y33" s="179" t="n"/>
      <c r="Z33" s="135" t="inlineStr">
        <is>
          <t>-</t>
        </is>
      </c>
      <c r="AA33" s="135" t="inlineStr">
        <is>
          <t>-</t>
        </is>
      </c>
      <c r="AB33" s="135" t="inlineStr">
        <is>
          <t>-</t>
        </is>
      </c>
      <c r="AC33" s="135">
        <f>SUM(Z33:AB33)</f>
        <v/>
      </c>
      <c r="AD33" s="135" t="inlineStr">
        <is>
          <t>-</t>
        </is>
      </c>
      <c r="AE33" s="135" t="n"/>
      <c r="AF33" s="135" t="inlineStr">
        <is>
          <t>-</t>
        </is>
      </c>
      <c r="AG33" s="252" t="n"/>
    </row>
    <row r="34" ht="60" customHeight="1" s="434">
      <c r="D34" s="141" t="inlineStr">
        <is>
          <t>S-14</t>
        </is>
      </c>
      <c r="E34" s="387">
        <f>'요약 통계'!D19</f>
        <v/>
      </c>
      <c r="F34" s="440" t="n"/>
      <c r="G34" s="440" t="n"/>
      <c r="H34" s="440" t="n"/>
      <c r="I34" s="441" t="n"/>
      <c r="J34" s="199">
        <f>'요약 통계'!E19</f>
        <v/>
      </c>
      <c r="K34" s="142">
        <f>IF(M34="N/A","-",'요약 통계'!F19)</f>
        <v/>
      </c>
      <c r="L34" s="143" t="inlineStr">
        <is>
          <t>TT-15</t>
        </is>
      </c>
      <c r="M34" s="187" t="inlineStr">
        <is>
          <t>Y</t>
        </is>
      </c>
      <c r="N34" s="145">
        <f>IF(M34="N",0,K34)</f>
        <v/>
      </c>
      <c r="O34" s="146" t="inlineStr">
        <is>
          <t xml:space="preserve">■ 기준 : NTP 및 시간 동기화 설정이 되어 있는 경우 "양호"
■ 현황 : </t>
        </is>
      </c>
      <c r="P34" s="97">
        <f>IF(M34="N",'잠재위험 및 대응책 DB'!A15,"-")</f>
        <v/>
      </c>
      <c r="Q34" s="97">
        <f>IF(M34="N",'잠재위험 및 대응책 DB'!B15,"-")</f>
        <v/>
      </c>
      <c r="R34" s="88" t="n"/>
      <c r="S34" s="140">
        <f>J34</f>
        <v/>
      </c>
      <c r="T34" s="92">
        <f>IF(S34="상",3,IF(S34="중",2,IF(S34="하",1,0)))</f>
        <v/>
      </c>
      <c r="U34" s="92">
        <f>IFERROR(IF(OR($M34="y",$M34="n/a"),"-",$G$10+(($K34-$N34)*2)),"-")</f>
        <v/>
      </c>
      <c r="V34" s="92">
        <f>IF(U34="-","-",IF(U34&gt;=7,"상",IF(U34&gt;=4,"중",IF(U34&gt;=2,"하","하"))))</f>
        <v/>
      </c>
      <c r="W34" s="92">
        <f>IF(U34="-","-",IF(U34&gt;=$I$10,"통제 적용","위험 수용"))</f>
        <v/>
      </c>
      <c r="X34" s="92">
        <f>IF(W34="통제 적용",D34,"-")</f>
        <v/>
      </c>
      <c r="Y34" s="179" t="n"/>
      <c r="Z34" s="140" t="inlineStr">
        <is>
          <t>-</t>
        </is>
      </c>
      <c r="AA34" s="140" t="inlineStr">
        <is>
          <t>-</t>
        </is>
      </c>
      <c r="AB34" s="140" t="inlineStr">
        <is>
          <t>-</t>
        </is>
      </c>
      <c r="AC34" s="140">
        <f>SUM(Z34:AB34)</f>
        <v/>
      </c>
      <c r="AD34" s="140" t="inlineStr">
        <is>
          <t>-</t>
        </is>
      </c>
      <c r="AE34" s="140" t="n"/>
      <c r="AF34" s="140" t="inlineStr">
        <is>
          <t>-</t>
        </is>
      </c>
      <c r="AG34" s="253" t="n"/>
    </row>
    <row r="35" ht="60" customHeight="1" s="434">
      <c r="B35">
        <f>'요약 통계'!B20</f>
        <v/>
      </c>
      <c r="D35" s="141" t="inlineStr">
        <is>
          <t>S-15</t>
        </is>
      </c>
      <c r="E35" s="380">
        <f>'요약 통계'!D20</f>
        <v/>
      </c>
      <c r="F35" s="442" t="n"/>
      <c r="G35" s="442" t="n"/>
      <c r="H35" s="442" t="n"/>
      <c r="I35" s="435" t="n"/>
      <c r="J35" s="168">
        <f>'요약 통계'!E20</f>
        <v/>
      </c>
      <c r="K35" s="137">
        <f>IF(M35="N/A","-",'요약 통계'!F20)</f>
        <v/>
      </c>
      <c r="L35" s="138" t="inlineStr">
        <is>
          <t>TT-14</t>
        </is>
      </c>
      <c r="M35" s="126" t="inlineStr">
        <is>
          <t>Y</t>
        </is>
      </c>
      <c r="N35" s="139">
        <f>IF(M35="N",0,K35)</f>
        <v/>
      </c>
      <c r="O35" s="128" t="inlineStr">
        <is>
          <t xml:space="preserve">■ 기준 : 정책에 대한 주기적인 검사로 미 사용 및 중복된 정책을 확인하여 제거하는 경우 "양호"
■ 현황 : </t>
        </is>
      </c>
      <c r="P35" s="97">
        <f>IF(M35="N",'잠재위험 및 대응책 DB'!A16,"-")</f>
        <v/>
      </c>
      <c r="Q35" s="97">
        <f>IF(M35="N",'잠재위험 및 대응책 DB'!B16,"-")</f>
        <v/>
      </c>
      <c r="R35" s="88" t="n"/>
      <c r="S35" s="140">
        <f>J35</f>
        <v/>
      </c>
      <c r="T35" s="92">
        <f>IF(S35="상",3,IF(S35="중",2,IF(S35="하",1,0)))</f>
        <v/>
      </c>
      <c r="U35" s="92">
        <f>IFERROR(IF(OR($M35="y",$M35="n/a"),"-",$G$10+(($K35-$N35)*2)),"-")</f>
        <v/>
      </c>
      <c r="V35" s="92">
        <f>IF(U35="-","-",IF(U35&gt;=7,"상",IF(U35&gt;=4,"중",IF(U35&gt;=2,"하","하"))))</f>
        <v/>
      </c>
      <c r="W35" s="92">
        <f>IF(U35="-","-",IF(U35&gt;=$I$10,"통제 적용","위험 수용"))</f>
        <v/>
      </c>
      <c r="X35" s="92">
        <f>IF(W35="통제 적용",D35,"-")</f>
        <v/>
      </c>
      <c r="Y35" s="179" t="n"/>
      <c r="Z35" s="140" t="inlineStr">
        <is>
          <t>-</t>
        </is>
      </c>
      <c r="AA35" s="140" t="inlineStr">
        <is>
          <t>-</t>
        </is>
      </c>
      <c r="AB35" s="140" t="inlineStr">
        <is>
          <t>-</t>
        </is>
      </c>
      <c r="AC35" s="140">
        <f>SUM(Z35:AB35)</f>
        <v/>
      </c>
      <c r="AD35" s="140" t="inlineStr">
        <is>
          <t>-</t>
        </is>
      </c>
      <c r="AE35" s="140" t="n"/>
      <c r="AF35" s="140" t="inlineStr">
        <is>
          <t>-</t>
        </is>
      </c>
      <c r="AG35" s="253" t="n"/>
    </row>
    <row r="36" ht="60" customHeight="1" s="434">
      <c r="D36" s="141" t="inlineStr">
        <is>
          <t>S-16</t>
        </is>
      </c>
      <c r="E36" s="380">
        <f>'요약 통계'!D21</f>
        <v/>
      </c>
      <c r="F36" s="442" t="n"/>
      <c r="G36" s="442" t="n"/>
      <c r="H36" s="442" t="n"/>
      <c r="I36" s="435" t="n"/>
      <c r="J36" s="168">
        <f>'요약 통계'!E21</f>
        <v/>
      </c>
      <c r="K36" s="137">
        <f>IF(M36="N/A","-",'요약 통계'!F21)</f>
        <v/>
      </c>
      <c r="L36" s="138" t="inlineStr">
        <is>
          <t>TT-14</t>
        </is>
      </c>
      <c r="M36" s="126" t="inlineStr">
        <is>
          <t>Y</t>
        </is>
      </c>
      <c r="N36" s="139">
        <f>IF(M36="N",0,K36)</f>
        <v/>
      </c>
      <c r="O36" s="128" t="inlineStr">
        <is>
          <t xml:space="preserve">■ 기준 : NAT 설정으로 내부네트워크를 보호하는 경우 "양호"
■ 현황 : </t>
        </is>
      </c>
      <c r="P36" s="97">
        <f>IF(M36="N",'잠재위험 및 대응책 DB'!A17,"-")</f>
        <v/>
      </c>
      <c r="Q36" s="97">
        <f>IF(M36="N",'잠재위험 및 대응책 DB'!B17,"-")</f>
        <v/>
      </c>
      <c r="R36" s="88" t="n"/>
      <c r="S36" s="140">
        <f>J36</f>
        <v/>
      </c>
      <c r="T36" s="92">
        <f>IF(S36="상",3,IF(S36="중",2,IF(S36="하",1,0)))</f>
        <v/>
      </c>
      <c r="U36" s="92">
        <f>IFERROR(IF(OR($M36="y",$M36="n/a"),"-",$G$10+(($K36-$N36)*2)),"-")</f>
        <v/>
      </c>
      <c r="V36" s="92">
        <f>IF(U36="-","-",IF(U36&gt;=7,"상",IF(U36&gt;=4,"중",IF(U36&gt;=2,"하","하"))))</f>
        <v/>
      </c>
      <c r="W36" s="92">
        <f>IF(U36="-","-",IF(U36&gt;=$I$10,"통제 적용","위험 수용"))</f>
        <v/>
      </c>
      <c r="X36" s="92">
        <f>IF(W36="통제 적용",D36,"-")</f>
        <v/>
      </c>
      <c r="Y36" s="179" t="n"/>
      <c r="Z36" s="140" t="inlineStr">
        <is>
          <t>-</t>
        </is>
      </c>
      <c r="AA36" s="140" t="inlineStr">
        <is>
          <t>-</t>
        </is>
      </c>
      <c r="AB36" s="140" t="inlineStr">
        <is>
          <t>-</t>
        </is>
      </c>
      <c r="AC36" s="140">
        <f>SUM(Z36:AB36)</f>
        <v/>
      </c>
      <c r="AD36" s="140" t="inlineStr">
        <is>
          <t>-</t>
        </is>
      </c>
      <c r="AE36" s="140" t="n"/>
      <c r="AF36" s="140" t="inlineStr">
        <is>
          <t>-</t>
        </is>
      </c>
      <c r="AG36" s="253" t="n"/>
    </row>
    <row r="37" ht="60" customHeight="1" s="434">
      <c r="D37" s="141" t="inlineStr">
        <is>
          <t>S-17</t>
        </is>
      </c>
      <c r="E37" s="380">
        <f>'요약 통계'!D22</f>
        <v/>
      </c>
      <c r="F37" s="442" t="n"/>
      <c r="G37" s="442" t="n"/>
      <c r="H37" s="442" t="n"/>
      <c r="I37" s="435" t="n"/>
      <c r="J37" s="168">
        <f>'요약 통계'!E22</f>
        <v/>
      </c>
      <c r="K37" s="137">
        <f>IF(M37="N/A","-",'요약 통계'!F22)</f>
        <v/>
      </c>
      <c r="L37" s="138" t="inlineStr">
        <is>
          <t>TT-14</t>
        </is>
      </c>
      <c r="M37" s="126" t="inlineStr">
        <is>
          <t>Y</t>
        </is>
      </c>
      <c r="N37" s="139">
        <f>IF(M37="N",0,K37)</f>
        <v/>
      </c>
      <c r="O37" s="128" t="inlineStr">
        <is>
          <t xml:space="preserve">■ 기준 : DMZ를 구성하여 내부네트워크를 보호하는 경우 "양호"
■ 현황 : </t>
        </is>
      </c>
      <c r="P37" s="97">
        <f>IF(M37="N",'잠재위험 및 대응책 DB'!A18,"-")</f>
        <v/>
      </c>
      <c r="Q37" s="97">
        <f>IF(M37="N",'잠재위험 및 대응책 DB'!B18,"-")</f>
        <v/>
      </c>
      <c r="R37" s="88" t="n"/>
      <c r="S37" s="140">
        <f>J37</f>
        <v/>
      </c>
      <c r="T37" s="92">
        <f>IF(S37="상",3,IF(S37="중",2,IF(S37="하",1,0)))</f>
        <v/>
      </c>
      <c r="U37" s="92">
        <f>IFERROR(IF(OR($M37="y",$M37="n/a"),"-",$G$10+(($K37-$N37)*2)),"-")</f>
        <v/>
      </c>
      <c r="V37" s="92">
        <f>IF(U37="-","-",IF(U37&gt;=7,"상",IF(U37&gt;=4,"중",IF(U37&gt;=2,"하","하"))))</f>
        <v/>
      </c>
      <c r="W37" s="92">
        <f>IF(U37="-","-",IF(U37&gt;=$I$10,"통제 적용","위험 수용"))</f>
        <v/>
      </c>
      <c r="X37" s="92">
        <f>IF(W37="통제 적용",D37,"-")</f>
        <v/>
      </c>
      <c r="Y37" s="179" t="n"/>
      <c r="Z37" s="140" t="inlineStr">
        <is>
          <t>-</t>
        </is>
      </c>
      <c r="AA37" s="140" t="inlineStr">
        <is>
          <t>-</t>
        </is>
      </c>
      <c r="AB37" s="140" t="inlineStr">
        <is>
          <t>-</t>
        </is>
      </c>
      <c r="AC37" s="140">
        <f>SUM(Z37:AB37)</f>
        <v/>
      </c>
      <c r="AD37" s="140" t="inlineStr">
        <is>
          <t>-</t>
        </is>
      </c>
      <c r="AE37" s="140" t="n"/>
      <c r="AF37" s="140" t="inlineStr">
        <is>
          <t>-</t>
        </is>
      </c>
      <c r="AG37" s="253" t="n"/>
    </row>
    <row r="38" ht="60" customHeight="1" s="434">
      <c r="D38" s="141" t="inlineStr">
        <is>
          <t>S-18</t>
        </is>
      </c>
      <c r="E38" s="380">
        <f>'요약 통계'!D23</f>
        <v/>
      </c>
      <c r="F38" s="442" t="n"/>
      <c r="G38" s="442" t="n"/>
      <c r="H38" s="442" t="n"/>
      <c r="I38" s="435" t="n"/>
      <c r="J38" s="168">
        <f>'요약 통계'!E23</f>
        <v/>
      </c>
      <c r="K38" s="137">
        <f>IF(M38="N/A","-",'요약 통계'!F23)</f>
        <v/>
      </c>
      <c r="L38" s="138" t="inlineStr">
        <is>
          <t>TT-14</t>
        </is>
      </c>
      <c r="M38" s="126" t="inlineStr">
        <is>
          <t>Y</t>
        </is>
      </c>
      <c r="N38" s="139">
        <f>IF(M38="N",0,K38)</f>
        <v/>
      </c>
      <c r="O38" s="128" t="inlineStr">
        <is>
          <t xml:space="preserve">■ 기준 : all deny 설정을 하고, 방화벽에 최소서비스만 허용할 경우 "양호"
■ 현황 : </t>
        </is>
      </c>
      <c r="P38" s="97">
        <f>IF(M38="N",'잠재위험 및 대응책 DB'!A19,"-")</f>
        <v/>
      </c>
      <c r="Q38" s="97">
        <f>IF(M38="N",'잠재위험 및 대응책 DB'!B19,"-")</f>
        <v/>
      </c>
      <c r="R38" s="88" t="n"/>
      <c r="S38" s="140">
        <f>J38</f>
        <v/>
      </c>
      <c r="T38" s="92">
        <f>IF(S38="상",3,IF(S38="중",2,IF(S38="하",1,0)))</f>
        <v/>
      </c>
      <c r="U38" s="92">
        <f>IFERROR(IF(OR($M38="y",$M38="n/a"),"-",$G$10+(($K38-$N38)*2)),"-")</f>
        <v/>
      </c>
      <c r="V38" s="92">
        <f>IF(U38="-","-",IF(U38&gt;=7,"상",IF(U38&gt;=4,"중",IF(U38&gt;=2,"하","하"))))</f>
        <v/>
      </c>
      <c r="W38" s="92">
        <f>IF(U38="-","-",IF(U38&gt;=$I$10,"통제 적용","위험 수용"))</f>
        <v/>
      </c>
      <c r="X38" s="92">
        <f>IF(W38="통제 적용",D38,"-")</f>
        <v/>
      </c>
      <c r="Y38" s="179" t="n"/>
      <c r="Z38" s="140" t="inlineStr">
        <is>
          <t>-</t>
        </is>
      </c>
      <c r="AA38" s="140" t="inlineStr">
        <is>
          <t>-</t>
        </is>
      </c>
      <c r="AB38" s="140" t="inlineStr">
        <is>
          <t>-</t>
        </is>
      </c>
      <c r="AC38" s="140">
        <f>SUM(Z38:AB38)</f>
        <v/>
      </c>
      <c r="AD38" s="140" t="inlineStr">
        <is>
          <t>-</t>
        </is>
      </c>
      <c r="AE38" s="140" t="n"/>
      <c r="AF38" s="140" t="inlineStr">
        <is>
          <t>-</t>
        </is>
      </c>
      <c r="AG38" s="253" t="n"/>
    </row>
    <row r="39" ht="60" customHeight="1" s="434">
      <c r="D39" s="141" t="inlineStr">
        <is>
          <t>S-19</t>
        </is>
      </c>
      <c r="E39" s="380">
        <f>'요약 통계'!D24</f>
        <v/>
      </c>
      <c r="F39" s="442" t="n"/>
      <c r="G39" s="442" t="n"/>
      <c r="H39" s="442" t="n"/>
      <c r="I39" s="435" t="n"/>
      <c r="J39" s="168">
        <f>'요약 통계'!E24</f>
        <v/>
      </c>
      <c r="K39" s="137">
        <f>IF(M39="N/A","-",'요약 통계'!F24)</f>
        <v/>
      </c>
      <c r="L39" s="138" t="inlineStr">
        <is>
          <t>TT-14</t>
        </is>
      </c>
      <c r="M39" s="126" t="inlineStr">
        <is>
          <t>Y</t>
        </is>
      </c>
      <c r="N39" s="139">
        <f>IF(M39="N",0,K39)</f>
        <v/>
      </c>
      <c r="O39" s="128" t="inlineStr">
        <is>
          <t xml:space="preserve">■ 기준 : 이상징후 탐지 시 관리자에게 이메일이나 SMS로 통보되는 경우 "양호"
■ 현황 : </t>
        </is>
      </c>
      <c r="P39" s="97">
        <f>IF(M39="N",'잠재위험 및 대응책 DB'!A20,"-")</f>
        <v/>
      </c>
      <c r="Q39" s="97">
        <f>IF(M39="N",'잠재위험 및 대응책 DB'!B20,"-")</f>
        <v/>
      </c>
      <c r="R39" s="88" t="n"/>
      <c r="S39" s="140">
        <f>J39</f>
        <v/>
      </c>
      <c r="T39" s="92">
        <f>IF(S39="상",3,IF(S39="중",2,IF(S39="하",1,0)))</f>
        <v/>
      </c>
      <c r="U39" s="92">
        <f>IFERROR(IF(OR($M39="y",$M39="n/a"),"-",$G$10+(($K39-$N39)*2)),"-")</f>
        <v/>
      </c>
      <c r="V39" s="92">
        <f>IF(U39="-","-",IF(U39&gt;=7,"상",IF(U39&gt;=4,"중",IF(U39&gt;=2,"하","하"))))</f>
        <v/>
      </c>
      <c r="W39" s="92">
        <f>IF(U39="-","-",IF(U39&gt;=$I$10,"통제 적용","위험 수용"))</f>
        <v/>
      </c>
      <c r="X39" s="92">
        <f>IF(W39="통제 적용",D39,"-")</f>
        <v/>
      </c>
      <c r="Y39" s="179" t="n"/>
      <c r="Z39" s="140" t="inlineStr">
        <is>
          <t>-</t>
        </is>
      </c>
      <c r="AA39" s="140" t="inlineStr">
        <is>
          <t>-</t>
        </is>
      </c>
      <c r="AB39" s="140" t="inlineStr">
        <is>
          <t>-</t>
        </is>
      </c>
      <c r="AC39" s="140">
        <f>SUM(Z39:AB39)</f>
        <v/>
      </c>
      <c r="AD39" s="140" t="inlineStr">
        <is>
          <t>-</t>
        </is>
      </c>
      <c r="AE39" s="140" t="n"/>
      <c r="AF39" s="140" t="inlineStr">
        <is>
          <t>-</t>
        </is>
      </c>
      <c r="AG39" s="253" t="n"/>
    </row>
    <row r="40" ht="60" customHeight="1" s="434">
      <c r="D40" s="141" t="inlineStr">
        <is>
          <t>S-20</t>
        </is>
      </c>
      <c r="E40" s="380">
        <f>'요약 통계'!D25</f>
        <v/>
      </c>
      <c r="F40" s="442" t="n"/>
      <c r="G40" s="442" t="n"/>
      <c r="H40" s="442" t="n"/>
      <c r="I40" s="435" t="n"/>
      <c r="J40" s="168">
        <f>'요약 통계'!E25</f>
        <v/>
      </c>
      <c r="K40" s="137">
        <f>IF(M40="N/A","-",'요약 통계'!F25)</f>
        <v/>
      </c>
      <c r="L40" s="138" t="inlineStr">
        <is>
          <t>TT-14</t>
        </is>
      </c>
      <c r="M40" s="126" t="inlineStr">
        <is>
          <t>Y</t>
        </is>
      </c>
      <c r="N40" s="139">
        <f>IF(M40="N",0,K40)</f>
        <v/>
      </c>
      <c r="O40" s="128" t="inlineStr">
        <is>
          <t xml:space="preserve">■ 기준 : 장비사용량을 정기적으로 모니터링 및 검토할 경우 "양호"
■ 현황 : </t>
        </is>
      </c>
      <c r="P40" s="97">
        <f>IF(M40="N",'잠재위험 및 대응책 DB'!A21,"-")</f>
        <v/>
      </c>
      <c r="Q40" s="97">
        <f>IF(M40="N",'잠재위험 및 대응책 DB'!B21,"-")</f>
        <v/>
      </c>
      <c r="R40" s="88" t="n"/>
      <c r="S40" s="140">
        <f>J40</f>
        <v/>
      </c>
      <c r="T40" s="92">
        <f>IF(S40="상",3,IF(S40="중",2,IF(S40="하",1,0)))</f>
        <v/>
      </c>
      <c r="U40" s="92">
        <f>IFERROR(IF(OR($M40="y",$M40="n/a"),"-",$G$10+(($K40-$N40)*2)),"-")</f>
        <v/>
      </c>
      <c r="V40" s="92">
        <f>IF(U40="-","-",IF(U40&gt;=7,"상",IF(U40&gt;=4,"중",IF(U40&gt;=2,"하","하"))))</f>
        <v/>
      </c>
      <c r="W40" s="92">
        <f>IF(U40="-","-",IF(U40&gt;=$I$10,"통제 적용","위험 수용"))</f>
        <v/>
      </c>
      <c r="X40" s="92">
        <f>IF(W40="통제 적용",D40,"-")</f>
        <v/>
      </c>
      <c r="Y40" s="179" t="n"/>
      <c r="Z40" s="140" t="inlineStr">
        <is>
          <t>-</t>
        </is>
      </c>
      <c r="AA40" s="140" t="inlineStr">
        <is>
          <t>-</t>
        </is>
      </c>
      <c r="AB40" s="140" t="inlineStr">
        <is>
          <t>-</t>
        </is>
      </c>
      <c r="AC40" s="140">
        <f>SUM(Z40:AB40)</f>
        <v/>
      </c>
      <c r="AD40" s="140" t="inlineStr">
        <is>
          <t>-</t>
        </is>
      </c>
      <c r="AE40" s="140" t="n"/>
      <c r="AF40" s="140" t="inlineStr">
        <is>
          <t>-</t>
        </is>
      </c>
      <c r="AG40" s="253" t="n"/>
    </row>
    <row r="41" ht="60" customHeight="1" s="434">
      <c r="D41" s="141" t="inlineStr">
        <is>
          <t>S-21</t>
        </is>
      </c>
      <c r="E41" s="380">
        <f>'요약 통계'!D26</f>
        <v/>
      </c>
      <c r="F41" s="442" t="n"/>
      <c r="G41" s="442" t="n"/>
      <c r="H41" s="442" t="n"/>
      <c r="I41" s="435" t="n"/>
      <c r="J41" s="168">
        <f>'요약 통계'!E26</f>
        <v/>
      </c>
      <c r="K41" s="137">
        <f>IF(M41="N/A","-",'요약 통계'!F26)</f>
        <v/>
      </c>
      <c r="L41" s="138" t="inlineStr">
        <is>
          <t>TT-14</t>
        </is>
      </c>
      <c r="M41" s="126" t="inlineStr">
        <is>
          <t>Y</t>
        </is>
      </c>
      <c r="N41" s="139">
        <f>IF(M41="N",0,K41)</f>
        <v/>
      </c>
      <c r="O41" s="128" t="inlineStr">
        <is>
          <t xml:space="preserve">■ 기준 : SNMP 서비스를 불필요하게 사용하지 않는 경우 "양호"
■ 현황 : </t>
        </is>
      </c>
      <c r="P41" s="97">
        <f>IF(M41="N",'잠재위험 및 대응책 DB'!A22,"-")</f>
        <v/>
      </c>
      <c r="Q41" s="97">
        <f>IF(M41="N",'잠재위험 및 대응책 DB'!B22,"-")</f>
        <v/>
      </c>
      <c r="R41" s="88" t="n"/>
      <c r="S41" s="140">
        <f>J41</f>
        <v/>
      </c>
      <c r="T41" s="92">
        <f>IF(S41="상",3,IF(S41="중",2,IF(S41="하",1,0)))</f>
        <v/>
      </c>
      <c r="U41" s="92">
        <f>IFERROR(IF(OR($M41="y",$M41="n/a"),"-",$G$10+(($K41-$N41)*2)),"-")</f>
        <v/>
      </c>
      <c r="V41" s="92">
        <f>IF(U41="-","-",IF(U41&gt;=7,"상",IF(U41&gt;=4,"중",IF(U41&gt;=2,"하","하"))))</f>
        <v/>
      </c>
      <c r="W41" s="92">
        <f>IF(U41="-","-",IF(U41&gt;=$I$10,"통제 적용","위험 수용"))</f>
        <v/>
      </c>
      <c r="X41" s="92">
        <f>IF(W41="통제 적용",D41,"-")</f>
        <v/>
      </c>
      <c r="Y41" s="179" t="n"/>
      <c r="Z41" s="140" t="inlineStr">
        <is>
          <t>-</t>
        </is>
      </c>
      <c r="AA41" s="140" t="inlineStr">
        <is>
          <t>-</t>
        </is>
      </c>
      <c r="AB41" s="140" t="inlineStr">
        <is>
          <t>-</t>
        </is>
      </c>
      <c r="AC41" s="140">
        <f>SUM(Z41:AB41)</f>
        <v/>
      </c>
      <c r="AD41" s="140" t="inlineStr">
        <is>
          <t>-</t>
        </is>
      </c>
      <c r="AE41" s="140" t="n"/>
      <c r="AF41" s="140" t="inlineStr">
        <is>
          <t>-</t>
        </is>
      </c>
      <c r="AG41" s="253" t="n"/>
    </row>
    <row r="42" ht="60" customHeight="1" s="434">
      <c r="D42" s="141" t="inlineStr">
        <is>
          <t>S-22</t>
        </is>
      </c>
      <c r="E42" s="380">
        <f>'요약 통계'!D27</f>
        <v/>
      </c>
      <c r="F42" s="442" t="n"/>
      <c r="G42" s="442" t="n"/>
      <c r="H42" s="442" t="n"/>
      <c r="I42" s="435" t="n"/>
      <c r="J42" s="168">
        <f>'요약 통계'!E27</f>
        <v/>
      </c>
      <c r="K42" s="137">
        <f>IF(M42="N/A","-",'요약 통계'!F27)</f>
        <v/>
      </c>
      <c r="L42" s="138" t="inlineStr">
        <is>
          <t>TT-14</t>
        </is>
      </c>
      <c r="M42" s="126" t="inlineStr">
        <is>
          <t>Y</t>
        </is>
      </c>
      <c r="N42" s="139">
        <f>IF(M42="N",0,K42)</f>
        <v/>
      </c>
      <c r="O42" s="128" t="inlineStr">
        <is>
          <t xml:space="preserve">■ 기준 : SNMP 서비스를 사용하지 않거나, 유추하기 어려운 community string을 설정한 경우 "양호"
■ 현황 : </t>
        </is>
      </c>
      <c r="P42" s="97">
        <f>IF(M42="N",'잠재위험 및 대응책 DB'!A23,"-")</f>
        <v/>
      </c>
      <c r="Q42" s="97">
        <f>IF(M42="N",'잠재위험 및 대응책 DB'!B23,"-")</f>
        <v/>
      </c>
      <c r="R42" s="88" t="n"/>
      <c r="S42" s="140">
        <f>J42</f>
        <v/>
      </c>
      <c r="T42" s="92">
        <f>IF(S42="상",3,IF(S42="중",2,IF(S42="하",1,0)))</f>
        <v/>
      </c>
      <c r="U42" s="92">
        <f>IFERROR(IF(OR($M42="y",$M42="n/a"),"-",$G$10+(($K42-$N42)*2)),"-")</f>
        <v/>
      </c>
      <c r="V42" s="92">
        <f>IF(U42="-","-",IF(U42&gt;=7,"상",IF(U42&gt;=4,"중",IF(U42&gt;=2,"하","하"))))</f>
        <v/>
      </c>
      <c r="W42" s="92">
        <f>IF(U42="-","-",IF(U42&gt;=$I$10,"통제 적용","위험 수용"))</f>
        <v/>
      </c>
      <c r="X42" s="92">
        <f>IF(W42="통제 적용",D42,"-")</f>
        <v/>
      </c>
      <c r="Y42" s="179" t="n"/>
      <c r="Z42" s="140" t="inlineStr">
        <is>
          <t>-</t>
        </is>
      </c>
      <c r="AA42" s="140" t="inlineStr">
        <is>
          <t>-</t>
        </is>
      </c>
      <c r="AB42" s="140" t="inlineStr">
        <is>
          <t>-</t>
        </is>
      </c>
      <c r="AC42" s="140">
        <f>SUM(Z42:AB42)</f>
        <v/>
      </c>
      <c r="AD42" s="140" t="inlineStr">
        <is>
          <t>-</t>
        </is>
      </c>
      <c r="AE42" s="140" t="n"/>
      <c r="AF42" s="140" t="inlineStr">
        <is>
          <t>-</t>
        </is>
      </c>
      <c r="AG42" s="253" t="n"/>
    </row>
    <row r="43" ht="60" customHeight="1" s="434">
      <c r="D43" s="141" t="inlineStr">
        <is>
          <t>S-23</t>
        </is>
      </c>
      <c r="E43" s="380">
        <f>'요약 통계'!D28</f>
        <v/>
      </c>
      <c r="F43" s="442" t="n"/>
      <c r="G43" s="442" t="n"/>
      <c r="H43" s="442" t="n"/>
      <c r="I43" s="435" t="n"/>
      <c r="J43" s="168">
        <f>'요약 통계'!E28</f>
        <v/>
      </c>
      <c r="K43" s="137">
        <f>IF(M43="N/A","-",'요약 통계'!F28)</f>
        <v/>
      </c>
      <c r="L43" s="138" t="inlineStr">
        <is>
          <t>TT-14</t>
        </is>
      </c>
      <c r="M43" s="126" t="inlineStr">
        <is>
          <t>Y</t>
        </is>
      </c>
      <c r="N43" s="139">
        <f>IF(M43="N",0,K43)</f>
        <v/>
      </c>
      <c r="O43" s="128" t="inlineStr">
        <is>
          <t xml:space="preserve">■ 기준 : 유해트래픽 차단정책이 설정되어 있는 경우 "양호"
■ 현황 : </t>
        </is>
      </c>
      <c r="P43" s="97">
        <f>IF(M43="N",'잠재위험 및 대응책 DB'!A24,"-")</f>
        <v/>
      </c>
      <c r="Q43" s="97">
        <f>IF(M43="N",'잠재위험 및 대응책 DB'!B24,"-")</f>
        <v/>
      </c>
      <c r="R43" s="88" t="n"/>
      <c r="S43" s="140">
        <f>J43</f>
        <v/>
      </c>
      <c r="T43" s="92">
        <f>IF(S43="상",3,IF(S43="중",2,IF(S43="하",1,0)))</f>
        <v/>
      </c>
      <c r="U43" s="92">
        <f>IFERROR(IF(OR($M43="y",$M43="n/a"),"-",$G$10+(($K43-$N43)*2)),"-")</f>
        <v/>
      </c>
      <c r="V43" s="92">
        <f>IF(U43="-","-",IF(U43&gt;=7,"상",IF(U43&gt;=4,"중",IF(U43&gt;=2,"하","하"))))</f>
        <v/>
      </c>
      <c r="W43" s="92">
        <f>IF(U43="-","-",IF(U43&gt;=$I$10,"통제 적용","위험 수용"))</f>
        <v/>
      </c>
      <c r="X43" s="92">
        <f>IF(W43="통제 적용",D43,"-")</f>
        <v/>
      </c>
      <c r="Y43" s="179" t="n"/>
      <c r="Z43" s="140" t="inlineStr">
        <is>
          <t>-</t>
        </is>
      </c>
      <c r="AA43" s="140" t="inlineStr">
        <is>
          <t>-</t>
        </is>
      </c>
      <c r="AB43" s="140" t="inlineStr">
        <is>
          <t>-</t>
        </is>
      </c>
      <c r="AC43" s="140">
        <f>SUM(Z43:AB43)</f>
        <v/>
      </c>
      <c r="AD43" s="140" t="inlineStr">
        <is>
          <t>-</t>
        </is>
      </c>
      <c r="AE43" s="140" t="n"/>
      <c r="AF43" s="140" t="inlineStr">
        <is>
          <t>-</t>
        </is>
      </c>
      <c r="AG43" s="253" t="n"/>
    </row>
    <row r="44" ht="60" customHeight="1" s="434">
      <c r="J44" s="13" t="n">
        <v>5</v>
      </c>
      <c r="K44" s="13" t="n"/>
      <c r="L44" s="13" t="n"/>
      <c r="M44" s="13">
        <f>COUNTIF($U$21:$U$87,5)</f>
        <v/>
      </c>
    </row>
    <row r="45" ht="60" customHeight="1" s="434">
      <c r="J45" s="13" t="n">
        <v>6</v>
      </c>
      <c r="K45" s="13" t="n"/>
      <c r="L45" s="13" t="n"/>
      <c r="M45" s="13">
        <f>COUNTIF($U$21:$U$87,6)</f>
        <v/>
      </c>
    </row>
    <row r="46" ht="60" customHeight="1" s="434">
      <c r="J46" s="13" t="n">
        <v>7</v>
      </c>
      <c r="K46" s="13" t="n"/>
      <c r="L46" s="13" t="n"/>
      <c r="M46" s="13">
        <f>COUNTIF($U$21:$U$87,7)</f>
        <v/>
      </c>
    </row>
    <row r="47" ht="60" customHeight="1" s="434">
      <c r="J47" s="13" t="n">
        <v>8</v>
      </c>
      <c r="K47" s="13" t="n"/>
      <c r="L47" s="13" t="n"/>
      <c r="M47" s="13">
        <f>COUNTIF($U$21:$U$87,8)</f>
        <v/>
      </c>
    </row>
    <row r="48" ht="60" customHeight="1" s="434">
      <c r="J48" s="13" t="n">
        <v>9</v>
      </c>
      <c r="K48" s="13" t="n"/>
      <c r="L48" s="13" t="n"/>
      <c r="M48" s="13">
        <f>COUNTIF($U$21:$U$87,9)</f>
        <v/>
      </c>
    </row>
    <row r="49" ht="60" customHeight="1" s="434"/>
    <row r="50" ht="60" customHeight="1" s="434"/>
    <row r="51" ht="60" customHeight="1" s="434"/>
    <row r="52" ht="60" customHeight="1" s="434"/>
    <row r="53" ht="60" customHeight="1" s="434" thickBot="1"/>
    <row r="54" ht="60" customHeight="1" s="434"/>
    <row r="55" ht="60" customHeight="1" s="434"/>
    <row r="56" ht="60" customHeight="1" s="434"/>
    <row r="57" ht="60" customHeight="1" s="434"/>
    <row r="58" ht="60" customHeight="1" s="434"/>
    <row r="59" ht="60" customHeight="1" s="434"/>
    <row r="60" ht="60" customHeight="1" s="434"/>
    <row r="61" ht="60" customHeight="1" s="434"/>
    <row r="62" ht="60" customHeight="1" s="434"/>
    <row r="63" ht="60" customHeight="1" s="434"/>
    <row r="64" ht="60" customHeight="1" s="434"/>
    <row r="65" ht="60" customHeight="1" s="434"/>
    <row r="66" ht="60" customHeight="1" s="434"/>
    <row r="67" ht="60" customHeight="1" s="434"/>
    <row r="68" ht="60" customHeight="1" s="434"/>
    <row r="69" ht="60" customHeight="1" s="434"/>
    <row r="70" ht="60" customHeight="1" s="434"/>
    <row r="71" ht="60" customHeight="1" s="434"/>
    <row r="72" ht="60" customHeight="1" s="434"/>
    <row r="73" ht="60" customHeight="1" s="434"/>
    <row r="74" ht="60" customHeight="1" s="434"/>
    <row r="75" ht="60" customHeight="1" s="434"/>
    <row r="76" ht="60" customHeight="1" s="434"/>
    <row r="77" ht="60" customHeight="1" s="434"/>
    <row r="78" ht="60" customHeight="1" s="434"/>
    <row r="79" ht="60" customHeight="1" s="434"/>
    <row r="80" ht="60" customHeight="1" s="434"/>
    <row r="81" ht="60" customHeight="1" s="434"/>
    <row r="82" ht="60" customHeight="1" s="434"/>
    <row r="83" ht="60" customHeight="1" s="434" thickBot="1"/>
    <row r="84" ht="60" customHeight="1" s="434" thickBot="1"/>
    <row r="85" ht="60" customFormat="1" customHeight="1" s="190"/>
    <row r="86" ht="60" customHeight="1" s="434"/>
    <row r="87" ht="60" customHeight="1" s="434" thickBot="1"/>
  </sheetData>
  <mergeCells count="53">
    <mergeCell ref="E39:I39"/>
    <mergeCell ref="B12:C12"/>
    <mergeCell ref="E29:I29"/>
    <mergeCell ref="E38:I38"/>
    <mergeCell ref="B14:C14"/>
    <mergeCell ref="E31:I31"/>
    <mergeCell ref="E40:I40"/>
    <mergeCell ref="B13:C13"/>
    <mergeCell ref="S10:T10"/>
    <mergeCell ref="H5:J5"/>
    <mergeCell ref="D4:E4"/>
    <mergeCell ref="D20:I20"/>
    <mergeCell ref="S9:T9"/>
    <mergeCell ref="E26:I26"/>
    <mergeCell ref="E25:I25"/>
    <mergeCell ref="B16:C16"/>
    <mergeCell ref="E42:I42"/>
    <mergeCell ref="B9:C10"/>
    <mergeCell ref="B11:C11"/>
    <mergeCell ref="F5:G5"/>
    <mergeCell ref="E28:I28"/>
    <mergeCell ref="E30:I30"/>
    <mergeCell ref="J20:K20"/>
    <mergeCell ref="B29:C29"/>
    <mergeCell ref="E22:I22"/>
    <mergeCell ref="B15:C15"/>
    <mergeCell ref="I10:J10"/>
    <mergeCell ref="E32:I32"/>
    <mergeCell ref="H4:J4"/>
    <mergeCell ref="E41:I41"/>
    <mergeCell ref="U10:V10"/>
    <mergeCell ref="I9:J9"/>
    <mergeCell ref="B30:C34"/>
    <mergeCell ref="F4:G4"/>
    <mergeCell ref="E43:I43"/>
    <mergeCell ref="U9:V9"/>
    <mergeCell ref="E24:I24"/>
    <mergeCell ref="E33:I33"/>
    <mergeCell ref="E35:I35"/>
    <mergeCell ref="B5:C5"/>
    <mergeCell ref="B20:C20"/>
    <mergeCell ref="D5:E5"/>
    <mergeCell ref="E37:I37"/>
    <mergeCell ref="B4:C4"/>
    <mergeCell ref="E21:I21"/>
    <mergeCell ref="E23:I23"/>
    <mergeCell ref="M20:N20"/>
    <mergeCell ref="B35:C43"/>
    <mergeCell ref="B21:C25"/>
    <mergeCell ref="E34:I34"/>
    <mergeCell ref="E27:I27"/>
    <mergeCell ref="E36:I36"/>
    <mergeCell ref="B26:C28"/>
  </mergeCells>
  <conditionalFormatting sqref="D21:D43">
    <cfRule type="cellIs" priority="5" operator="equal" dxfId="5" stopIfTrue="1">
      <formula>"N/A"</formula>
    </cfRule>
    <cfRule type="cellIs" priority="6" operator="equal" dxfId="4" stopIfTrue="1">
      <formula>"N"</formula>
    </cfRule>
  </conditionalFormatting>
  <conditionalFormatting sqref="W21:W43">
    <cfRule type="cellIs" priority="3" operator="equal" dxfId="3">
      <formula>"위험 수용"</formula>
    </cfRule>
    <cfRule type="cellIs" priority="4" operator="equal" dxfId="2">
      <formula>"통제 적용"</formula>
    </cfRule>
  </conditionalFormatting>
  <conditionalFormatting sqref="M21:M43">
    <cfRule type="cellIs" priority="1" operator="equal" dxfId="1" stopIfTrue="1">
      <formula>"N/A"</formula>
    </cfRule>
    <cfRule type="cellIs" priority="2" operator="equal" dxfId="0" stopIfTrue="1">
      <formula>"N"</formula>
    </cfRule>
  </conditionalFormatting>
  <dataValidations count="3">
    <dataValidation sqref="M21:M43" showDropDown="0" showInputMessage="1" showErrorMessage="1" allowBlank="1" type="list">
      <formula1>"Y,N,N/A"</formula1>
    </dataValidation>
    <dataValidation sqref="Z21:AB43" showDropDown="0" showInputMessage="1" showErrorMessage="1" allowBlank="0" type="list">
      <formula1>"-,1,2,3,4,5"</formula1>
    </dataValidation>
    <dataValidation sqref="AD21:AF43 AG21:AG33" showDropDown="0" showInputMessage="1" showErrorMessage="1" allowBlank="1" type="list">
      <formula1>"-,HOT FIX,단기,중기,장기"</formula1>
    </dataValidation>
  </dataValidations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11" horizontalDpi="300" verticalDpi="300"/>
</worksheet>
</file>

<file path=xl/worksheets/sheet9.xml><?xml version="1.0" encoding="utf-8"?>
<worksheet xmlns="http://schemas.openxmlformats.org/spreadsheetml/2006/main">
  <sheetPr codeName="Sheet17">
    <outlinePr summaryBelow="1" summaryRight="1"/>
    <pageSetUpPr fitToPage="1"/>
  </sheetPr>
  <dimension ref="A2:AG48"/>
  <sheetViews>
    <sheetView view="pageBreakPreview" zoomScale="85" zoomScaleNormal="85" zoomScaleSheetLayoutView="85" workbookViewId="0">
      <selection activeCell="F7" sqref="F7"/>
    </sheetView>
  </sheetViews>
  <sheetFormatPr baseColWidth="8" defaultColWidth="8.88671875" defaultRowHeight="16.5"/>
  <cols>
    <col width="2.44140625" customWidth="1" style="1" min="1" max="1"/>
    <col width="9.109375" customWidth="1" style="1" min="2" max="2"/>
    <col width="10.88671875" customWidth="1" style="1" min="3" max="3"/>
    <col width="6.109375" customWidth="1" style="1" min="4" max="4"/>
    <col width="13.6640625" customWidth="1" style="1" min="5" max="5"/>
    <col width="6.5546875" customWidth="1" style="1" min="6" max="9"/>
    <col width="6" customWidth="1" style="1" min="10" max="10"/>
    <col width="6.109375" customWidth="1" style="1" min="11" max="12"/>
    <col width="10.5546875" customWidth="1" style="1" min="13" max="13"/>
    <col width="4.33203125" customWidth="1" style="1" min="14" max="14"/>
    <col width="44.44140625" customWidth="1" style="1" min="15" max="17"/>
    <col width="4.88671875" customWidth="1" style="1" min="18" max="18"/>
    <col width="8.6640625" customWidth="1" style="1" min="19" max="22"/>
    <col width="8.88671875" customWidth="1" style="1" min="23" max="24"/>
    <col width="7.44140625" customWidth="1" style="1" min="25" max="25"/>
    <col width="8.88671875" customWidth="1" style="1" min="26" max="32"/>
    <col width="12.6640625" customWidth="1" style="1" min="33" max="33"/>
    <col width="8.88671875" customWidth="1" style="1" min="34" max="16384"/>
  </cols>
  <sheetData>
    <row r="1" customFormat="1" s="19"/>
    <row r="2" ht="17.25" customFormat="1" customHeight="1" s="19">
      <c r="B2" s="41" t="inlineStr">
        <is>
          <t>◎ 장비별 위험분석 결과</t>
        </is>
      </c>
      <c r="C2" s="42" t="n"/>
      <c r="D2" s="42" t="n"/>
      <c r="E2" s="42" t="n"/>
      <c r="F2" s="42" t="n"/>
      <c r="G2" s="42" t="n"/>
      <c r="H2" s="42" t="n"/>
      <c r="I2" s="42" t="n"/>
      <c r="J2" s="42" t="n"/>
    </row>
    <row r="3" ht="17.25" customFormat="1" customHeight="1" s="19">
      <c r="B3" s="43" t="n"/>
      <c r="C3" s="43" t="n"/>
      <c r="D3" s="43" t="n"/>
      <c r="E3" s="43" t="n"/>
      <c r="J3" s="43" t="n"/>
    </row>
    <row r="4" customFormat="1" s="19">
      <c r="B4" s="361" t="inlineStr">
        <is>
          <t>Host Name</t>
        </is>
      </c>
      <c r="C4" s="435" t="n"/>
      <c r="D4" s="362">
        <f>MID(CELL("filename",$A$1),FIND("]",CELL("filename",$A$1))+1,100)</f>
        <v/>
      </c>
      <c r="E4" s="435" t="n"/>
      <c r="F4" s="361" t="inlineStr">
        <is>
          <t>O/S</t>
        </is>
      </c>
      <c r="G4" s="435" t="n"/>
      <c r="H4" s="362">
        <f>IFERROR(VLOOKUP($D$4,점검대상!C7:M35,2,FALSE),"-")</f>
        <v/>
      </c>
      <c r="I4" s="442" t="n"/>
      <c r="J4" s="435" t="n"/>
    </row>
    <row r="5" ht="17.25" customFormat="1" customHeight="1" s="19">
      <c r="B5" s="361" t="inlineStr">
        <is>
          <t>IP Address</t>
        </is>
      </c>
      <c r="C5" s="435" t="n"/>
      <c r="D5" s="362">
        <f>IFERROR(VLOOKUP($D$4,점검대상!C7:M35,3,FALSE),"-")</f>
        <v/>
      </c>
      <c r="E5" s="435" t="n"/>
      <c r="F5" s="361" t="inlineStr">
        <is>
          <t>용도</t>
        </is>
      </c>
      <c r="G5" s="435" t="n"/>
      <c r="H5" s="362">
        <f>IFERROR(VLOOKUP($D$4,점검대상!C7:M35,4,FALSE),"-")</f>
        <v/>
      </c>
      <c r="I5" s="442" t="n"/>
      <c r="J5" s="435" t="n"/>
      <c r="N5" s="44" t="n"/>
    </row>
    <row r="6" customFormat="1" s="19">
      <c r="M6" s="45" t="n"/>
      <c r="N6" s="45" t="n"/>
    </row>
    <row r="7" ht="17.25" customFormat="1" customHeight="1" s="19">
      <c r="B7" s="84" t="inlineStr">
        <is>
          <t>◎ 자산 평가</t>
        </is>
      </c>
      <c r="M7" s="45" t="n"/>
      <c r="N7" s="45" t="n"/>
    </row>
    <row r="8" customFormat="1" s="19"/>
    <row r="9" customFormat="1" s="19">
      <c r="B9" s="361" t="inlineStr">
        <is>
          <t>자산 가치</t>
        </is>
      </c>
      <c r="C9" s="438" t="n"/>
      <c r="D9" s="361" t="inlineStr">
        <is>
          <t>C</t>
        </is>
      </c>
      <c r="E9" s="361" t="inlineStr">
        <is>
          <t>I</t>
        </is>
      </c>
      <c r="F9" s="361" t="inlineStr">
        <is>
          <t>A</t>
        </is>
      </c>
      <c r="G9" s="361" t="inlineStr">
        <is>
          <t xml:space="preserve"> 중요도</t>
        </is>
      </c>
      <c r="H9" s="361" t="inlineStr">
        <is>
          <t>등급</t>
        </is>
      </c>
      <c r="I9" s="361" t="inlineStr">
        <is>
          <t>위험 수용 수준</t>
        </is>
      </c>
      <c r="J9" s="435" t="n"/>
      <c r="S9" s="365">
        <f>"DoA "&amp;$I$10&amp;" 이상"</f>
        <v/>
      </c>
      <c r="T9" s="460" t="n"/>
      <c r="U9" s="365">
        <f>"DoA "&amp;$I$10&amp;" 미만"</f>
        <v/>
      </c>
      <c r="V9" s="460" t="n"/>
    </row>
    <row r="10" customFormat="1" s="19">
      <c r="B10" s="439" t="n"/>
      <c r="C10" s="441" t="n"/>
      <c r="D10" s="85">
        <f>IFERROR(VLOOKUP($D$4,점검대상!$C$7:$M$35,5,FALSE),"-")</f>
        <v/>
      </c>
      <c r="E10" s="85">
        <f>IFERROR(VLOOKUP($D$4,점검대상!$C$7:$M$35,6,FALSE),"-")</f>
        <v/>
      </c>
      <c r="F10" s="85">
        <f>IFERROR(VLOOKUP($D$4,점검대상!$C$7:$M$35,7,FALSE),"-")</f>
        <v/>
      </c>
      <c r="G10" s="85">
        <f>IF(H10="1등급",3,IF(H10="2등급",2,IF(H10="3등급",1,"-")))</f>
        <v/>
      </c>
      <c r="H10" s="85">
        <f>IFERROR(VLOOKUP($D$4,점검대상!$C$7:$M$35,8,FALSE),"-")</f>
        <v/>
      </c>
      <c r="I10" s="85">
        <f>점검대상!K4</f>
        <v/>
      </c>
      <c r="J10" s="435" t="n"/>
      <c r="S10" s="368">
        <f>COUNTIF($W21:$W87,"통제 적용")</f>
        <v/>
      </c>
      <c r="T10" s="435" t="n"/>
      <c r="U10" s="368">
        <f>COUNTIF($W21:$W87,"위험 수용")</f>
        <v/>
      </c>
      <c r="V10" s="435" t="n"/>
    </row>
    <row r="11" hidden="1" customFormat="1" s="19">
      <c r="B11" s="46" t="n"/>
      <c r="C11" s="435" t="n"/>
      <c r="D11" s="46" t="n"/>
      <c r="E11" s="46" t="n"/>
      <c r="F11" s="46" t="n"/>
      <c r="G11" s="46" t="n"/>
      <c r="H11" s="47" t="n"/>
      <c r="I11" s="47" t="n"/>
      <c r="J11" s="48" t="n"/>
    </row>
    <row r="12" hidden="1" customFormat="1" s="19">
      <c r="B12" s="46" t="n"/>
      <c r="C12" s="435" t="n"/>
      <c r="D12" s="46" t="n"/>
      <c r="E12" s="46" t="n"/>
      <c r="F12" s="46" t="n"/>
      <c r="G12" s="46" t="n"/>
      <c r="H12" s="47" t="n"/>
      <c r="I12" s="47" t="n"/>
      <c r="J12" s="48" t="n"/>
    </row>
    <row r="13" hidden="1" customFormat="1" s="19">
      <c r="B13" s="46" t="n"/>
      <c r="C13" s="435" t="n"/>
      <c r="D13" s="46" t="n"/>
      <c r="E13" s="46" t="n"/>
      <c r="F13" s="46" t="n"/>
      <c r="G13" s="46" t="n"/>
      <c r="H13" s="47" t="n"/>
      <c r="I13" s="47" t="n"/>
      <c r="J13" s="48" t="n"/>
    </row>
    <row r="14" hidden="1" customFormat="1" s="19">
      <c r="B14" s="46" t="n"/>
      <c r="C14" s="435" t="n"/>
      <c r="D14" s="46" t="n"/>
      <c r="E14" s="46" t="n"/>
      <c r="F14" s="46" t="n"/>
      <c r="G14" s="46" t="n"/>
      <c r="H14" s="47" t="n"/>
      <c r="I14" s="47" t="n"/>
      <c r="J14" s="48" t="n"/>
    </row>
    <row r="15" hidden="1" customFormat="1" s="19">
      <c r="B15" s="46" t="n"/>
      <c r="C15" s="435" t="n"/>
      <c r="D15" s="46" t="n"/>
      <c r="E15" s="46" t="n"/>
      <c r="F15" s="46" t="n"/>
      <c r="G15" s="46" t="n"/>
      <c r="H15" s="47" t="n"/>
      <c r="I15" s="47" t="n"/>
      <c r="J15" s="48" t="n"/>
    </row>
    <row r="16" hidden="1" ht="17.25" customFormat="1" customHeight="1" s="19" thickTop="1">
      <c r="B16" s="369" t="n"/>
      <c r="C16" s="461" t="n"/>
      <c r="D16" s="369" t="n"/>
      <c r="E16" s="369" t="n"/>
      <c r="F16" s="369" t="n"/>
      <c r="G16" s="369" t="n"/>
      <c r="H16" s="369" t="n"/>
      <c r="I16" s="369" t="n"/>
      <c r="J16" s="49" t="n"/>
    </row>
    <row r="17" customFormat="1" s="19">
      <c r="M17" s="45" t="n"/>
      <c r="N17" s="45" t="n"/>
    </row>
    <row r="18" ht="17.25" customHeight="1" s="434">
      <c r="B18" s="10" t="inlineStr">
        <is>
          <t>▣ 상세 점검 현황</t>
        </is>
      </c>
      <c r="P18" s="9" t="n"/>
      <c r="Q18" s="9" t="n"/>
    </row>
    <row r="19">
      <c r="R19" s="8" t="n"/>
    </row>
    <row r="20" ht="27" customFormat="1" customHeight="1" s="19">
      <c r="A20" s="37" t="n"/>
      <c r="B20" s="365" t="inlineStr">
        <is>
          <t>구분</t>
        </is>
      </c>
      <c r="C20" s="460" t="n"/>
      <c r="D20" s="371" t="inlineStr">
        <is>
          <t>점검 항목</t>
        </is>
      </c>
      <c r="E20" s="463" t="n"/>
      <c r="F20" s="463" t="n"/>
      <c r="G20" s="463" t="n"/>
      <c r="H20" s="463" t="n"/>
      <c r="I20" s="462" t="n"/>
      <c r="J20" s="371" t="inlineStr">
        <is>
          <t>중요도</t>
        </is>
      </c>
      <c r="K20" s="462" t="n"/>
      <c r="L20" s="371" t="inlineStr">
        <is>
          <t>위협코드</t>
        </is>
      </c>
      <c r="M20" s="371" t="inlineStr">
        <is>
          <t>점검 결과</t>
        </is>
      </c>
      <c r="N20" s="462" t="n"/>
      <c r="O20" s="371" t="inlineStr">
        <is>
          <t>현황</t>
        </is>
      </c>
      <c r="P20" s="209" t="inlineStr">
        <is>
          <t>잠재 위험</t>
        </is>
      </c>
      <c r="Q20" s="210" t="inlineStr">
        <is>
          <t>대응책</t>
        </is>
      </c>
      <c r="R20" s="37" t="n"/>
      <c r="S20" s="365" t="inlineStr">
        <is>
          <t>위협도</t>
        </is>
      </c>
      <c r="T20" s="371" t="inlineStr">
        <is>
          <t>값</t>
        </is>
      </c>
      <c r="U20" s="371" t="inlineStr">
        <is>
          <t>위험도</t>
        </is>
      </c>
      <c r="V20" s="371" t="inlineStr">
        <is>
          <t>평가</t>
        </is>
      </c>
      <c r="W20" s="371" t="inlineStr">
        <is>
          <t>통제적용 여부</t>
        </is>
      </c>
      <c r="X20" s="371" t="inlineStr">
        <is>
          <t>통제대책 코드</t>
        </is>
      </c>
      <c r="Z20" s="103" t="inlineStr">
        <is>
          <t>구축비용  기준</t>
        </is>
      </c>
      <c r="AA20" s="103" t="inlineStr">
        <is>
          <t>위험도 
기준</t>
        </is>
      </c>
      <c r="AB20" s="103" t="inlineStr">
        <is>
          <t>난이도 
기준</t>
        </is>
      </c>
      <c r="AC20" s="103" t="inlineStr">
        <is>
          <t>합계</t>
        </is>
      </c>
      <c r="AD20" s="103" t="inlineStr">
        <is>
          <t>적용
시기</t>
        </is>
      </c>
      <c r="AE20" s="103" t="inlineStr">
        <is>
          <t>담당자</t>
        </is>
      </c>
      <c r="AF20" s="103" t="inlineStr">
        <is>
          <t>조치계획</t>
        </is>
      </c>
      <c r="AG20" s="103" t="inlineStr">
        <is>
          <t>조치일정</t>
        </is>
      </c>
    </row>
    <row r="21" ht="60" customHeight="1" s="434">
      <c r="A21" s="8" t="n"/>
      <c r="B21" s="465">
        <f>'요약 통계'!B6</f>
        <v/>
      </c>
      <c r="C21" s="438" t="n"/>
      <c r="D21" s="331" t="inlineStr">
        <is>
          <t>S-01</t>
        </is>
      </c>
      <c r="E21" s="370">
        <f>'요약 통계'!D6</f>
        <v/>
      </c>
      <c r="F21" s="442" t="n"/>
      <c r="G21" s="442" t="n"/>
      <c r="H21" s="442" t="n"/>
      <c r="I21" s="435" t="n"/>
      <c r="J21" s="168">
        <f>'요약 통계'!E6</f>
        <v/>
      </c>
      <c r="K21" s="132">
        <f>IF(M21="N/A","-",'요약 통계'!F6)</f>
        <v/>
      </c>
      <c r="L21" s="133" t="inlineStr">
        <is>
          <t>TT-07</t>
        </is>
      </c>
      <c r="M21" s="125" t="inlineStr">
        <is>
          <t>N</t>
        </is>
      </c>
      <c r="N21" s="134">
        <f>IF(M21="N",0,K21)</f>
        <v/>
      </c>
      <c r="O21" s="186" t="inlineStr">
        <is>
          <t xml:space="preserve">■ 기준 : 장비에서 제공하고 있는 디폴트 계정 명을 변경하여 사용하는 경우 (ID 변경이 불가능할 경우 패스워드로 보완필요) "양호"
■ 현황 : </t>
        </is>
      </c>
      <c r="P21" s="236">
        <f>IF(M21="N",'잠재위험 및 대응책 DB'!A2,"-")</f>
        <v/>
      </c>
      <c r="Q21" s="237">
        <f>IF(M21="N",'잠재위험 및 대응책 DB'!B2,"-")</f>
        <v/>
      </c>
      <c r="R21" s="207" t="n"/>
      <c r="S21" s="135">
        <f>J21</f>
        <v/>
      </c>
      <c r="T21" s="135">
        <f>IF(S21="상",3,IF(S21="중",2,IF(S21="하",1,0)))</f>
        <v/>
      </c>
      <c r="U21" s="135">
        <f>IFERROR(IF(OR($M21="y",$M21="n/a"),"-",$G$10+(($K21-$N21)*2)),"-")</f>
        <v/>
      </c>
      <c r="V21" s="135">
        <f>IF(U21="-","-",IF(U21&gt;=7,"상",IF(U21&gt;=4,"중",IF(U21&gt;=2,"하","하"))))</f>
        <v/>
      </c>
      <c r="W21" s="135">
        <f>IF(U21="-","-",IF(U21&gt;=$I$10,"통제 적용","위험 수용"))</f>
        <v/>
      </c>
      <c r="X21" s="135">
        <f>IF(W21="통제 적용",D21,"-")</f>
        <v/>
      </c>
      <c r="Z21" s="86" t="n">
        <v>5</v>
      </c>
      <c r="AA21" s="86" t="n">
        <v>4</v>
      </c>
      <c r="AB21" s="86" t="n">
        <v>5</v>
      </c>
      <c r="AC21" s="86">
        <f>SUM(Z21:AB21)</f>
        <v/>
      </c>
      <c r="AD21" s="86" t="inlineStr">
        <is>
          <t>-</t>
        </is>
      </c>
      <c r="AE21" s="86" t="inlineStr">
        <is>
          <t>-</t>
        </is>
      </c>
      <c r="AF21" s="86" t="inlineStr">
        <is>
          <t>-</t>
        </is>
      </c>
      <c r="AG21" s="86" t="inlineStr">
        <is>
          <t>-</t>
        </is>
      </c>
    </row>
    <row r="22" ht="60" customHeight="1" s="434">
      <c r="A22" s="8" t="n"/>
      <c r="B22" s="464" t="n"/>
      <c r="C22" s="453" t="n"/>
      <c r="D22" s="331" t="inlineStr">
        <is>
          <t>S-02</t>
        </is>
      </c>
      <c r="E22" s="370">
        <f>'요약 통계'!D7</f>
        <v/>
      </c>
      <c r="F22" s="442" t="n"/>
      <c r="G22" s="442" t="n"/>
      <c r="H22" s="442" t="n"/>
      <c r="I22" s="435" t="n"/>
      <c r="J22" s="168">
        <f>'요약 통계'!E7</f>
        <v/>
      </c>
      <c r="K22" s="132">
        <f>IF(M22="N/A","-",'요약 통계'!F7)</f>
        <v/>
      </c>
      <c r="L22" s="133" t="inlineStr">
        <is>
          <t>TT-07</t>
        </is>
      </c>
      <c r="M22" s="125" t="inlineStr">
        <is>
          <t>Y</t>
        </is>
      </c>
      <c r="N22" s="134">
        <f>IF(M22="N",0,K22)</f>
        <v/>
      </c>
      <c r="O22" s="186" t="inlineStr">
        <is>
          <t xml:space="preserve">■ 기준 : 비밀번호 관리 정책에 맞는 비밀번호가 사용된 경우 "양호"
■ 현황 : </t>
        </is>
      </c>
      <c r="P22" s="236">
        <f>IF(M22="N",'잠재위험 및 대응책 DB'!A3,"-")</f>
        <v/>
      </c>
      <c r="Q22" s="237">
        <f>IF(M22="N",'잠재위험 및 대응책 DB'!B3,"-")</f>
        <v/>
      </c>
      <c r="R22" s="207" t="n"/>
      <c r="S22" s="135">
        <f>J22</f>
        <v/>
      </c>
      <c r="T22" s="135">
        <f>IF(S22="상",3,IF(S22="중",2,IF(S22="하",1,0)))</f>
        <v/>
      </c>
      <c r="U22" s="135">
        <f>IFERROR(IF(OR($M22="y",$M22="n/a"),"-",$G$10+(($K22-$N22)*2)),"-")</f>
        <v/>
      </c>
      <c r="V22" s="135">
        <f>IF(U22="-","-",IF(U22&gt;=7,"상",IF(U22&gt;=4,"중",IF(U22&gt;=2,"하","하"))))</f>
        <v/>
      </c>
      <c r="W22" s="135">
        <f>IF(U22="-","-",IF(U22&gt;=$I$10,"통제 적용","위험 수용"))</f>
        <v/>
      </c>
      <c r="X22" s="135">
        <f>IF(W22="통제 적용",D22,"-")</f>
        <v/>
      </c>
      <c r="Z22" s="86" t="n">
        <v>5</v>
      </c>
      <c r="AA22" s="86" t="n">
        <v>4</v>
      </c>
      <c r="AB22" s="86" t="n">
        <v>5</v>
      </c>
      <c r="AC22" s="86">
        <f>SUM(Z22:AB22)</f>
        <v/>
      </c>
      <c r="AD22" s="86" t="inlineStr">
        <is>
          <t>-</t>
        </is>
      </c>
      <c r="AE22" s="86" t="inlineStr">
        <is>
          <t>-</t>
        </is>
      </c>
      <c r="AF22" s="86" t="inlineStr">
        <is>
          <t>-</t>
        </is>
      </c>
      <c r="AG22" s="86" t="inlineStr">
        <is>
          <t>-</t>
        </is>
      </c>
    </row>
    <row r="23" ht="60" customHeight="1" s="434">
      <c r="A23" s="8" t="n"/>
      <c r="B23" s="464" t="n"/>
      <c r="C23" s="453" t="n"/>
      <c r="D23" s="331" t="inlineStr">
        <is>
          <t>S-03</t>
        </is>
      </c>
      <c r="E23" s="370">
        <f>'요약 통계'!D8</f>
        <v/>
      </c>
      <c r="F23" s="442" t="n"/>
      <c r="G23" s="442" t="n"/>
      <c r="H23" s="442" t="n"/>
      <c r="I23" s="435" t="n"/>
      <c r="J23" s="168">
        <f>'요약 통계'!E8</f>
        <v/>
      </c>
      <c r="K23" s="132">
        <f>IF(M23="N/A","-",'요약 통계'!F8)</f>
        <v/>
      </c>
      <c r="L23" s="133" t="inlineStr">
        <is>
          <t>TT-07</t>
        </is>
      </c>
      <c r="M23" s="125" t="inlineStr">
        <is>
          <t>N</t>
        </is>
      </c>
      <c r="N23" s="134">
        <f>IF(M23="N",0,K23)</f>
        <v/>
      </c>
      <c r="O23" s="186" t="inlineStr">
        <is>
          <t xml:space="preserve">■ 기준 : 사용자 별 계정의 용도파악 및 적절한 권한을 부여하는 경우 "양호"
■ 현황 : </t>
        </is>
      </c>
      <c r="P23" s="236">
        <f>IF(M23="N",'잠재위험 및 대응책 DB'!A4,"-")</f>
        <v/>
      </c>
      <c r="Q23" s="237">
        <f>IF(M23="N",'잠재위험 및 대응책 DB'!B4,"-")</f>
        <v/>
      </c>
      <c r="R23" s="207" t="n"/>
      <c r="S23" s="135">
        <f>J23</f>
        <v/>
      </c>
      <c r="T23" s="135">
        <f>IF(S23="상",3,IF(S23="중",2,IF(S23="하",1,0)))</f>
        <v/>
      </c>
      <c r="U23" s="135">
        <f>IFERROR(IF(OR($M23="y",$M23="n/a"),"-",$G$10+(($K23-$N23)*2)),"-")</f>
        <v/>
      </c>
      <c r="V23" s="135">
        <f>IF(U23="-","-",IF(U23&gt;=7,"상",IF(U23&gt;=4,"중",IF(U23&gt;=2,"하","하"))))</f>
        <v/>
      </c>
      <c r="W23" s="135">
        <f>IF(U23="-","-",IF(U23&gt;=$I$10,"통제 적용","위험 수용"))</f>
        <v/>
      </c>
      <c r="X23" s="135">
        <f>IF(W23="통제 적용",D23,"-")</f>
        <v/>
      </c>
      <c r="Z23" s="86" t="n">
        <v>5</v>
      </c>
      <c r="AA23" s="86" t="n">
        <v>4</v>
      </c>
      <c r="AB23" s="86" t="n">
        <v>5</v>
      </c>
      <c r="AC23" s="86">
        <f>SUM(Z23:AB23)</f>
        <v/>
      </c>
      <c r="AD23" s="86" t="inlineStr">
        <is>
          <t>-</t>
        </is>
      </c>
      <c r="AE23" s="86" t="inlineStr">
        <is>
          <t>-</t>
        </is>
      </c>
      <c r="AF23" s="86" t="inlineStr">
        <is>
          <t>-</t>
        </is>
      </c>
      <c r="AG23" s="86" t="inlineStr">
        <is>
          <t>-</t>
        </is>
      </c>
    </row>
    <row r="24" ht="60" customHeight="1" s="434">
      <c r="A24" s="8" t="n"/>
      <c r="B24" s="464" t="n"/>
      <c r="C24" s="453" t="n"/>
      <c r="D24" s="331" t="inlineStr">
        <is>
          <t>S-04</t>
        </is>
      </c>
      <c r="E24" s="370">
        <f>'요약 통계'!D9</f>
        <v/>
      </c>
      <c r="F24" s="442" t="n"/>
      <c r="G24" s="442" t="n"/>
      <c r="H24" s="442" t="n"/>
      <c r="I24" s="435" t="n"/>
      <c r="J24" s="168">
        <f>'요약 통계'!E9</f>
        <v/>
      </c>
      <c r="K24" s="132">
        <f>IF(M24="N/A","-",'요약 통계'!F9)</f>
        <v/>
      </c>
      <c r="L24" s="133" t="inlineStr">
        <is>
          <t>TT-07</t>
        </is>
      </c>
      <c r="M24" s="125" t="inlineStr">
        <is>
          <t>Y</t>
        </is>
      </c>
      <c r="N24" s="134">
        <f>IF(M24="N",0,K24)</f>
        <v/>
      </c>
      <c r="O24" s="186" t="inlineStr">
        <is>
          <t xml:space="preserve">■ 기준 : 불필요한 공용계정 및 휴면계정을 제거하거나 관리하는 경우 "양호"
■ 현황 : </t>
        </is>
      </c>
      <c r="P24" s="236">
        <f>IF(M24="N",'잠재위험 및 대응책 DB'!A5,"-")</f>
        <v/>
      </c>
      <c r="Q24" s="237">
        <f>IF(M24="N",'잠재위험 및 대응책 DB'!B5,"-")</f>
        <v/>
      </c>
      <c r="R24" s="207" t="n"/>
      <c r="S24" s="135">
        <f>J24</f>
        <v/>
      </c>
      <c r="T24" s="135">
        <f>IF(S24="상",3,IF(S24="중",2,IF(S24="하",1,0)))</f>
        <v/>
      </c>
      <c r="U24" s="135">
        <f>IFERROR(IF(OR($M24="y",$M24="n/a"),"-",$G$10+(($K24-$N24)*2)),"-")</f>
        <v/>
      </c>
      <c r="V24" s="135">
        <f>IF(U24="-","-",IF(U24&gt;=7,"상",IF(U24&gt;=4,"중",IF(U24&gt;=2,"하","하"))))</f>
        <v/>
      </c>
      <c r="W24" s="135">
        <f>IF(U24="-","-",IF(U24&gt;=$I$10,"통제 적용","위험 수용"))</f>
        <v/>
      </c>
      <c r="X24" s="135">
        <f>IF(W24="통제 적용",D24,"-")</f>
        <v/>
      </c>
      <c r="Z24" s="86" t="n">
        <v>5</v>
      </c>
      <c r="AA24" s="86" t="n">
        <v>4</v>
      </c>
      <c r="AB24" s="86" t="n">
        <v>5</v>
      </c>
      <c r="AC24" s="86">
        <f>SUM(Z24:AB24)</f>
        <v/>
      </c>
      <c r="AD24" s="86" t="inlineStr">
        <is>
          <t>-</t>
        </is>
      </c>
      <c r="AE24" s="86" t="inlineStr">
        <is>
          <t>-</t>
        </is>
      </c>
      <c r="AF24" s="86" t="inlineStr">
        <is>
          <t>-</t>
        </is>
      </c>
      <c r="AG24" s="86" t="inlineStr">
        <is>
          <t>-</t>
        </is>
      </c>
    </row>
    <row r="25" ht="60" customHeight="1" s="434">
      <c r="B25" s="466" t="n"/>
      <c r="C25" s="467" t="n"/>
      <c r="D25" s="331" t="inlineStr">
        <is>
          <t>S-05</t>
        </is>
      </c>
      <c r="E25" s="370">
        <f>'요약 통계'!D10</f>
        <v/>
      </c>
      <c r="F25" s="442" t="n"/>
      <c r="G25" s="442" t="n"/>
      <c r="H25" s="442" t="n"/>
      <c r="I25" s="435" t="n"/>
      <c r="J25" s="168">
        <f>'요약 통계'!E10</f>
        <v/>
      </c>
      <c r="K25" s="132">
        <f>IF(M25="N/A","-",'요약 통계'!F10)</f>
        <v/>
      </c>
      <c r="L25" s="133" t="inlineStr">
        <is>
          <t>TT-07</t>
        </is>
      </c>
      <c r="M25" s="125" t="inlineStr">
        <is>
          <t>N</t>
        </is>
      </c>
      <c r="N25" s="134">
        <f>IF(M25="N",0,K25)</f>
        <v/>
      </c>
      <c r="O25" s="186" t="inlineStr">
        <is>
          <t xml:space="preserve">■ 기준 : 로그온 실패 수를 5회 이하로 제한한 경우 "양호"
■ 현황 : </t>
        </is>
      </c>
      <c r="P25" s="236">
        <f>IF(M25="N",'잠재위험 및 대응책 DB'!A6,"-")</f>
        <v/>
      </c>
      <c r="Q25" s="237">
        <f>IF(M25="N",'잠재위험 및 대응책 DB'!B6,"-")</f>
        <v/>
      </c>
      <c r="R25" s="207" t="n"/>
      <c r="S25" s="135">
        <f>J25</f>
        <v/>
      </c>
      <c r="T25" s="135">
        <f>IF(S25="상",3,IF(S25="중",2,IF(S25="하",1,0)))</f>
        <v/>
      </c>
      <c r="U25" s="135">
        <f>IFERROR(IF(OR($M25="y",$M25="n/a"),"-",$G$10+(($K25-$N25)*2)),"-")</f>
        <v/>
      </c>
      <c r="V25" s="135">
        <f>IF(U25="-","-",IF(U25&gt;=7,"상",IF(U25&gt;=4,"중",IF(U25&gt;=2,"하","하"))))</f>
        <v/>
      </c>
      <c r="W25" s="135">
        <f>IF(U25="-","-",IF(U25&gt;=$I$10,"통제 적용","위험 수용"))</f>
        <v/>
      </c>
      <c r="X25" s="135">
        <f>IF(W25="통제 적용",D25,"-")</f>
        <v/>
      </c>
      <c r="Z25" s="86" t="n">
        <v>5</v>
      </c>
      <c r="AA25" s="86" t="n">
        <v>4</v>
      </c>
      <c r="AB25" s="86" t="n">
        <v>5</v>
      </c>
      <c r="AC25" s="86">
        <f>SUM(Z25:AB25)</f>
        <v/>
      </c>
      <c r="AD25" s="86" t="inlineStr">
        <is>
          <t>-</t>
        </is>
      </c>
      <c r="AE25" s="86" t="inlineStr">
        <is>
          <t>-</t>
        </is>
      </c>
      <c r="AF25" s="86" t="inlineStr">
        <is>
          <t>-</t>
        </is>
      </c>
      <c r="AG25" s="86" t="inlineStr">
        <is>
          <t>-</t>
        </is>
      </c>
    </row>
    <row r="26" ht="60" customHeight="1" s="434">
      <c r="B26">
        <f>'요약 통계'!B11</f>
        <v/>
      </c>
      <c r="D26" s="331" t="inlineStr">
        <is>
          <t>S-06</t>
        </is>
      </c>
      <c r="E26" s="370">
        <f>'요약 통계'!D11</f>
        <v/>
      </c>
      <c r="F26" s="442" t="n"/>
      <c r="G26" s="442" t="n"/>
      <c r="H26" s="442" t="n"/>
      <c r="I26" s="435" t="n"/>
      <c r="J26" s="168">
        <f>'요약 통계'!E11</f>
        <v/>
      </c>
      <c r="K26" s="132">
        <f>IF(M26="N/A","-",'요약 통계'!F11)</f>
        <v/>
      </c>
      <c r="L26" s="133" t="inlineStr">
        <is>
          <t>TT-14</t>
        </is>
      </c>
      <c r="M26" s="125" t="inlineStr">
        <is>
          <t>Y</t>
        </is>
      </c>
      <c r="N26" s="134">
        <f>IF(M26="N",0,K26)</f>
        <v/>
      </c>
      <c r="O26" s="186" t="inlineStr">
        <is>
          <t xml:space="preserve">■ 기준 : 원격관리 시 관리자 IP만 접근 가능하도록 설정한 경우 "양호"
■ 현황 : </t>
        </is>
      </c>
      <c r="P26" s="236">
        <f>IF(M26="N",'잠재위험 및 대응책 DB'!A7,"-")</f>
        <v/>
      </c>
      <c r="Q26" s="237">
        <f>IF(M26="N",'잠재위험 및 대응책 DB'!B7,"-")</f>
        <v/>
      </c>
      <c r="R26" s="207" t="n"/>
      <c r="S26" s="135">
        <f>J26</f>
        <v/>
      </c>
      <c r="T26" s="135">
        <f>IF(S26="상",3,IF(S26="중",2,IF(S26="하",1,0)))</f>
        <v/>
      </c>
      <c r="U26" s="135">
        <f>IFERROR(IF(OR($M26="y",$M26="n/a"),"-",$G$10+(($K26-$N26)*2)),"-")</f>
        <v/>
      </c>
      <c r="V26" s="135">
        <f>IF(U26="-","-",IF(U26&gt;=7,"상",IF(U26&gt;=4,"중",IF(U26&gt;=2,"하","하"))))</f>
        <v/>
      </c>
      <c r="W26" s="135">
        <f>IF(U26="-","-",IF(U26&gt;=$I$10,"통제 적용","위험 수용"))</f>
        <v/>
      </c>
      <c r="X26" s="135">
        <f>IF(W26="통제 적용",D26,"-")</f>
        <v/>
      </c>
      <c r="Z26" s="86" t="n">
        <v>5</v>
      </c>
      <c r="AA26" s="86" t="n">
        <v>4</v>
      </c>
      <c r="AB26" s="86" t="n">
        <v>5</v>
      </c>
      <c r="AC26" s="86">
        <f>SUM(Z26:AB26)</f>
        <v/>
      </c>
      <c r="AD26" s="86" t="inlineStr">
        <is>
          <t>-</t>
        </is>
      </c>
      <c r="AE26" s="86" t="inlineStr">
        <is>
          <t>-</t>
        </is>
      </c>
      <c r="AF26" s="86" t="inlineStr">
        <is>
          <t>-</t>
        </is>
      </c>
      <c r="AG26" s="86" t="inlineStr">
        <is>
          <t>-</t>
        </is>
      </c>
    </row>
    <row r="27" ht="60" customHeight="1" s="434">
      <c r="D27" s="331" t="inlineStr">
        <is>
          <t>S-07</t>
        </is>
      </c>
      <c r="E27" s="370">
        <f>'요약 통계'!D12</f>
        <v/>
      </c>
      <c r="F27" s="442" t="n"/>
      <c r="G27" s="442" t="n"/>
      <c r="H27" s="442" t="n"/>
      <c r="I27" s="435" t="n"/>
      <c r="J27" s="168">
        <f>'요약 통계'!E12</f>
        <v/>
      </c>
      <c r="K27" s="132">
        <f>IF(M27="N/A","-",'요약 통계'!F12)</f>
        <v/>
      </c>
      <c r="L27" s="133" t="inlineStr">
        <is>
          <t>TT-14</t>
        </is>
      </c>
      <c r="M27" s="125" t="inlineStr">
        <is>
          <t>Y</t>
        </is>
      </c>
      <c r="N27" s="134">
        <f>IF(M27="N",0,K27)</f>
        <v/>
      </c>
      <c r="O27" s="186" t="inlineStr">
        <is>
          <t xml:space="preserve">■ 기준 : 보안장비 접속 시 암호화 통신을 하는 경우 "양호"
■ 현황 : </t>
        </is>
      </c>
      <c r="P27" s="236">
        <f>IF(M27="N",'잠재위험 및 대응책 DB'!A8,"-")</f>
        <v/>
      </c>
      <c r="Q27" s="237">
        <f>IF(M27="N",'잠재위험 및 대응책 DB'!B8,"-")</f>
        <v/>
      </c>
      <c r="R27" s="207" t="n"/>
      <c r="S27" s="135">
        <f>J27</f>
        <v/>
      </c>
      <c r="T27" s="135">
        <f>IF(S27="상",3,IF(S27="중",2,IF(S27="하",1,0)))</f>
        <v/>
      </c>
      <c r="U27" s="135">
        <f>IFERROR(IF(OR($M27="y",$M27="n/a"),"-",$G$10+(($K27-$N27)*2)),"-")</f>
        <v/>
      </c>
      <c r="V27" s="135">
        <f>IF(U27="-","-",IF(U27&gt;=7,"상",IF(U27&gt;=4,"중",IF(U27&gt;=2,"하","하"))))</f>
        <v/>
      </c>
      <c r="W27" s="135">
        <f>IF(U27="-","-",IF(U27&gt;=$I$10,"통제 적용","위험 수용"))</f>
        <v/>
      </c>
      <c r="X27" s="135">
        <f>IF(W27="통제 적용",D27,"-")</f>
        <v/>
      </c>
      <c r="Z27" s="86" t="n">
        <v>5</v>
      </c>
      <c r="AA27" s="86" t="n">
        <v>2</v>
      </c>
      <c r="AB27" s="86" t="n">
        <v>5</v>
      </c>
      <c r="AC27" s="86">
        <f>SUM(Z27:AB27)</f>
        <v/>
      </c>
      <c r="AD27" s="86" t="inlineStr">
        <is>
          <t>-</t>
        </is>
      </c>
      <c r="AE27" s="86" t="inlineStr">
        <is>
          <t>-</t>
        </is>
      </c>
      <c r="AF27" s="86" t="inlineStr">
        <is>
          <t>-</t>
        </is>
      </c>
      <c r="AG27" s="86" t="inlineStr">
        <is>
          <t>-</t>
        </is>
      </c>
    </row>
    <row r="28" ht="60" customHeight="1" s="434">
      <c r="D28" s="331" t="inlineStr">
        <is>
          <t>S-08</t>
        </is>
      </c>
      <c r="E28" s="370">
        <f>'요약 통계'!D13</f>
        <v/>
      </c>
      <c r="F28" s="442" t="n"/>
      <c r="G28" s="442" t="n"/>
      <c r="H28" s="442" t="n"/>
      <c r="I28" s="435" t="n"/>
      <c r="J28" s="168">
        <f>'요약 통계'!E13</f>
        <v/>
      </c>
      <c r="K28" s="132">
        <f>IF(M28="N/A","-",'요약 통계'!F13)</f>
        <v/>
      </c>
      <c r="L28" s="133" t="inlineStr">
        <is>
          <t>TT-14</t>
        </is>
      </c>
      <c r="M28" s="125" t="inlineStr">
        <is>
          <t>Y</t>
        </is>
      </c>
      <c r="N28" s="134">
        <f>IF(M28="N",0,K28)</f>
        <v/>
      </c>
      <c r="O28" s="186" t="inlineStr">
        <is>
          <t xml:space="preserve">■ 기준 : Session Timeout 시간을 설정한 경우 "양호"
■ 현황 : </t>
        </is>
      </c>
      <c r="P28" s="236">
        <f>IF(M28="N",'잠재위험 및 대응책 DB'!A9,"-")</f>
        <v/>
      </c>
      <c r="Q28" s="237">
        <f>IF(M28="N",'잠재위험 및 대응책 DB'!B9,"-")</f>
        <v/>
      </c>
      <c r="R28" s="207" t="n"/>
      <c r="S28" s="135">
        <f>J28</f>
        <v/>
      </c>
      <c r="T28" s="135">
        <f>IF(S28="상",3,IF(S28="중",2,IF(S28="하",1,0)))</f>
        <v/>
      </c>
      <c r="U28" s="135">
        <f>IFERROR(IF(OR($M28="y",$M28="n/a"),"-",$G$10+(($K28-$N28)*2)),"-")</f>
        <v/>
      </c>
      <c r="V28" s="135">
        <f>IF(U28="-","-",IF(U28&gt;=7,"상",IF(U28&gt;=4,"중",IF(U28&gt;=2,"하","하"))))</f>
        <v/>
      </c>
      <c r="W28" s="135">
        <f>IF(U28="-","-",IF(U28&gt;=$I$10,"통제 적용","위험 수용"))</f>
        <v/>
      </c>
      <c r="X28" s="135">
        <f>IF(W28="통제 적용",D28,"-")</f>
        <v/>
      </c>
      <c r="Z28" s="86" t="n">
        <v>5</v>
      </c>
      <c r="AA28" s="86" t="n">
        <v>3</v>
      </c>
      <c r="AB28" s="86" t="n">
        <v>5</v>
      </c>
      <c r="AC28" s="86">
        <f>SUM(Z28:AB28)</f>
        <v/>
      </c>
      <c r="AD28" s="86" t="inlineStr">
        <is>
          <t>-</t>
        </is>
      </c>
      <c r="AE28" s="86" t="inlineStr">
        <is>
          <t>-</t>
        </is>
      </c>
      <c r="AF28" s="86" t="inlineStr">
        <is>
          <t>-</t>
        </is>
      </c>
      <c r="AG28" s="86" t="inlineStr">
        <is>
          <t>-</t>
        </is>
      </c>
    </row>
    <row r="29" ht="60" customHeight="1" s="434">
      <c r="B29">
        <f>'요약 통계'!B14</f>
        <v/>
      </c>
      <c r="D29" s="331" t="inlineStr">
        <is>
          <t>S-09</t>
        </is>
      </c>
      <c r="E29" s="370">
        <f>'요약 통계'!D14</f>
        <v/>
      </c>
      <c r="F29" s="442" t="n"/>
      <c r="G29" s="442" t="n"/>
      <c r="H29" s="442" t="n"/>
      <c r="I29" s="435" t="n"/>
      <c r="J29" s="168">
        <f>'요약 통계'!E14</f>
        <v/>
      </c>
      <c r="K29" s="132">
        <f>IF(M29="N/A","-",'요약 통계'!F14)</f>
        <v/>
      </c>
      <c r="L29" s="133" t="inlineStr">
        <is>
          <t>TT-15</t>
        </is>
      </c>
      <c r="M29" s="125" t="inlineStr">
        <is>
          <t>Y</t>
        </is>
      </c>
      <c r="N29" s="134">
        <f>IF(M29="N",0,K29)</f>
        <v/>
      </c>
      <c r="O29" s="186" t="inlineStr">
        <is>
          <t xml:space="preserve">■ 기준 : 패치적용정책을 수립하여 주기적으로 패치를 관리하고 있을 경우 "양호"
■ 현황 : </t>
        </is>
      </c>
      <c r="P29" s="236">
        <f>IF(M29="N",'잠재위험 및 대응책 DB'!A10,"-")</f>
        <v/>
      </c>
      <c r="Q29" s="237">
        <f>IF(M29="N",'잠재위험 및 대응책 DB'!B10,"-")</f>
        <v/>
      </c>
      <c r="R29" s="207" t="n"/>
      <c r="S29" s="135">
        <f>J29</f>
        <v/>
      </c>
      <c r="T29" s="135">
        <f>IF(S29="상",3,IF(S29="중",2,IF(S29="하",1,0)))</f>
        <v/>
      </c>
      <c r="U29" s="135">
        <f>IFERROR(IF(OR($M29="y",$M29="n/a"),"-",$G$10+(($K29-$N29)*2)),"-")</f>
        <v/>
      </c>
      <c r="V29" s="135">
        <f>IF(U29="-","-",IF(U29&gt;=7,"상",IF(U29&gt;=4,"중",IF(U29&gt;=2,"하","하"))))</f>
        <v/>
      </c>
      <c r="W29" s="135">
        <f>IF(U29="-","-",IF(U29&gt;=$I$10,"통제 적용","위험 수용"))</f>
        <v/>
      </c>
      <c r="X29" s="135">
        <f>IF(W29="통제 적용",D29,"-")</f>
        <v/>
      </c>
      <c r="Z29" s="86" t="n">
        <v>5</v>
      </c>
      <c r="AA29" s="86" t="n">
        <v>2</v>
      </c>
      <c r="AB29" s="86" t="n">
        <v>5</v>
      </c>
      <c r="AC29" s="86">
        <f>SUM(Z29:AB29)</f>
        <v/>
      </c>
      <c r="AD29" s="86" t="inlineStr">
        <is>
          <t>-</t>
        </is>
      </c>
      <c r="AE29" s="86" t="inlineStr">
        <is>
          <t>-</t>
        </is>
      </c>
      <c r="AF29" s="86" t="inlineStr">
        <is>
          <t>-</t>
        </is>
      </c>
      <c r="AG29" s="86" t="inlineStr">
        <is>
          <t>-</t>
        </is>
      </c>
    </row>
    <row r="30" ht="60" customHeight="1" s="434">
      <c r="B30">
        <f>'요약 통계'!B15</f>
        <v/>
      </c>
      <c r="D30" s="331" t="inlineStr">
        <is>
          <t>S-10</t>
        </is>
      </c>
      <c r="E30" s="370">
        <f>'요약 통계'!D15</f>
        <v/>
      </c>
      <c r="F30" s="442" t="n"/>
      <c r="G30" s="442" t="n"/>
      <c r="H30" s="442" t="n"/>
      <c r="I30" s="435" t="n"/>
      <c r="J30" s="168">
        <f>'요약 통계'!E15</f>
        <v/>
      </c>
      <c r="K30" s="132">
        <f>IF(M30="N/A","-",'요약 통계'!F15)</f>
        <v/>
      </c>
      <c r="L30" s="133" t="inlineStr">
        <is>
          <t>TT-15</t>
        </is>
      </c>
      <c r="M30" s="125" t="inlineStr">
        <is>
          <t>Y</t>
        </is>
      </c>
      <c r="N30" s="134">
        <f>IF(M30="N",0,K30)</f>
        <v/>
      </c>
      <c r="O30" s="186" t="inlineStr">
        <is>
          <t xml:space="preserve">■ 기준 : 정책에 따른 로그설정이 되어있는 경우 "양호"
■ 현황 : </t>
        </is>
      </c>
      <c r="P30" s="236">
        <f>IF(M30="N",'잠재위험 및 대응책 DB'!A11,"-")</f>
        <v/>
      </c>
      <c r="Q30" s="237">
        <f>IF(M30="N",'잠재위험 및 대응책 DB'!B11,"-")</f>
        <v/>
      </c>
      <c r="R30" s="207" t="n"/>
      <c r="S30" s="135">
        <f>J30</f>
        <v/>
      </c>
      <c r="T30" s="135">
        <f>IF(S30="상",3,IF(S30="중",2,IF(S30="하",1,0)))</f>
        <v/>
      </c>
      <c r="U30" s="135">
        <f>IFERROR(IF(OR($M30="y",$M30="n/a"),"-",$G$10+(($K30-$N30)*2)),"-")</f>
        <v/>
      </c>
      <c r="V30" s="135">
        <f>IF(U30="-","-",IF(U30&gt;=7,"상",IF(U30&gt;=4,"중",IF(U30&gt;=2,"하","하"))))</f>
        <v/>
      </c>
      <c r="W30" s="135">
        <f>IF(U30="-","-",IF(U30&gt;=$I$10,"통제 적용","위험 수용"))</f>
        <v/>
      </c>
      <c r="X30" s="135">
        <f>IF(W30="통제 적용",D30,"-")</f>
        <v/>
      </c>
      <c r="Z30" s="86" t="n">
        <v>5</v>
      </c>
      <c r="AA30" s="86" t="n">
        <v>3</v>
      </c>
      <c r="AB30" s="86" t="n">
        <v>5</v>
      </c>
      <c r="AC30" s="86">
        <f>SUM(Z30:AB30)</f>
        <v/>
      </c>
      <c r="AD30" s="86" t="inlineStr">
        <is>
          <t>-</t>
        </is>
      </c>
      <c r="AE30" s="86" t="inlineStr">
        <is>
          <t>-</t>
        </is>
      </c>
      <c r="AF30" s="86" t="inlineStr">
        <is>
          <t>-</t>
        </is>
      </c>
      <c r="AG30" s="86" t="inlineStr">
        <is>
          <t>-</t>
        </is>
      </c>
    </row>
    <row r="31" ht="60" customHeight="1" s="434">
      <c r="D31" s="331" t="inlineStr">
        <is>
          <t>S-11</t>
        </is>
      </c>
      <c r="E31" s="370">
        <f>'요약 통계'!D16</f>
        <v/>
      </c>
      <c r="F31" s="442" t="n"/>
      <c r="G31" s="442" t="n"/>
      <c r="H31" s="442" t="n"/>
      <c r="I31" s="435" t="n"/>
      <c r="J31" s="168">
        <f>'요약 통계'!E16</f>
        <v/>
      </c>
      <c r="K31" s="132">
        <f>IF(M31="N/A","-",'요약 통계'!F16)</f>
        <v/>
      </c>
      <c r="L31" s="133" t="inlineStr">
        <is>
          <t>TT-15</t>
        </is>
      </c>
      <c r="M31" s="125" t="inlineStr">
        <is>
          <t>Y</t>
        </is>
      </c>
      <c r="N31" s="134">
        <f>IF(M31="N",0,K31)</f>
        <v/>
      </c>
      <c r="O31" s="186" t="inlineStr">
        <is>
          <t xml:space="preserve">■ 기준 : 정책에 따라 로그보관 설정이 되어있는 경우 "양호"
■ 현황 : </t>
        </is>
      </c>
      <c r="P31" s="236">
        <f>IF(M31="N",'잠재위험 및 대응책 DB'!A12,"-")</f>
        <v/>
      </c>
      <c r="Q31" s="237">
        <f>IF(M31="N",'잠재위험 및 대응책 DB'!B12,"-")</f>
        <v/>
      </c>
      <c r="R31" s="207" t="n"/>
      <c r="S31" s="135">
        <f>J31</f>
        <v/>
      </c>
      <c r="T31" s="135">
        <f>IF(S31="상",3,IF(S31="중",2,IF(S31="하",1,0)))</f>
        <v/>
      </c>
      <c r="U31" s="135">
        <f>IFERROR(IF(OR($M31="y",$M31="n/a"),"-",$G$10+(($K31-$N31)*2)),"-")</f>
        <v/>
      </c>
      <c r="V31" s="135">
        <f>IF(U31="-","-",IF(U31&gt;=7,"상",IF(U31&gt;=4,"중",IF(U31&gt;=2,"하","하"))))</f>
        <v/>
      </c>
      <c r="W31" s="135">
        <f>IF(U31="-","-",IF(U31&gt;=$I$10,"통제 적용","위험 수용"))</f>
        <v/>
      </c>
      <c r="X31" s="135">
        <f>IF(W31="통제 적용",D31,"-")</f>
        <v/>
      </c>
      <c r="Z31" s="86" t="n">
        <v>5</v>
      </c>
      <c r="AA31" s="86" t="n">
        <v>2</v>
      </c>
      <c r="AB31" s="86" t="n">
        <v>5</v>
      </c>
      <c r="AC31" s="86">
        <f>SUM(Z31:AB31)</f>
        <v/>
      </c>
      <c r="AD31" s="86" t="inlineStr">
        <is>
          <t>-</t>
        </is>
      </c>
      <c r="AE31" s="86" t="inlineStr">
        <is>
          <t>-</t>
        </is>
      </c>
      <c r="AF31" s="86" t="inlineStr">
        <is>
          <t>-</t>
        </is>
      </c>
      <c r="AG31" s="86" t="inlineStr">
        <is>
          <t>-</t>
        </is>
      </c>
    </row>
    <row r="32" ht="60" customHeight="1" s="434">
      <c r="D32" s="331" t="inlineStr">
        <is>
          <t>S-12</t>
        </is>
      </c>
      <c r="E32" s="370">
        <f>'요약 통계'!D17</f>
        <v/>
      </c>
      <c r="F32" s="442" t="n"/>
      <c r="G32" s="442" t="n"/>
      <c r="H32" s="442" t="n"/>
      <c r="I32" s="435" t="n"/>
      <c r="J32" s="168">
        <f>'요약 통계'!E17</f>
        <v/>
      </c>
      <c r="K32" s="132">
        <f>IF(M32="N/A","-",'요약 통계'!F17)</f>
        <v/>
      </c>
      <c r="L32" s="133" t="inlineStr">
        <is>
          <t>TT-15</t>
        </is>
      </c>
      <c r="M32" s="125" t="inlineStr">
        <is>
          <t>Y</t>
        </is>
      </c>
      <c r="N32" s="134">
        <f>IF(M32="N",0,K32)</f>
        <v/>
      </c>
      <c r="O32" s="186" t="inlineStr">
        <is>
          <t xml:space="preserve">■ 기준 : 보안장비에 적용된 정책을 별도의 파일로 보관하고 있는 경우 "양호"
■ 현황 : </t>
        </is>
      </c>
      <c r="P32" s="236">
        <f>IF(M32="N",'잠재위험 및 대응책 DB'!A13,"-")</f>
        <v/>
      </c>
      <c r="Q32" s="237">
        <f>IF(M32="N",'잠재위험 및 대응책 DB'!B13,"-")</f>
        <v/>
      </c>
      <c r="R32" s="207" t="n"/>
      <c r="S32" s="135">
        <f>J32</f>
        <v/>
      </c>
      <c r="T32" s="135">
        <f>IF(S32="상",3,IF(S32="중",2,IF(S32="하",1,0)))</f>
        <v/>
      </c>
      <c r="U32" s="135">
        <f>IFERROR(IF(OR($M32="y",$M32="n/a"),"-",$G$10+(($K32-$N32)*2)),"-")</f>
        <v/>
      </c>
      <c r="V32" s="135">
        <f>IF(U32="-","-",IF(U32&gt;=7,"상",IF(U32&gt;=4,"중",IF(U32&gt;=2,"하","하"))))</f>
        <v/>
      </c>
      <c r="W32" s="135">
        <f>IF(U32="-","-",IF(U32&gt;=$I$10,"통제 적용","위험 수용"))</f>
        <v/>
      </c>
      <c r="X32" s="135">
        <f>IF(W32="통제 적용",D32,"-")</f>
        <v/>
      </c>
      <c r="Z32" s="86" t="n">
        <v>5</v>
      </c>
      <c r="AA32" s="86" t="n">
        <v>2</v>
      </c>
      <c r="AB32" s="86" t="n">
        <v>5</v>
      </c>
      <c r="AC32" s="86">
        <f>SUM(Z32:AB32)</f>
        <v/>
      </c>
      <c r="AD32" s="86" t="inlineStr">
        <is>
          <t>-</t>
        </is>
      </c>
      <c r="AE32" s="86" t="inlineStr">
        <is>
          <t>-</t>
        </is>
      </c>
      <c r="AF32" s="86" t="inlineStr">
        <is>
          <t>-</t>
        </is>
      </c>
      <c r="AG32" s="86" t="inlineStr">
        <is>
          <t>-</t>
        </is>
      </c>
    </row>
    <row r="33" ht="60" customHeight="1" s="434" thickBot="1">
      <c r="D33" s="149" t="inlineStr">
        <is>
          <t>S-13</t>
        </is>
      </c>
      <c r="E33" s="370">
        <f>'요약 통계'!D18</f>
        <v/>
      </c>
      <c r="F33" s="442" t="n"/>
      <c r="G33" s="442" t="n"/>
      <c r="H33" s="442" t="n"/>
      <c r="I33" s="435" t="n"/>
      <c r="J33" s="150">
        <f>'요약 통계'!E18</f>
        <v/>
      </c>
      <c r="K33" s="150">
        <f>IF(M33="N/A","-",'요약 통계'!F18)</f>
        <v/>
      </c>
      <c r="L33" s="151" t="inlineStr">
        <is>
          <t>TT-15</t>
        </is>
      </c>
      <c r="M33" s="125" t="inlineStr">
        <is>
          <t>Y</t>
        </is>
      </c>
      <c r="N33" s="134">
        <f>IF(M33="N",0,K33)</f>
        <v/>
      </c>
      <c r="O33" s="212" t="inlineStr">
        <is>
          <t xml:space="preserve">■ 기준 : 별도의 로그서버를 구축하여 통합 관리하는 경우 "양호"
■ 현황 : </t>
        </is>
      </c>
      <c r="P33" s="238">
        <f>IF(M33="N",'잠재위험 및 대응책 DB'!A14,"-")</f>
        <v/>
      </c>
      <c r="Q33" s="238">
        <f>IF(M33="N",'잠재위험 및 대응책 DB'!B14,"-")</f>
        <v/>
      </c>
      <c r="R33" s="207" t="n"/>
      <c r="S33" s="156">
        <f>J33</f>
        <v/>
      </c>
      <c r="T33" s="156">
        <f>IF(S33="상",3,IF(S33="중",2,IF(S33="하",1,0)))</f>
        <v/>
      </c>
      <c r="U33" s="156">
        <f>IFERROR(IF(OR($M33="y",$M33="n/a"),"-",$G$10+(($K33-$N33)*2)),"-")</f>
        <v/>
      </c>
      <c r="V33" s="156">
        <f>IF(U33="-","-",IF(U33&gt;=7,"상",IF(U33&gt;=4,"중",IF(U33&gt;=2,"하","하"))))</f>
        <v/>
      </c>
      <c r="W33" s="156">
        <f>IF(U33="-","-",IF(U33&gt;=$I$10,"통제 적용","위험 수용"))</f>
        <v/>
      </c>
      <c r="X33" s="156">
        <f>IF(W33="통제 적용",D33,"-")</f>
        <v/>
      </c>
      <c r="Z33" s="86" t="n">
        <v>5</v>
      </c>
      <c r="AA33" s="86" t="n">
        <v>3</v>
      </c>
      <c r="AB33" s="86" t="n">
        <v>5</v>
      </c>
      <c r="AC33" s="86">
        <f>SUM(Z33:AB33)</f>
        <v/>
      </c>
      <c r="AD33" s="86" t="inlineStr">
        <is>
          <t>-</t>
        </is>
      </c>
      <c r="AE33" s="86" t="inlineStr">
        <is>
          <t>-</t>
        </is>
      </c>
      <c r="AF33" s="86" t="inlineStr">
        <is>
          <t>-</t>
        </is>
      </c>
      <c r="AG33" s="86" t="inlineStr">
        <is>
          <t>-</t>
        </is>
      </c>
    </row>
    <row r="34" ht="60" customHeight="1" s="434">
      <c r="D34" s="217" t="inlineStr">
        <is>
          <t>S-14</t>
        </is>
      </c>
      <c r="E34" s="370">
        <f>'요약 통계'!D19</f>
        <v/>
      </c>
      <c r="F34" s="442" t="n"/>
      <c r="G34" s="442" t="n"/>
      <c r="H34" s="442" t="n"/>
      <c r="I34" s="435" t="n"/>
      <c r="J34" s="199">
        <f>'요약 통계'!E19</f>
        <v/>
      </c>
      <c r="K34" s="218">
        <f>IF(M34="N/A","-",'요약 통계'!F19)</f>
        <v/>
      </c>
      <c r="L34" s="219" t="inlineStr">
        <is>
          <t>TT-15</t>
        </is>
      </c>
      <c r="M34" s="126" t="inlineStr">
        <is>
          <t>Y</t>
        </is>
      </c>
      <c r="N34" s="134">
        <f>IF(M34="N",0,K34)</f>
        <v/>
      </c>
      <c r="O34" s="220" t="inlineStr">
        <is>
          <t xml:space="preserve">■ 기준 : NTP 및 시간 동기화 설정이 되어 있는 경우 "양호"
■ 현황 : </t>
        </is>
      </c>
      <c r="P34" s="246">
        <f>IF(M34="N",'잠재위험 및 대응책 DB'!A15,"-")</f>
        <v/>
      </c>
      <c r="Q34" s="240">
        <f>IF(M34="N",'잠재위험 및 대응책 DB'!B15,"-")</f>
        <v/>
      </c>
      <c r="R34" s="208" t="n"/>
      <c r="S34" s="147">
        <f>J34</f>
        <v/>
      </c>
      <c r="T34" s="148">
        <f>IF(S34="상",3,IF(S34="중",2,IF(S34="하",1,0)))</f>
        <v/>
      </c>
      <c r="U34" s="148">
        <f>IFERROR(IF(OR($M34="y",$M34="n/a"),"-",$G$10+(($K34-$N34)*2)),"-")</f>
        <v/>
      </c>
      <c r="V34" s="148">
        <f>IF(U34="-","-",IF(U34&gt;=7,"상",IF(U34&gt;=4,"중",IF(U34&gt;=2,"하","하"))))</f>
        <v/>
      </c>
      <c r="W34" s="148">
        <f>IF(U34="-","-",IF(U34&gt;=$I$10,"통제 적용","위험 수용"))</f>
        <v/>
      </c>
      <c r="X34" s="148">
        <f>IF(W34="통제 적용",D34,"-")</f>
        <v/>
      </c>
      <c r="Z34" s="189" t="n">
        <v>5</v>
      </c>
      <c r="AA34" s="189" t="n">
        <v>4</v>
      </c>
      <c r="AB34" s="189" t="n">
        <v>5</v>
      </c>
      <c r="AC34" s="104">
        <f>SUM(Z34:AB34)</f>
        <v/>
      </c>
      <c r="AD34" s="104" t="inlineStr">
        <is>
          <t>-</t>
        </is>
      </c>
      <c r="AE34" s="104" t="inlineStr">
        <is>
          <t>-</t>
        </is>
      </c>
      <c r="AF34" s="104" t="inlineStr">
        <is>
          <t>-</t>
        </is>
      </c>
      <c r="AG34" s="256" t="n"/>
    </row>
    <row r="35" ht="60" customHeight="1" s="434">
      <c r="B35">
        <f>'요약 통계'!B20</f>
        <v/>
      </c>
      <c r="D35" s="211" t="inlineStr">
        <is>
          <t>S-15</t>
        </is>
      </c>
      <c r="E35" s="370">
        <f>'요약 통계'!D20</f>
        <v/>
      </c>
      <c r="F35" s="442" t="n"/>
      <c r="G35" s="442" t="n"/>
      <c r="H35" s="442" t="n"/>
      <c r="I35" s="435" t="n"/>
      <c r="J35" s="168">
        <f>'요약 통계'!E20</f>
        <v/>
      </c>
      <c r="K35" s="137">
        <f>IF(M35="N/A","-",'요약 통계'!F20)</f>
        <v/>
      </c>
      <c r="L35" s="138" t="inlineStr">
        <is>
          <t>TT-14</t>
        </is>
      </c>
      <c r="M35" s="126" t="inlineStr">
        <is>
          <t>Y</t>
        </is>
      </c>
      <c r="N35" s="134">
        <f>IF(M35="N",0,K35)</f>
        <v/>
      </c>
      <c r="O35" s="215" t="inlineStr">
        <is>
          <t xml:space="preserve">■ 기준 : 정책에 대한 주기적인 검사로 미 사용 및 중복된 정책을 확인하여 제거하는 경우 "양호"
■ 현황 : </t>
        </is>
      </c>
      <c r="P35" s="247">
        <f>IF(M35="N",'잠재위험 및 대응책 DB'!A16,"-")</f>
        <v/>
      </c>
      <c r="Q35" s="241">
        <f>IF(M35="N",'잠재위험 및 대응책 DB'!B16,"-")</f>
        <v/>
      </c>
      <c r="R35" s="208" t="n"/>
      <c r="S35" s="140">
        <f>J35</f>
        <v/>
      </c>
      <c r="T35" s="92">
        <f>IF(S35="상",3,IF(S35="중",2,IF(S35="하",1,0)))</f>
        <v/>
      </c>
      <c r="U35" s="92">
        <f>IFERROR(IF(OR($M35="y",$M35="n/a"),"-",$G$10+(($K35-$N35)*2)),"-")</f>
        <v/>
      </c>
      <c r="V35" s="92">
        <f>IF(U35="-","-",IF(U35&gt;=7,"상",IF(U35&gt;=4,"중",IF(U35&gt;=2,"하","하"))))</f>
        <v/>
      </c>
      <c r="W35" s="92">
        <f>IF(U35="-","-",IF(U35&gt;=$I$10,"통제 적용","위험 수용"))</f>
        <v/>
      </c>
      <c r="X35" s="92">
        <f>IF(W35="통제 적용",D35,"-")</f>
        <v/>
      </c>
      <c r="Z35" s="189" t="n">
        <v>5</v>
      </c>
      <c r="AA35" s="189" t="n">
        <v>4</v>
      </c>
      <c r="AB35" s="189" t="n">
        <v>5</v>
      </c>
      <c r="AC35" s="104">
        <f>SUM(Z35:AB35)</f>
        <v/>
      </c>
      <c r="AD35" s="104" t="inlineStr">
        <is>
          <t>-</t>
        </is>
      </c>
      <c r="AE35" s="104" t="inlineStr">
        <is>
          <t>-</t>
        </is>
      </c>
      <c r="AF35" s="104" t="inlineStr">
        <is>
          <t>-</t>
        </is>
      </c>
      <c r="AG35" s="256" t="n"/>
    </row>
    <row r="36" ht="60" customHeight="1" s="434">
      <c r="D36" s="211" t="inlineStr">
        <is>
          <t>S-16</t>
        </is>
      </c>
      <c r="E36" s="370">
        <f>'요약 통계'!D21</f>
        <v/>
      </c>
      <c r="F36" s="442" t="n"/>
      <c r="G36" s="442" t="n"/>
      <c r="H36" s="442" t="n"/>
      <c r="I36" s="435" t="n"/>
      <c r="J36" s="168">
        <f>'요약 통계'!E21</f>
        <v/>
      </c>
      <c r="K36" s="137">
        <f>IF(M36="N/A","-",'요약 통계'!F21)</f>
        <v/>
      </c>
      <c r="L36" s="138" t="inlineStr">
        <is>
          <t>TT-14</t>
        </is>
      </c>
      <c r="M36" s="126" t="inlineStr">
        <is>
          <t>Y</t>
        </is>
      </c>
      <c r="N36" s="134">
        <f>IF(M36="N",0,K36)</f>
        <v/>
      </c>
      <c r="O36" s="215" t="inlineStr">
        <is>
          <t xml:space="preserve">■ 기준 : NAT 설정으로 내부네트워크를 보호하는 경우 "양호"
■ 현황 : </t>
        </is>
      </c>
      <c r="P36" s="247">
        <f>IF(M36="N",'잠재위험 및 대응책 DB'!A17,"-")</f>
        <v/>
      </c>
      <c r="Q36" s="241">
        <f>IF(M36="N",'잠재위험 및 대응책 DB'!B17,"-")</f>
        <v/>
      </c>
      <c r="R36" s="208" t="n"/>
      <c r="S36" s="140">
        <f>J36</f>
        <v/>
      </c>
      <c r="T36" s="92">
        <f>IF(S36="상",3,IF(S36="중",2,IF(S36="하",1,0)))</f>
        <v/>
      </c>
      <c r="U36" s="92">
        <f>IFERROR(IF(OR($M36="y",$M36="n/a"),"-",$G$10+(($K36-$N36)*2)),"-")</f>
        <v/>
      </c>
      <c r="V36" s="92">
        <f>IF(U36="-","-",IF(U36&gt;=7,"상",IF(U36&gt;=4,"중",IF(U36&gt;=2,"하","하"))))</f>
        <v/>
      </c>
      <c r="W36" s="92">
        <f>IF(U36="-","-",IF(U36&gt;=$I$10,"통제 적용","위험 수용"))</f>
        <v/>
      </c>
      <c r="X36" s="92">
        <f>IF(W36="통제 적용",D36,"-")</f>
        <v/>
      </c>
      <c r="Z36" s="189" t="n">
        <v>5</v>
      </c>
      <c r="AA36" s="189" t="n">
        <v>4</v>
      </c>
      <c r="AB36" s="189" t="n">
        <v>5</v>
      </c>
      <c r="AC36" s="104">
        <f>SUM(Z36:AB36)</f>
        <v/>
      </c>
      <c r="AD36" s="104" t="inlineStr">
        <is>
          <t>-</t>
        </is>
      </c>
      <c r="AE36" s="104" t="inlineStr">
        <is>
          <t>-</t>
        </is>
      </c>
      <c r="AF36" s="104" t="inlineStr">
        <is>
          <t>-</t>
        </is>
      </c>
      <c r="AG36" s="256" t="n"/>
    </row>
    <row r="37" ht="60" customHeight="1" s="434">
      <c r="D37" s="211" t="inlineStr">
        <is>
          <t>S-17</t>
        </is>
      </c>
      <c r="E37" s="370">
        <f>'요약 통계'!D22</f>
        <v/>
      </c>
      <c r="F37" s="442" t="n"/>
      <c r="G37" s="442" t="n"/>
      <c r="H37" s="442" t="n"/>
      <c r="I37" s="435" t="n"/>
      <c r="J37" s="168">
        <f>'요약 통계'!E22</f>
        <v/>
      </c>
      <c r="K37" s="137">
        <f>IF(M37="N/A","-",'요약 통계'!F22)</f>
        <v/>
      </c>
      <c r="L37" s="138" t="inlineStr">
        <is>
          <t>TT-14</t>
        </is>
      </c>
      <c r="M37" s="126" t="inlineStr">
        <is>
          <t>Y</t>
        </is>
      </c>
      <c r="N37" s="134">
        <f>IF(M37="N",0,K37)</f>
        <v/>
      </c>
      <c r="O37" s="215" t="inlineStr">
        <is>
          <t xml:space="preserve">■ 기준 : DMZ를 구성하여 내부네트워크를 보호하는 경우 "양호"
■ 현황 : </t>
        </is>
      </c>
      <c r="P37" s="247">
        <f>IF(M37="N",'잠재위험 및 대응책 DB'!A18,"-")</f>
        <v/>
      </c>
      <c r="Q37" s="241">
        <f>IF(M37="N",'잠재위험 및 대응책 DB'!B18,"-")</f>
        <v/>
      </c>
      <c r="R37" s="208" t="n"/>
      <c r="S37" s="140">
        <f>J37</f>
        <v/>
      </c>
      <c r="T37" s="92">
        <f>IF(S37="상",3,IF(S37="중",2,IF(S37="하",1,0)))</f>
        <v/>
      </c>
      <c r="U37" s="92">
        <f>IFERROR(IF(OR($M37="y",$M37="n/a"),"-",$G$10+(($K37-$N37)*2)),"-")</f>
        <v/>
      </c>
      <c r="V37" s="92">
        <f>IF(U37="-","-",IF(U37&gt;=7,"상",IF(U37&gt;=4,"중",IF(U37&gt;=2,"하","하"))))</f>
        <v/>
      </c>
      <c r="W37" s="92">
        <f>IF(U37="-","-",IF(U37&gt;=$I$10,"통제 적용","위험 수용"))</f>
        <v/>
      </c>
      <c r="X37" s="92">
        <f>IF(W37="통제 적용",D37,"-")</f>
        <v/>
      </c>
      <c r="Z37" s="189" t="n">
        <v>5</v>
      </c>
      <c r="AA37" s="189" t="n">
        <v>4</v>
      </c>
      <c r="AB37" s="189" t="n">
        <v>5</v>
      </c>
      <c r="AC37" s="104">
        <f>SUM(Z37:AB37)</f>
        <v/>
      </c>
      <c r="AD37" s="104" t="inlineStr">
        <is>
          <t>-</t>
        </is>
      </c>
      <c r="AE37" s="104" t="inlineStr">
        <is>
          <t>-</t>
        </is>
      </c>
      <c r="AF37" s="104" t="inlineStr">
        <is>
          <t>-</t>
        </is>
      </c>
      <c r="AG37" s="256" t="n"/>
    </row>
    <row r="38" ht="60" customHeight="1" s="434">
      <c r="D38" s="211" t="inlineStr">
        <is>
          <t>S-18</t>
        </is>
      </c>
      <c r="E38" s="370">
        <f>'요약 통계'!D23</f>
        <v/>
      </c>
      <c r="F38" s="442" t="n"/>
      <c r="G38" s="442" t="n"/>
      <c r="H38" s="442" t="n"/>
      <c r="I38" s="435" t="n"/>
      <c r="J38" s="168">
        <f>'요약 통계'!E23</f>
        <v/>
      </c>
      <c r="K38" s="137">
        <f>IF(M38="N/A","-",'요약 통계'!F23)</f>
        <v/>
      </c>
      <c r="L38" s="138" t="inlineStr">
        <is>
          <t>TT-14</t>
        </is>
      </c>
      <c r="M38" s="126" t="inlineStr">
        <is>
          <t>Y</t>
        </is>
      </c>
      <c r="N38" s="134">
        <f>IF(M38="N",0,K38)</f>
        <v/>
      </c>
      <c r="O38" s="215" t="inlineStr">
        <is>
          <t xml:space="preserve">■ 기준 : all deny 설정을 하고, 방화벽에 최소서비스만 허용할 경우 "양호"
■ 현황 : </t>
        </is>
      </c>
      <c r="P38" s="247">
        <f>IF(M38="N",'잠재위험 및 대응책 DB'!A19,"-")</f>
        <v/>
      </c>
      <c r="Q38" s="241">
        <f>IF(M38="N",'잠재위험 및 대응책 DB'!B19,"-")</f>
        <v/>
      </c>
      <c r="R38" s="208" t="n"/>
      <c r="S38" s="140">
        <f>J38</f>
        <v/>
      </c>
      <c r="T38" s="92">
        <f>IF(S38="상",3,IF(S38="중",2,IF(S38="하",1,0)))</f>
        <v/>
      </c>
      <c r="U38" s="92">
        <f>IFERROR(IF(OR($M38="y",$M38="n/a"),"-",$G$10+(($K38-$N38)*2)),"-")</f>
        <v/>
      </c>
      <c r="V38" s="92">
        <f>IF(U38="-","-",IF(U38&gt;=7,"상",IF(U38&gt;=4,"중",IF(U38&gt;=2,"하","하"))))</f>
        <v/>
      </c>
      <c r="W38" s="92">
        <f>IF(U38="-","-",IF(U38&gt;=$I$10,"통제 적용","위험 수용"))</f>
        <v/>
      </c>
      <c r="X38" s="92">
        <f>IF(W38="통제 적용",D38,"-")</f>
        <v/>
      </c>
      <c r="Z38" s="189" t="n">
        <v>5</v>
      </c>
      <c r="AA38" s="189" t="n">
        <v>4</v>
      </c>
      <c r="AB38" s="189" t="n">
        <v>5</v>
      </c>
      <c r="AC38" s="104">
        <f>SUM(Z38:AB38)</f>
        <v/>
      </c>
      <c r="AD38" s="104" t="inlineStr">
        <is>
          <t>-</t>
        </is>
      </c>
      <c r="AE38" s="104" t="inlineStr">
        <is>
          <t>-</t>
        </is>
      </c>
      <c r="AF38" s="104" t="inlineStr">
        <is>
          <t>-</t>
        </is>
      </c>
      <c r="AG38" s="256" t="n"/>
    </row>
    <row r="39" ht="60" customHeight="1" s="434">
      <c r="D39" s="211" t="inlineStr">
        <is>
          <t>S-19</t>
        </is>
      </c>
      <c r="E39" s="370">
        <f>'요약 통계'!D24</f>
        <v/>
      </c>
      <c r="F39" s="442" t="n"/>
      <c r="G39" s="442" t="n"/>
      <c r="H39" s="442" t="n"/>
      <c r="I39" s="435" t="n"/>
      <c r="J39" s="168">
        <f>'요약 통계'!E24</f>
        <v/>
      </c>
      <c r="K39" s="137">
        <f>IF(M39="N/A","-",'요약 통계'!F24)</f>
        <v/>
      </c>
      <c r="L39" s="138" t="inlineStr">
        <is>
          <t>TT-14</t>
        </is>
      </c>
      <c r="M39" s="126" t="inlineStr">
        <is>
          <t>Y</t>
        </is>
      </c>
      <c r="N39" s="134">
        <f>IF(M39="N",0,K39)</f>
        <v/>
      </c>
      <c r="O39" s="215" t="inlineStr">
        <is>
          <t xml:space="preserve">■ 기준 : 이상징후 탐지 시 관리자에게 이메일이나 SMS로 통보되는 경우 "양호"
■ 현황 : </t>
        </is>
      </c>
      <c r="P39" s="247">
        <f>IF(M39="N",'잠재위험 및 대응책 DB'!A20,"-")</f>
        <v/>
      </c>
      <c r="Q39" s="241">
        <f>IF(M39="N",'잠재위험 및 대응책 DB'!B20,"-")</f>
        <v/>
      </c>
      <c r="R39" s="208" t="n"/>
      <c r="S39" s="140">
        <f>J39</f>
        <v/>
      </c>
      <c r="T39" s="92">
        <f>IF(S39="상",3,IF(S39="중",2,IF(S39="하",1,0)))</f>
        <v/>
      </c>
      <c r="U39" s="92">
        <f>IFERROR(IF(OR($M39="y",$M39="n/a"),"-",$G$10+(($K39-$N39)*2)),"-")</f>
        <v/>
      </c>
      <c r="V39" s="92">
        <f>IF(U39="-","-",IF(U39&gt;=7,"상",IF(U39&gt;=4,"중",IF(U39&gt;=2,"하","하"))))</f>
        <v/>
      </c>
      <c r="W39" s="92">
        <f>IF(U39="-","-",IF(U39&gt;=$I$10,"통제 적용","위험 수용"))</f>
        <v/>
      </c>
      <c r="X39" s="92">
        <f>IF(W39="통제 적용",D39,"-")</f>
        <v/>
      </c>
      <c r="Z39" s="189" t="n">
        <v>5</v>
      </c>
      <c r="AA39" s="189" t="n">
        <v>4</v>
      </c>
      <c r="AB39" s="189" t="n">
        <v>5</v>
      </c>
      <c r="AC39" s="104">
        <f>SUM(Z39:AB39)</f>
        <v/>
      </c>
      <c r="AD39" s="104" t="inlineStr">
        <is>
          <t>-</t>
        </is>
      </c>
      <c r="AE39" s="104" t="inlineStr">
        <is>
          <t>-</t>
        </is>
      </c>
      <c r="AF39" s="104" t="inlineStr">
        <is>
          <t>-</t>
        </is>
      </c>
      <c r="AG39" s="256" t="n"/>
    </row>
    <row r="40" ht="60" customHeight="1" s="434">
      <c r="D40" s="211" t="inlineStr">
        <is>
          <t>S-20</t>
        </is>
      </c>
      <c r="E40" s="370">
        <f>'요약 통계'!D25</f>
        <v/>
      </c>
      <c r="F40" s="442" t="n"/>
      <c r="G40" s="442" t="n"/>
      <c r="H40" s="442" t="n"/>
      <c r="I40" s="435" t="n"/>
      <c r="J40" s="168">
        <f>'요약 통계'!E25</f>
        <v/>
      </c>
      <c r="K40" s="137">
        <f>IF(M40="N/A","-",'요약 통계'!F25)</f>
        <v/>
      </c>
      <c r="L40" s="138" t="inlineStr">
        <is>
          <t>TT-14</t>
        </is>
      </c>
      <c r="M40" s="126" t="inlineStr">
        <is>
          <t>Y</t>
        </is>
      </c>
      <c r="N40" s="134">
        <f>IF(M40="N",0,K40)</f>
        <v/>
      </c>
      <c r="O40" s="215" t="inlineStr">
        <is>
          <t xml:space="preserve">■ 기준 : 장비사용량을 정기적으로 모니터링 및 검토할 경우 "양호"
■ 현황 : </t>
        </is>
      </c>
      <c r="P40" s="247">
        <f>IF(M40="N",'잠재위험 및 대응책 DB'!A21,"-")</f>
        <v/>
      </c>
      <c r="Q40" s="241">
        <f>IF(M40="N",'잠재위험 및 대응책 DB'!B21,"-")</f>
        <v/>
      </c>
      <c r="R40" s="208" t="n"/>
      <c r="S40" s="140">
        <f>J40</f>
        <v/>
      </c>
      <c r="T40" s="92">
        <f>IF(S40="상",3,IF(S40="중",2,IF(S40="하",1,0)))</f>
        <v/>
      </c>
      <c r="U40" s="92">
        <f>IFERROR(IF(OR($M40="y",$M40="n/a"),"-",$G$10+(($K40-$N40)*2)),"-")</f>
        <v/>
      </c>
      <c r="V40" s="92">
        <f>IF(U40="-","-",IF(U40&gt;=7,"상",IF(U40&gt;=4,"중",IF(U40&gt;=2,"하","하"))))</f>
        <v/>
      </c>
      <c r="W40" s="92">
        <f>IF(U40="-","-",IF(U40&gt;=$I$10,"통제 적용","위험 수용"))</f>
        <v/>
      </c>
      <c r="X40" s="92">
        <f>IF(W40="통제 적용",D40,"-")</f>
        <v/>
      </c>
      <c r="Z40" s="189" t="n">
        <v>5</v>
      </c>
      <c r="AA40" s="189" t="n">
        <v>4</v>
      </c>
      <c r="AB40" s="189" t="n">
        <v>5</v>
      </c>
      <c r="AC40" s="104">
        <f>SUM(Z40:AB40)</f>
        <v/>
      </c>
      <c r="AD40" s="104" t="inlineStr">
        <is>
          <t>-</t>
        </is>
      </c>
      <c r="AE40" s="104" t="inlineStr">
        <is>
          <t>-</t>
        </is>
      </c>
      <c r="AF40" s="104" t="inlineStr">
        <is>
          <t>-</t>
        </is>
      </c>
      <c r="AG40" s="256" t="n"/>
    </row>
    <row r="41" ht="60" customHeight="1" s="434">
      <c r="D41" s="211" t="inlineStr">
        <is>
          <t>S-21</t>
        </is>
      </c>
      <c r="E41" s="370">
        <f>'요약 통계'!D26</f>
        <v/>
      </c>
      <c r="F41" s="442" t="n"/>
      <c r="G41" s="442" t="n"/>
      <c r="H41" s="442" t="n"/>
      <c r="I41" s="435" t="n"/>
      <c r="J41" s="168">
        <f>'요약 통계'!E26</f>
        <v/>
      </c>
      <c r="K41" s="137">
        <f>IF(M41="N/A","-",'요약 통계'!F26)</f>
        <v/>
      </c>
      <c r="L41" s="138" t="inlineStr">
        <is>
          <t>TT-14</t>
        </is>
      </c>
      <c r="M41" s="126" t="inlineStr">
        <is>
          <t>Y</t>
        </is>
      </c>
      <c r="N41" s="134">
        <f>IF(M41="N",0,K41)</f>
        <v/>
      </c>
      <c r="O41" s="215" t="inlineStr">
        <is>
          <t xml:space="preserve">■ 기준 : SNMP 서비스를 불필요하게 사용하지 않는 경우 "양호"
■ 현황 : </t>
        </is>
      </c>
      <c r="P41" s="247">
        <f>IF(M41="N",'잠재위험 및 대응책 DB'!A22,"-")</f>
        <v/>
      </c>
      <c r="Q41" s="241">
        <f>IF(M41="N",'잠재위험 및 대응책 DB'!B22,"-")</f>
        <v/>
      </c>
      <c r="R41" s="208" t="n"/>
      <c r="S41" s="140">
        <f>J41</f>
        <v/>
      </c>
      <c r="T41" s="92">
        <f>IF(S41="상",3,IF(S41="중",2,IF(S41="하",1,0)))</f>
        <v/>
      </c>
      <c r="U41" s="92">
        <f>IFERROR(IF(OR($M41="y",$M41="n/a"),"-",$G$10+(($K41-$N41)*2)),"-")</f>
        <v/>
      </c>
      <c r="V41" s="92">
        <f>IF(U41="-","-",IF(U41&gt;=7,"상",IF(U41&gt;=4,"중",IF(U41&gt;=2,"하","하"))))</f>
        <v/>
      </c>
      <c r="W41" s="92">
        <f>IF(U41="-","-",IF(U41&gt;=$I$10,"통제 적용","위험 수용"))</f>
        <v/>
      </c>
      <c r="X41" s="92">
        <f>IF(W41="통제 적용",D41,"-")</f>
        <v/>
      </c>
      <c r="Z41" s="189" t="n">
        <v>5</v>
      </c>
      <c r="AA41" s="189" t="n">
        <v>4</v>
      </c>
      <c r="AB41" s="189" t="n">
        <v>5</v>
      </c>
      <c r="AC41" s="104">
        <f>SUM(Z41:AB41)</f>
        <v/>
      </c>
      <c r="AD41" s="104" t="inlineStr">
        <is>
          <t>-</t>
        </is>
      </c>
      <c r="AE41" s="104" t="inlineStr">
        <is>
          <t>-</t>
        </is>
      </c>
      <c r="AF41" s="104" t="inlineStr">
        <is>
          <t>-</t>
        </is>
      </c>
      <c r="AG41" s="256" t="n"/>
    </row>
    <row r="42" ht="60" customHeight="1" s="434">
      <c r="D42" s="211" t="inlineStr">
        <is>
          <t>S-22</t>
        </is>
      </c>
      <c r="E42" s="370">
        <f>'요약 통계'!D27</f>
        <v/>
      </c>
      <c r="F42" s="442" t="n"/>
      <c r="G42" s="442" t="n"/>
      <c r="H42" s="442" t="n"/>
      <c r="I42" s="435" t="n"/>
      <c r="J42" s="168">
        <f>'요약 통계'!E27</f>
        <v/>
      </c>
      <c r="K42" s="137">
        <f>IF(M42="N/A","-",'요약 통계'!F27)</f>
        <v/>
      </c>
      <c r="L42" s="138" t="inlineStr">
        <is>
          <t>TT-14</t>
        </is>
      </c>
      <c r="M42" s="126" t="inlineStr">
        <is>
          <t>Y</t>
        </is>
      </c>
      <c r="N42" s="134">
        <f>IF(M42="N",0,K42)</f>
        <v/>
      </c>
      <c r="O42" s="215" t="inlineStr">
        <is>
          <t xml:space="preserve">■ 기준 : SNMP 서비스를 사용하지 않거나, 유추하기 어려운 community string을 설정한 경우 "양호"
■ 현황 : </t>
        </is>
      </c>
      <c r="P42" s="247">
        <f>IF(M42="N",'잠재위험 및 대응책 DB'!A23,"-")</f>
        <v/>
      </c>
      <c r="Q42" s="241">
        <f>IF(M42="N",'잠재위험 및 대응책 DB'!B23,"-")</f>
        <v/>
      </c>
      <c r="R42" s="208" t="n"/>
      <c r="S42" s="140">
        <f>J42</f>
        <v/>
      </c>
      <c r="T42" s="92">
        <f>IF(S42="상",3,IF(S42="중",2,IF(S42="하",1,0)))</f>
        <v/>
      </c>
      <c r="U42" s="92">
        <f>IFERROR(IF(OR($M42="y",$M42="n/a"),"-",$G$10+(($K42-$N42)*2)),"-")</f>
        <v/>
      </c>
      <c r="V42" s="92">
        <f>IF(U42="-","-",IF(U42&gt;=7,"상",IF(U42&gt;=4,"중",IF(U42&gt;=2,"하","하"))))</f>
        <v/>
      </c>
      <c r="W42" s="92">
        <f>IF(U42="-","-",IF(U42&gt;=$I$10,"통제 적용","위험 수용"))</f>
        <v/>
      </c>
      <c r="X42" s="92">
        <f>IF(W42="통제 적용",D42,"-")</f>
        <v/>
      </c>
      <c r="Z42" s="189" t="n">
        <v>5</v>
      </c>
      <c r="AA42" s="189" t="n">
        <v>4</v>
      </c>
      <c r="AB42" s="189" t="n">
        <v>5</v>
      </c>
      <c r="AC42" s="104">
        <f>SUM(Z42:AB42)</f>
        <v/>
      </c>
      <c r="AD42" s="104" t="inlineStr">
        <is>
          <t>-</t>
        </is>
      </c>
      <c r="AE42" s="104" t="inlineStr">
        <is>
          <t>-</t>
        </is>
      </c>
      <c r="AF42" s="104" t="inlineStr">
        <is>
          <t>-</t>
        </is>
      </c>
      <c r="AG42" s="256" t="n"/>
    </row>
    <row r="43" ht="60" customHeight="1" s="434">
      <c r="D43" s="211" t="inlineStr">
        <is>
          <t>S-23</t>
        </is>
      </c>
      <c r="E43" s="370">
        <f>'요약 통계'!D28</f>
        <v/>
      </c>
      <c r="F43" s="442" t="n"/>
      <c r="G43" s="442" t="n"/>
      <c r="H43" s="442" t="n"/>
      <c r="I43" s="435" t="n"/>
      <c r="J43" s="168">
        <f>'요약 통계'!E28</f>
        <v/>
      </c>
      <c r="K43" s="137">
        <f>IF(M43="N/A","-",'요약 통계'!F28)</f>
        <v/>
      </c>
      <c r="L43" s="138" t="inlineStr">
        <is>
          <t>TT-14</t>
        </is>
      </c>
      <c r="M43" s="126" t="inlineStr">
        <is>
          <t>Y</t>
        </is>
      </c>
      <c r="N43" s="134">
        <f>IF(M43="N",0,K43)</f>
        <v/>
      </c>
      <c r="O43" s="215" t="inlineStr">
        <is>
          <t xml:space="preserve">■ 기준 : 유해트래픽 차단정책이 설정되어 있는 경우 "양호"
■ 현황 : </t>
        </is>
      </c>
      <c r="P43" s="247">
        <f>IF(M43="N",'잠재위험 및 대응책 DB'!A24,"-")</f>
        <v/>
      </c>
      <c r="Q43" s="241">
        <f>IF(M43="N",'잠재위험 및 대응책 DB'!B24,"-")</f>
        <v/>
      </c>
      <c r="R43" s="208" t="n"/>
      <c r="S43" s="140">
        <f>J43</f>
        <v/>
      </c>
      <c r="T43" s="92">
        <f>IF(S43="상",3,IF(S43="중",2,IF(S43="하",1,0)))</f>
        <v/>
      </c>
      <c r="U43" s="92">
        <f>IFERROR(IF(OR($M43="y",$M43="n/a"),"-",$G$10+(($K43-$N43)*2)),"-")</f>
        <v/>
      </c>
      <c r="V43" s="92">
        <f>IF(U43="-","-",IF(U43&gt;=7,"상",IF(U43&gt;=4,"중",IF(U43&gt;=2,"하","하"))))</f>
        <v/>
      </c>
      <c r="W43" s="92">
        <f>IF(U43="-","-",IF(U43&gt;=$I$10,"통제 적용","위험 수용"))</f>
        <v/>
      </c>
      <c r="X43" s="92">
        <f>IF(W43="통제 적용",D43,"-")</f>
        <v/>
      </c>
      <c r="Z43" s="189" t="n">
        <v>5</v>
      </c>
      <c r="AA43" s="189" t="n">
        <v>4</v>
      </c>
      <c r="AB43" s="189" t="n">
        <v>5</v>
      </c>
      <c r="AC43" s="104">
        <f>SUM(Z43:AB43)</f>
        <v/>
      </c>
      <c r="AD43" s="104" t="inlineStr">
        <is>
          <t>-</t>
        </is>
      </c>
      <c r="AE43" s="104" t="inlineStr">
        <is>
          <t>-</t>
        </is>
      </c>
      <c r="AF43" s="104" t="inlineStr">
        <is>
          <t>-</t>
        </is>
      </c>
      <c r="AG43" s="256" t="n"/>
    </row>
    <row r="44" ht="60" customHeight="1" s="434">
      <c r="J44" s="13" t="n">
        <v>5</v>
      </c>
      <c r="K44" s="13" t="n"/>
      <c r="L44" s="13" t="n"/>
      <c r="M44" s="13">
        <f>COUNTIF($U$21:$U$87,5)</f>
        <v/>
      </c>
      <c r="S44" s="179" t="n"/>
      <c r="AC44" s="179" t="n"/>
    </row>
    <row r="45" ht="60" customHeight="1" s="434">
      <c r="J45" s="13" t="n">
        <v>6</v>
      </c>
      <c r="K45" s="13" t="n"/>
      <c r="L45" s="13" t="n"/>
      <c r="M45" s="13">
        <f>COUNTIF($U$21:$U$87,6)</f>
        <v/>
      </c>
      <c r="S45" s="179" t="n"/>
      <c r="AC45" s="179" t="n"/>
    </row>
    <row r="46" ht="60" customHeight="1" s="434">
      <c r="J46" s="13" t="n">
        <v>7</v>
      </c>
      <c r="K46" s="13" t="n"/>
      <c r="L46" s="13" t="n"/>
      <c r="M46" s="13">
        <f>COUNTIF($U$21:$U$87,7)</f>
        <v/>
      </c>
      <c r="S46" s="179" t="n"/>
      <c r="AC46" s="179" t="n"/>
    </row>
    <row r="47" ht="60" customHeight="1" s="434">
      <c r="J47" s="13" t="n">
        <v>8</v>
      </c>
      <c r="K47" s="13" t="n"/>
      <c r="L47" s="13" t="n"/>
      <c r="M47" s="13">
        <f>COUNTIF($U$21:$U$87,8)</f>
        <v/>
      </c>
      <c r="S47" s="179" t="n"/>
      <c r="AC47" s="179" t="n"/>
    </row>
    <row r="48" ht="60" customHeight="1" s="434">
      <c r="J48" s="13" t="n">
        <v>9</v>
      </c>
      <c r="K48" s="13" t="n"/>
      <c r="L48" s="13" t="n"/>
      <c r="M48" s="13">
        <f>COUNTIF($U$21:$U$87,9)</f>
        <v/>
      </c>
      <c r="S48" s="179" t="n"/>
      <c r="AC48" s="179" t="n"/>
    </row>
    <row r="49" ht="60" customHeight="1" s="434"/>
    <row r="50" ht="60" customHeight="1" s="434"/>
    <row r="51" ht="60" customHeight="1" s="434"/>
    <row r="52" ht="60" customHeight="1" s="434"/>
    <row r="53" ht="60" customHeight="1" s="434" thickBot="1"/>
    <row r="54" ht="60" customHeight="1" s="434"/>
    <row r="55" ht="60" customHeight="1" s="434"/>
    <row r="56" ht="60" customHeight="1" s="434"/>
    <row r="57" ht="60" customHeight="1" s="434"/>
    <row r="58" ht="60" customHeight="1" s="434"/>
    <row r="59" ht="60" customHeight="1" s="434"/>
    <row r="60" ht="60" customHeight="1" s="434"/>
    <row r="61" ht="60" customHeight="1" s="434"/>
    <row r="62" ht="60" customHeight="1" s="434"/>
    <row r="63" ht="60" customHeight="1" s="434"/>
    <row r="64" ht="60" customHeight="1" s="434"/>
    <row r="65" ht="60" customHeight="1" s="434"/>
    <row r="66" ht="60" customHeight="1" s="434"/>
    <row r="67" ht="60" customHeight="1" s="434"/>
    <row r="68" ht="60" customHeight="1" s="434"/>
    <row r="69" ht="60" customHeight="1" s="434"/>
    <row r="70" ht="60" customHeight="1" s="434"/>
    <row r="71" ht="60" customHeight="1" s="434"/>
    <row r="72" ht="60" customHeight="1" s="434"/>
    <row r="73" ht="60" customHeight="1" s="434"/>
    <row r="74" ht="60" customHeight="1" s="434"/>
    <row r="75" ht="60" customHeight="1" s="434"/>
    <row r="76" ht="60" customHeight="1" s="434"/>
    <row r="77" ht="60" customHeight="1" s="434"/>
    <row r="78" ht="60" customHeight="1" s="434"/>
    <row r="79" ht="60" customHeight="1" s="434"/>
    <row r="80" ht="60" customHeight="1" s="434"/>
    <row r="81" ht="60" customHeight="1" s="434"/>
    <row r="82" ht="60" customHeight="1" s="434"/>
    <row r="83" ht="60" customHeight="1" s="434" thickBot="1"/>
    <row r="84" ht="60" customHeight="1" s="434" thickBot="1"/>
    <row r="85" ht="60" customHeight="1" s="434"/>
    <row r="86" ht="60" customHeight="1" s="434"/>
    <row r="87" ht="60" customHeight="1" s="434" thickBot="1"/>
    <row r="90" hidden="1" s="434"/>
    <row r="91" hidden="1" s="434"/>
    <row r="92" hidden="1" s="434"/>
    <row r="93" hidden="1" s="434"/>
    <row r="94" hidden="1" s="434"/>
    <row r="95" hidden="1" s="434"/>
    <row r="96" hidden="1" s="434"/>
    <row r="97" hidden="1" s="434"/>
    <row r="98" hidden="1" s="434"/>
    <row r="99" hidden="1" s="434"/>
  </sheetData>
  <mergeCells count="53">
    <mergeCell ref="E39:I39"/>
    <mergeCell ref="B12:C12"/>
    <mergeCell ref="E29:I29"/>
    <mergeCell ref="E38:I38"/>
    <mergeCell ref="B14:C14"/>
    <mergeCell ref="E31:I31"/>
    <mergeCell ref="E40:I40"/>
    <mergeCell ref="B13:C13"/>
    <mergeCell ref="S10:T10"/>
    <mergeCell ref="H5:J5"/>
    <mergeCell ref="D4:E4"/>
    <mergeCell ref="D20:I20"/>
    <mergeCell ref="S9:T9"/>
    <mergeCell ref="E26:I26"/>
    <mergeCell ref="E25:I25"/>
    <mergeCell ref="B16:C16"/>
    <mergeCell ref="E42:I42"/>
    <mergeCell ref="B9:C10"/>
    <mergeCell ref="B11:C11"/>
    <mergeCell ref="F5:G5"/>
    <mergeCell ref="E28:I28"/>
    <mergeCell ref="E30:I30"/>
    <mergeCell ref="J20:K20"/>
    <mergeCell ref="B29:C29"/>
    <mergeCell ref="B15:C15"/>
    <mergeCell ref="I10:J10"/>
    <mergeCell ref="E32:I32"/>
    <mergeCell ref="H4:J4"/>
    <mergeCell ref="E41:I41"/>
    <mergeCell ref="U10:V10"/>
    <mergeCell ref="I9:J9"/>
    <mergeCell ref="B30:C34"/>
    <mergeCell ref="F4:G4"/>
    <mergeCell ref="E43:I43"/>
    <mergeCell ref="U9:V9"/>
    <mergeCell ref="E24:I24"/>
    <mergeCell ref="E33:I33"/>
    <mergeCell ref="E35:I35"/>
    <mergeCell ref="B5:C5"/>
    <mergeCell ref="B20:C20"/>
    <mergeCell ref="D5:E5"/>
    <mergeCell ref="E37:I37"/>
    <mergeCell ref="B4:C4"/>
    <mergeCell ref="E21:I21"/>
    <mergeCell ref="E23:I23"/>
    <mergeCell ref="M20:N20"/>
    <mergeCell ref="B35:C43"/>
    <mergeCell ref="B21:C25"/>
    <mergeCell ref="E34:I34"/>
    <mergeCell ref="E27:I27"/>
    <mergeCell ref="E36:I36"/>
    <mergeCell ref="E22:I22"/>
    <mergeCell ref="B26:C28"/>
  </mergeCells>
  <conditionalFormatting sqref="D21:D43">
    <cfRule type="cellIs" priority="24" operator="equal" dxfId="5" stopIfTrue="1">
      <formula>"N/A"</formula>
    </cfRule>
    <cfRule type="cellIs" priority="25" operator="equal" dxfId="4" stopIfTrue="1">
      <formula>"N"</formula>
    </cfRule>
  </conditionalFormatting>
  <conditionalFormatting sqref="W21:W43">
    <cfRule type="cellIs" priority="22" operator="equal" dxfId="3">
      <formula>"위험 수용"</formula>
    </cfRule>
    <cfRule type="cellIs" priority="23" operator="equal" dxfId="2">
      <formula>"통제 적용"</formula>
    </cfRule>
  </conditionalFormatting>
  <conditionalFormatting sqref="M21:M43">
    <cfRule type="cellIs" priority="1" operator="equal" dxfId="1" stopIfTrue="1">
      <formula>"N/A"</formula>
    </cfRule>
    <cfRule type="cellIs" priority="2" operator="equal" dxfId="0" stopIfTrue="1">
      <formula>"N"</formula>
    </cfRule>
  </conditionalFormatting>
  <dataValidations count="3">
    <dataValidation sqref="AD21:AF43 AG21:AG33" showDropDown="0" showInputMessage="1" showErrorMessage="1" allowBlank="1" type="list">
      <formula1>"-,HOT FIX,단기,중기,장기"</formula1>
    </dataValidation>
    <dataValidation sqref="Z21:AB43" showDropDown="0" showInputMessage="1" showErrorMessage="1" allowBlank="0" type="list">
      <formula1>"-,1,2,3,4,5"</formula1>
    </dataValidation>
    <dataValidation sqref="M21:M43" showDropDown="0" showInputMessage="1" showErrorMessage="1" allowBlank="1" type="list">
      <formula1>"Y,N,N/A"</formula1>
    </dataValidation>
  </dataValidations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11" horizontalDpi="300" verticalDpi="300"/>
</worksheet>
</file>

<file path=xl/worksheets/sheet10.xml><?xml version="1.0" encoding="utf-8"?>
<worksheet xmlns="http://schemas.openxmlformats.org/spreadsheetml/2006/main">
  <sheetPr codeName="Sheet8">
    <tabColor rgb="FFFFC000"/>
    <outlinePr summaryBelow="1" summaryRight="1"/>
    <pageSetUpPr/>
  </sheetPr>
  <dimension ref="B1:E98"/>
  <sheetViews>
    <sheetView view="pageBreakPreview" zoomScale="60" zoomScaleNormal="55" workbookViewId="0">
      <pane ySplit="1" topLeftCell="A2" activePane="bottomLeft" state="frozen"/>
      <selection pane="bottomLeft" activeCell="A1" sqref="A1"/>
    </sheetView>
  </sheetViews>
  <sheetFormatPr baseColWidth="8" defaultRowHeight="13.5"/>
  <cols>
    <col width="63.44140625" customWidth="1" style="434" min="2" max="2"/>
    <col width="6.44140625" customWidth="1" style="434" min="3" max="3"/>
    <col width="46" customWidth="1" style="65" min="4" max="4"/>
    <col width="52.21875" customWidth="1" style="65" min="5" max="5"/>
  </cols>
  <sheetData>
    <row r="1">
      <c r="D1" s="0" t="n"/>
      <c r="E1" s="0" t="n"/>
    </row>
    <row r="2">
      <c r="D2" s="0" t="n"/>
      <c r="E2" s="0" t="n"/>
    </row>
    <row r="3">
      <c r="D3" s="0" t="n"/>
      <c r="E3" s="0" t="n"/>
    </row>
    <row r="4">
      <c r="D4" s="0" t="n"/>
      <c r="E4" s="0" t="n"/>
    </row>
    <row r="5">
      <c r="D5" s="0" t="n"/>
      <c r="E5" s="0" t="n"/>
    </row>
    <row r="6">
      <c r="D6" s="0" t="n"/>
      <c r="E6" s="0" t="n"/>
    </row>
    <row r="7">
      <c r="D7" s="0" t="n"/>
      <c r="E7" s="0" t="n"/>
    </row>
    <row r="8">
      <c r="D8" s="0" t="n"/>
      <c r="E8" s="0" t="n"/>
    </row>
    <row r="9">
      <c r="D9" s="0" t="n"/>
      <c r="E9" s="0" t="n"/>
    </row>
    <row r="10">
      <c r="D10" s="0" t="n"/>
      <c r="E10" s="0" t="n"/>
    </row>
    <row r="11">
      <c r="D11" s="0" t="n"/>
      <c r="E11" s="0" t="n"/>
    </row>
    <row r="12">
      <c r="D12" s="0" t="n"/>
      <c r="E12" s="0" t="n"/>
    </row>
    <row r="13">
      <c r="D13" s="0" t="n"/>
      <c r="E13" s="0" t="n"/>
    </row>
    <row r="14">
      <c r="D14" s="0" t="n"/>
      <c r="E14" s="0" t="n"/>
    </row>
    <row r="15">
      <c r="D15" s="0" t="n"/>
      <c r="E15" s="0" t="n"/>
    </row>
    <row r="16">
      <c r="D16" s="0" t="n"/>
      <c r="E16" s="0" t="n"/>
    </row>
    <row r="17">
      <c r="D17" s="0" t="n"/>
      <c r="E17" s="0" t="n"/>
    </row>
    <row r="18" ht="33.75" customHeight="1" s="434">
      <c r="B18" s="91" t="inlineStr">
        <is>
          <t>복사 후 Origin,매크로 시트 숨김 처리</t>
        </is>
      </c>
      <c r="D18" s="0" t="n"/>
      <c r="E18" s="0" t="n"/>
    </row>
    <row r="19">
      <c r="D19" s="0" t="n"/>
      <c r="E19" s="0" t="n"/>
    </row>
    <row r="20">
      <c r="D20" s="0" t="n"/>
      <c r="E20" s="0" t="n"/>
    </row>
    <row r="21">
      <c r="D21" s="0" t="n"/>
      <c r="E21" s="0" t="n"/>
    </row>
    <row r="22">
      <c r="D22" s="0" t="n"/>
      <c r="E22" s="0" t="n"/>
    </row>
    <row r="23">
      <c r="D23" s="0" t="n"/>
      <c r="E23" s="0" t="n"/>
    </row>
    <row r="24">
      <c r="D24" s="0" t="n"/>
      <c r="E24" s="0" t="n"/>
    </row>
    <row r="25">
      <c r="D25" s="0" t="n"/>
      <c r="E25" s="0" t="n"/>
    </row>
    <row r="26">
      <c r="D26" s="0" t="n"/>
      <c r="E26" s="0" t="n"/>
    </row>
    <row r="27">
      <c r="D27" s="0" t="n"/>
      <c r="E27" s="0" t="n"/>
    </row>
    <row r="28">
      <c r="D28" s="0" t="n"/>
      <c r="E28" s="0" t="n"/>
    </row>
    <row r="29">
      <c r="D29" s="0" t="n"/>
      <c r="E29" s="0" t="n"/>
    </row>
    <row r="30">
      <c r="D30" s="0" t="n"/>
      <c r="E30" s="0" t="n"/>
    </row>
    <row r="31">
      <c r="D31" s="0" t="n"/>
      <c r="E31" s="0" t="n"/>
    </row>
    <row r="32">
      <c r="D32" s="0" t="n"/>
      <c r="E32" s="0" t="n"/>
    </row>
    <row r="33">
      <c r="D33" s="0" t="n"/>
      <c r="E33" s="0" t="n"/>
    </row>
    <row r="34">
      <c r="D34" s="0" t="n"/>
      <c r="E34" s="0" t="n"/>
    </row>
    <row r="35">
      <c r="D35" s="0" t="n"/>
      <c r="E35" s="0" t="n"/>
    </row>
    <row r="36">
      <c r="D36" s="0" t="n"/>
      <c r="E36" s="0" t="n"/>
    </row>
    <row r="37">
      <c r="D37" s="0" t="n"/>
      <c r="E37" s="0" t="n"/>
    </row>
    <row r="38">
      <c r="D38" s="0" t="n"/>
      <c r="E38" s="0" t="n"/>
    </row>
    <row r="39">
      <c r="D39" s="0" t="n"/>
      <c r="E39" s="0" t="n"/>
    </row>
    <row r="40">
      <c r="D40" s="0" t="n"/>
      <c r="E40" s="0" t="n"/>
    </row>
    <row r="41">
      <c r="D41" s="0" t="n"/>
      <c r="E41" s="0" t="n"/>
    </row>
    <row r="42">
      <c r="D42" s="0" t="n"/>
      <c r="E42" s="0" t="n"/>
    </row>
    <row r="43">
      <c r="D43" s="0" t="n"/>
      <c r="E43" s="0" t="n"/>
    </row>
    <row r="44">
      <c r="D44" s="0" t="n"/>
      <c r="E44" s="0" t="n"/>
    </row>
    <row r="45">
      <c r="D45" s="0" t="n"/>
      <c r="E45" s="0" t="n"/>
    </row>
    <row r="46">
      <c r="D46" s="0" t="n"/>
      <c r="E46" s="0" t="n"/>
    </row>
    <row r="47">
      <c r="D47" s="0" t="n"/>
      <c r="E47" s="0" t="n"/>
    </row>
    <row r="48">
      <c r="D48" s="0" t="n"/>
      <c r="E48" s="0" t="n"/>
    </row>
    <row r="49">
      <c r="D49" s="0" t="n"/>
      <c r="E49" s="0" t="n"/>
    </row>
    <row r="50">
      <c r="D50" s="0" t="n"/>
      <c r="E50" s="0" t="n"/>
    </row>
    <row r="51">
      <c r="D51" s="0" t="n"/>
      <c r="E51" s="0" t="n"/>
    </row>
    <row r="52">
      <c r="D52" s="0" t="n"/>
      <c r="E52" s="0" t="n"/>
    </row>
    <row r="53">
      <c r="D53" s="0" t="n"/>
      <c r="E53" s="0" t="n"/>
    </row>
    <row r="54">
      <c r="D54" s="0" t="n"/>
      <c r="E54" s="0" t="n"/>
    </row>
    <row r="55">
      <c r="D55" s="0" t="n"/>
      <c r="E55" s="0" t="n"/>
    </row>
    <row r="56">
      <c r="D56" s="0" t="n"/>
      <c r="E56" s="0" t="n"/>
    </row>
    <row r="57">
      <c r="D57" s="0" t="n"/>
      <c r="E57" s="0" t="n"/>
    </row>
    <row r="58">
      <c r="D58" s="0" t="n"/>
      <c r="E58" s="0" t="n"/>
    </row>
    <row r="59">
      <c r="D59" s="0" t="n"/>
      <c r="E59" s="0" t="n"/>
    </row>
    <row r="60">
      <c r="D60" s="0" t="n"/>
      <c r="E60" s="0" t="n"/>
    </row>
    <row r="61">
      <c r="D61" s="0" t="n"/>
      <c r="E61" s="0" t="n"/>
    </row>
    <row r="62">
      <c r="D62" s="0" t="n"/>
      <c r="E62" s="0" t="n"/>
    </row>
    <row r="63">
      <c r="D63" s="0" t="n"/>
      <c r="E63" s="0" t="n"/>
    </row>
    <row r="64">
      <c r="D64" s="0" t="n"/>
      <c r="E64" s="0" t="n"/>
    </row>
    <row r="65">
      <c r="D65" s="0" t="n"/>
      <c r="E65" s="0" t="n"/>
    </row>
    <row r="66">
      <c r="D66" s="0" t="n"/>
      <c r="E66" s="0" t="n"/>
    </row>
    <row r="67">
      <c r="D67" s="0" t="n"/>
      <c r="E67" s="0" t="n"/>
    </row>
    <row r="68">
      <c r="D68" s="0" t="n"/>
      <c r="E68" s="0" t="n"/>
    </row>
    <row r="69">
      <c r="D69" s="0" t="n"/>
      <c r="E69" s="0" t="n"/>
    </row>
    <row r="70">
      <c r="D70" s="0" t="n"/>
      <c r="E70" s="0" t="n"/>
    </row>
    <row r="71">
      <c r="D71" s="0" t="n"/>
      <c r="E71" s="0" t="n"/>
    </row>
    <row r="72">
      <c r="D72" s="0" t="n"/>
      <c r="E72" s="0" t="n"/>
    </row>
    <row r="73">
      <c r="D73" s="0" t="n"/>
      <c r="E73" s="0" t="n"/>
    </row>
    <row r="74">
      <c r="D74" s="0" t="n"/>
      <c r="E74" s="0" t="n"/>
    </row>
    <row r="75">
      <c r="D75" s="0" t="n"/>
      <c r="E75" s="0" t="n"/>
    </row>
    <row r="76">
      <c r="D76" s="0" t="n"/>
      <c r="E76" s="0" t="n"/>
    </row>
    <row r="77">
      <c r="D77" s="0" t="n"/>
      <c r="E77" s="0" t="n"/>
    </row>
    <row r="78">
      <c r="D78" s="0" t="n"/>
      <c r="E78" s="0" t="n"/>
    </row>
    <row r="79">
      <c r="D79" s="0" t="n"/>
      <c r="E79" s="0" t="n"/>
    </row>
    <row r="80">
      <c r="D80" s="0" t="n"/>
      <c r="E80" s="0" t="n"/>
    </row>
    <row r="81">
      <c r="D81" s="0" t="n"/>
      <c r="E81" s="0" t="n"/>
    </row>
    <row r="82">
      <c r="D82" s="0" t="n"/>
      <c r="E82" s="0" t="n"/>
    </row>
    <row r="83">
      <c r="D83" s="0" t="n"/>
      <c r="E83" s="0" t="n"/>
    </row>
    <row r="84">
      <c r="D84" s="0" t="n"/>
      <c r="E84" s="0" t="n"/>
    </row>
    <row r="85">
      <c r="D85" s="0" t="n"/>
      <c r="E85" s="0" t="n"/>
    </row>
    <row r="86">
      <c r="D86" s="0" t="n"/>
      <c r="E86" s="0" t="n"/>
    </row>
    <row r="87">
      <c r="D87" s="0" t="n"/>
      <c r="E87" s="0" t="n"/>
    </row>
    <row r="88">
      <c r="D88" s="0" t="n"/>
      <c r="E88" s="0" t="n"/>
    </row>
    <row r="89">
      <c r="D89" s="0" t="n"/>
      <c r="E89" s="0" t="n"/>
    </row>
    <row r="90">
      <c r="D90" s="0" t="n"/>
      <c r="E90" s="0" t="n"/>
    </row>
    <row r="91">
      <c r="D91" s="0" t="n"/>
      <c r="E91" s="0" t="n"/>
    </row>
    <row r="92">
      <c r="D92" s="0" t="n"/>
      <c r="E92" s="0" t="n"/>
    </row>
    <row r="93">
      <c r="D93" s="0" t="n"/>
      <c r="E93" s="0" t="n"/>
    </row>
    <row r="94">
      <c r="D94" s="0" t="n"/>
      <c r="E94" s="0" t="n"/>
    </row>
    <row r="95">
      <c r="D95" s="0" t="n"/>
      <c r="E95" s="0" t="n"/>
    </row>
    <row r="96">
      <c r="D96" s="0" t="n"/>
      <c r="E96" s="0" t="n"/>
    </row>
    <row r="97">
      <c r="D97" s="0" t="n"/>
      <c r="E97" s="0" t="n"/>
    </row>
    <row r="98">
      <c r="D98" s="0" t="n"/>
      <c r="E98" s="0" t="n"/>
    </row>
  </sheetData>
  <pageMargins left="0.7" right="0.7" top="0.75" bottom="0.75" header="0.3" footer="0.3"/>
  <pageSetup orientation="portrait" paperSize="9" scale="33"/>
  <colBreaks count="1" manualBreakCount="1">
    <brk id="6" min="0" max="1048575" man="1"/>
  </colBreaks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9">
    <tabColor rgb="FFFFCC00"/>
    <outlinePr summaryBelow="1" summaryRight="1"/>
    <pageSetUpPr/>
  </sheetPr>
  <dimension ref="A1:B68"/>
  <sheetViews>
    <sheetView workbookViewId="0">
      <selection activeCell="C6" sqref="C6"/>
    </sheetView>
  </sheetViews>
  <sheetFormatPr baseColWidth="8" defaultColWidth="9" defaultRowHeight="13.5"/>
  <cols>
    <col width="68.6640625" customWidth="1" style="87" min="1" max="1"/>
    <col width="66.44140625" customWidth="1" style="87" min="2" max="2"/>
    <col width="9" customWidth="1" style="87" min="3" max="16384"/>
  </cols>
  <sheetData>
    <row r="1" customFormat="1" s="232">
      <c r="A1" s="230" t="inlineStr">
        <is>
          <t>잠재위험</t>
        </is>
      </c>
      <c r="B1" s="231" t="inlineStr">
        <is>
          <t>대응책</t>
        </is>
      </c>
    </row>
    <row r="2" ht="27" customFormat="1" customHeight="1" s="232">
      <c r="A2" s="233" t="inlineStr">
        <is>
          <t>디폴트 계정을 통한 비인가 접근 위험이 존재</t>
        </is>
      </c>
      <c r="B2" s="234" t="inlineStr">
        <is>
          <t>디폴트 계정명을 변경하거나 패스워드로 보완</t>
        </is>
      </c>
    </row>
    <row r="3" ht="27" customFormat="1" customHeight="1" s="232">
      <c r="A3" s="233" t="inlineStr">
        <is>
          <t>취약한 비밀번호로 계정 탈취 위험이 존재</t>
        </is>
      </c>
      <c r="B3" s="234" t="inlineStr">
        <is>
          <t>비밀번호 관리 정책에 맞는 비밀번호 사용</t>
        </is>
      </c>
    </row>
    <row r="4" customFormat="1" s="232">
      <c r="A4" s="233" t="inlineStr">
        <is>
          <t>과도한 권한 부여로 오남용 위험이 존재</t>
        </is>
      </c>
      <c r="B4" s="234" t="inlineStr">
        <is>
          <t>계정 용도에 맞는 최소 권한 부여</t>
        </is>
      </c>
    </row>
    <row r="5" ht="27" customFormat="1" customHeight="1" s="232">
      <c r="A5" s="233" t="inlineStr">
        <is>
          <t>공용·휴면 계정으로 책임추적성이 저하됨</t>
        </is>
      </c>
      <c r="B5" s="234" t="inlineStr">
        <is>
          <t>불필요 공용계정 및 휴면계정 제거</t>
        </is>
      </c>
    </row>
    <row r="6" ht="54" customFormat="1" customHeight="1" s="232">
      <c r="A6" s="233" t="inlineStr">
        <is>
          <t>로그인 실패 제한 미흡 시 무차별 대입 공격에 노출</t>
        </is>
      </c>
      <c r="B6" s="234" t="inlineStr">
        <is>
          <t>로그온 실패 횟수를 5회 이하로 제한</t>
        </is>
      </c>
    </row>
    <row r="7" ht="27" customFormat="1" customHeight="1" s="232">
      <c r="A7" s="233" t="inlineStr">
        <is>
          <t>원격관리 접근 통제 미흡 시 외부 침입 위험이 존재</t>
        </is>
      </c>
      <c r="B7" s="234" t="inlineStr">
        <is>
          <t>원격관리를 관리자 IP로 제한</t>
        </is>
      </c>
    </row>
    <row r="8" ht="27" customFormat="1" customHeight="1" s="232">
      <c r="A8" s="233" t="inlineStr">
        <is>
          <t>비암호화 접속 시 인증정보가 노출될 수 있음</t>
        </is>
      </c>
      <c r="B8" s="234" t="inlineStr">
        <is>
          <t>SSH/HTTPS 등 암호화 통신 사용</t>
        </is>
      </c>
    </row>
    <row r="9" ht="27" customFormat="1" customHeight="1" s="232">
      <c r="A9" s="233" t="inlineStr">
        <is>
          <t>세션 타임아웃 미설정 시 방치 세션이 악용될 수 있음</t>
        </is>
      </c>
      <c r="B9" s="234" t="inlineStr">
        <is>
          <t>Session Timeout 시간 설정</t>
        </is>
      </c>
    </row>
    <row r="10" ht="27" customFormat="1" customHeight="1" s="232">
      <c r="A10" s="233" t="inlineStr">
        <is>
          <t>보안 패치 미적용으로 알려진 취약점에 노출</t>
        </is>
      </c>
      <c r="B10" s="234" t="inlineStr">
        <is>
          <t>벤더 패치 정책을 수립하고 주기적으로 적용</t>
        </is>
      </c>
    </row>
    <row r="11" ht="27" customFormat="1" customHeight="1" s="232">
      <c r="A11" s="233" t="inlineStr">
        <is>
          <t>로그 미설정 시 침해사고 추적이 어려움</t>
        </is>
      </c>
      <c r="B11" s="234" t="inlineStr">
        <is>
          <t>정책에 따른 로그 설정</t>
        </is>
      </c>
    </row>
    <row r="12" ht="27" customFormat="1" customHeight="1" s="232">
      <c r="A12" s="233" t="inlineStr">
        <is>
          <t>로그 보관 미흡 시 증거 데이터가 소실됨</t>
        </is>
      </c>
      <c r="B12" s="234" t="inlineStr">
        <is>
          <t>정책에 따른 로그 보관 설정</t>
        </is>
      </c>
    </row>
    <row r="13" customFormat="1" s="232">
      <c r="A13" s="233" t="inlineStr">
        <is>
          <t>정책 백업 부재 시 장애·침해 후 복구가 어려움</t>
        </is>
      </c>
      <c r="B13" s="234" t="inlineStr">
        <is>
          <t>적용 정책을 별도 파일로 백업</t>
        </is>
      </c>
    </row>
    <row r="14" customFormat="1" s="232">
      <c r="A14" s="233" t="inlineStr">
        <is>
          <t>로컬 로그만 사용 시 로그 위변조 위험이 존재</t>
        </is>
      </c>
      <c r="B14" s="234" t="inlineStr">
        <is>
          <t>원격 로그 서버로 통합 관리</t>
        </is>
      </c>
    </row>
    <row r="15" ht="40.5" customFormat="1" customHeight="1" s="232">
      <c r="A15" s="233" t="inlineStr">
        <is>
          <t>시간 동기화 미설정 시 로그 상관분석이 어려움</t>
        </is>
      </c>
      <c r="B15" s="234" t="inlineStr">
        <is>
          <t>NTP 서버 연동 및 시각 동기화</t>
        </is>
      </c>
    </row>
    <row r="16" ht="27" customFormat="1" customHeight="1" s="232">
      <c r="A16" s="233" t="inlineStr">
        <is>
          <t>미사용·중복 정책으로 우회 경로가 남을 수 있음</t>
        </is>
      </c>
      <c r="B16" s="234" t="inlineStr">
        <is>
          <t>정책을 주기적으로 점검하고 정리</t>
        </is>
      </c>
    </row>
    <row r="17" ht="27" customFormat="1" customHeight="1" s="232">
      <c r="A17" s="233" t="inlineStr">
        <is>
          <t>NAT 미구성 시 내부망 주소가 노출될 수 있음</t>
        </is>
      </c>
      <c r="B17" s="234" t="inlineStr">
        <is>
          <t>NAT로 내부 네트워크 보호</t>
        </is>
      </c>
    </row>
    <row r="18" customFormat="1" s="232">
      <c r="A18" s="233" t="inlineStr">
        <is>
          <t>DMZ 미구성 시 외부 서비스가 내부망과 혼재됨</t>
        </is>
      </c>
      <c r="B18" s="234" t="inlineStr">
        <is>
          <t>DMZ를 구성하여 내부망 분리</t>
        </is>
      </c>
    </row>
    <row r="19" customFormat="1" s="232">
      <c r="A19" s="233" t="inlineStr">
        <is>
          <t>과도한 허용 정책으로 공격면이 증가</t>
        </is>
      </c>
      <c r="B19" s="234" t="inlineStr">
        <is>
          <t>all deny 후 최소 서비스만 허용</t>
        </is>
      </c>
    </row>
    <row r="20" customFormat="1" s="232">
      <c r="A20" s="235" t="inlineStr">
        <is>
          <t>이상징후 미통보 시 침해 대응이 지연됨</t>
        </is>
      </c>
      <c r="B20" s="234" t="inlineStr">
        <is>
          <t>이상징후 탐지 시 이메일/SMS 통보</t>
        </is>
      </c>
    </row>
    <row r="21" ht="27" customFormat="1" customHeight="1" s="232">
      <c r="A21" s="233" t="inlineStr">
        <is>
          <t>사용량 미검토 시 장애·공격 징후를 놓칠 수 있음</t>
        </is>
      </c>
      <c r="B21" s="234" t="inlineStr">
        <is>
          <t>CPU/메모리/트래픽 등 사용량을 정기 검토</t>
        </is>
      </c>
    </row>
    <row r="22" ht="27" customFormat="1" customHeight="1" s="232">
      <c r="A22" s="233" t="inlineStr">
        <is>
          <t>불필요 SNMP로 장비 정보가 노출될 수 있음</t>
        </is>
      </c>
      <c r="B22" s="234" t="inlineStr">
        <is>
          <t>불필요한 SNMP 서비스 비활성화</t>
        </is>
      </c>
    </row>
    <row r="23" ht="27" customFormat="1" customHeight="1" s="232">
      <c r="A23" s="233" t="inlineStr">
        <is>
          <t>기본 Community String 사용 시 SNMP가 악용됨</t>
        </is>
      </c>
      <c r="B23" s="234" t="inlineStr">
        <is>
          <t>유추가 어려운 Community String 설정</t>
        </is>
      </c>
    </row>
    <row r="24" ht="40.5" customFormat="1" customHeight="1" s="232">
      <c r="A24" s="233" t="inlineStr">
        <is>
          <t>유해 트래픽 차단 미흡 시 내부망이 공격에 노출</t>
        </is>
      </c>
      <c r="B24" s="234" t="inlineStr">
        <is>
          <t>유해 트래픽 차단 정책 설정</t>
        </is>
      </c>
    </row>
    <row r="25" customFormat="1" s="232">
      <c r="A25" s="233" t="n"/>
      <c r="B25" s="234" t="n"/>
    </row>
    <row r="26" customFormat="1" s="232">
      <c r="A26" s="233" t="n"/>
      <c r="B26" s="234" t="n"/>
    </row>
    <row r="27" ht="27" customFormat="1" customHeight="1" s="232">
      <c r="A27" s="233" t="n"/>
      <c r="B27" s="234" t="n"/>
    </row>
    <row r="28" ht="40.5" customFormat="1" customHeight="1" s="232">
      <c r="A28" s="233" t="n"/>
      <c r="B28" s="234" t="n"/>
    </row>
    <row r="29" ht="27" customFormat="1" customHeight="1" s="232">
      <c r="A29" s="233" t="n"/>
      <c r="B29" s="234" t="n"/>
    </row>
    <row r="30" ht="27" customFormat="1" customHeight="1" s="232">
      <c r="A30" s="233" t="n"/>
      <c r="B30" s="234" t="n"/>
    </row>
    <row r="31" ht="27" customFormat="1" customHeight="1" s="232">
      <c r="A31" s="233" t="n"/>
      <c r="B31" s="234" t="n"/>
    </row>
    <row r="32" ht="54" customFormat="1" customHeight="1" s="232">
      <c r="A32" s="233" t="n"/>
      <c r="B32" s="234" t="n"/>
    </row>
    <row r="33" customFormat="1" s="232">
      <c r="A33" s="233" t="n"/>
      <c r="B33" s="234" t="n"/>
    </row>
    <row r="34" customFormat="1" s="232">
      <c r="A34" s="233" t="n"/>
      <c r="B34" s="234" t="n"/>
    </row>
    <row r="35" ht="27" customFormat="1" customHeight="1" s="232">
      <c r="A35" s="233" t="n"/>
      <c r="B35" s="234" t="n"/>
    </row>
    <row r="36" customFormat="1" s="232">
      <c r="A36" s="233" t="n"/>
      <c r="B36" s="234" t="n"/>
    </row>
    <row r="37" ht="27" customFormat="1" customHeight="1" s="232">
      <c r="A37" s="233" t="n"/>
      <c r="B37" s="234" t="n"/>
    </row>
    <row r="38" customFormat="1" s="232">
      <c r="A38" s="233" t="n"/>
      <c r="B38" s="234" t="n"/>
    </row>
    <row r="39" customFormat="1" s="232">
      <c r="A39" s="233" t="n"/>
      <c r="B39" s="234" t="n"/>
    </row>
    <row r="40" ht="27" customFormat="1" customHeight="1" s="232">
      <c r="A40" s="233" t="n"/>
      <c r="B40" s="234" t="n"/>
    </row>
    <row r="41" ht="27" customFormat="1" customHeight="1" s="232">
      <c r="A41" s="233" t="n"/>
      <c r="B41" s="234" t="n"/>
    </row>
    <row r="42" ht="27" customFormat="1" customHeight="1" s="232">
      <c r="A42" s="233" t="n"/>
      <c r="B42" s="234" t="n"/>
    </row>
    <row r="43" customFormat="1" s="232">
      <c r="A43" s="233" t="n"/>
      <c r="B43" s="234" t="n"/>
    </row>
    <row r="44" customFormat="1" s="232">
      <c r="A44" s="233" t="n"/>
      <c r="B44" s="234" t="n"/>
    </row>
    <row r="45" customFormat="1" s="232">
      <c r="A45" s="233" t="n"/>
      <c r="B45" s="234" t="n"/>
    </row>
    <row r="46" ht="27" customFormat="1" customHeight="1" s="232">
      <c r="A46" s="233" t="n"/>
      <c r="B46" s="234" t="n"/>
    </row>
    <row r="47" ht="27" customFormat="1" customHeight="1" s="232">
      <c r="A47" s="233" t="n"/>
      <c r="B47" s="234" t="n"/>
    </row>
    <row r="48" ht="27" customFormat="1" customHeight="1" s="232">
      <c r="A48" s="233" t="n"/>
      <c r="B48" s="234" t="n"/>
    </row>
    <row r="49" ht="27" customFormat="1" customHeight="1" s="232">
      <c r="A49" s="233" t="n"/>
      <c r="B49" s="234" t="n"/>
    </row>
    <row r="50" ht="67.5" customFormat="1" customHeight="1" s="232">
      <c r="A50" s="233" t="n"/>
      <c r="B50" s="234" t="n"/>
    </row>
    <row r="51" ht="27" customFormat="1" customHeight="1" s="232">
      <c r="A51" s="233" t="n"/>
      <c r="B51" s="234" t="n"/>
    </row>
    <row r="52" ht="27" customFormat="1" customHeight="1" s="232">
      <c r="A52" s="233" t="n"/>
      <c r="B52" s="234" t="n"/>
    </row>
    <row r="53" customFormat="1" s="232">
      <c r="A53" s="233" t="n"/>
      <c r="B53" s="234" t="n"/>
    </row>
    <row r="54" ht="54" customFormat="1" customHeight="1" s="232">
      <c r="A54" s="233" t="n"/>
      <c r="B54" s="234" t="n"/>
    </row>
    <row r="55" customFormat="1" s="232">
      <c r="A55" s="233" t="n"/>
      <c r="B55" s="234" t="n"/>
    </row>
    <row r="56" ht="27" customFormat="1" customHeight="1" s="232">
      <c r="A56" s="233" t="n"/>
      <c r="B56" s="234" t="n"/>
    </row>
    <row r="57" ht="27" customFormat="1" customHeight="1" s="232">
      <c r="A57" s="233" t="n"/>
      <c r="B57" s="234" t="n"/>
    </row>
    <row r="58" ht="27" customFormat="1" customHeight="1" s="232">
      <c r="A58" s="233" t="n"/>
      <c r="B58" s="234" t="n"/>
    </row>
    <row r="59" customFormat="1" s="232">
      <c r="A59" s="233" t="n"/>
      <c r="B59" s="234" t="n"/>
    </row>
    <row r="60" ht="27" customFormat="1" customHeight="1" s="232">
      <c r="A60" s="233" t="n"/>
      <c r="B60" s="234" t="n"/>
    </row>
    <row r="61" ht="40.5" customFormat="1" customHeight="1" s="232">
      <c r="A61" s="233" t="n"/>
      <c r="B61" s="234" t="n"/>
    </row>
    <row r="62" ht="27" customFormat="1" customHeight="1" s="232">
      <c r="A62" s="233" t="n"/>
      <c r="B62" s="234" t="n"/>
    </row>
    <row r="63" ht="27" customFormat="1" customHeight="1" s="232">
      <c r="A63" s="233" t="n"/>
      <c r="B63" s="234" t="n"/>
    </row>
    <row r="64" ht="27" customFormat="1" customHeight="1" s="232">
      <c r="A64" s="233" t="n"/>
      <c r="B64" s="234" t="n"/>
    </row>
    <row r="65" ht="67.5" customFormat="1" customHeight="1" s="232">
      <c r="A65" s="233" t="n"/>
      <c r="B65" s="234" t="n"/>
    </row>
    <row r="66" customFormat="1" s="232">
      <c r="A66" s="233" t="n"/>
      <c r="B66" s="234" t="n"/>
    </row>
    <row r="67" customFormat="1" s="232">
      <c r="A67" s="233" t="n"/>
      <c r="B67" s="234" t="n"/>
    </row>
    <row r="68" customFormat="1" s="232">
      <c r="A68" s="233" t="n"/>
      <c r="B68" s="234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김현목</dc:creator>
  <dcterms:created xsi:type="dcterms:W3CDTF">2007-09-13T01:14:16Z</dcterms:created>
  <dcterms:modified xsi:type="dcterms:W3CDTF">2026-08-19T05:37:13Z</dcterms:modified>
  <cp:lastModifiedBy>주식회사 시큐와우</cp:lastModifiedBy>
  <cp:lastPrinted>2016-02-04T03:55:20Z</cp:lastPrinted>
</cp:coreProperties>
</file>